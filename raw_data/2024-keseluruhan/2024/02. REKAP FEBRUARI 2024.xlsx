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usni Kerja\BPSDA\Excel Rekap harian PD Pasar\2024\"/>
    </mc:Choice>
  </mc:AlternateContent>
  <xr:revisionPtr revIDLastSave="0" documentId="13_ncr:1_{FA60C2F0-3C3F-4B59-9073-C25DBF01C64A}" xr6:coauthVersionLast="47" xr6:coauthVersionMax="47" xr10:uidLastSave="{00000000-0000-0000-0000-000000000000}"/>
  <bookViews>
    <workbookView xWindow="-120" yWindow="-120" windowWidth="24240" windowHeight="13140" xr2:uid="{4C192097-C7C4-45F9-8F41-4BB5DE9D5F4A}"/>
  </bookViews>
  <sheets>
    <sheet name="REKAPITULASI" sheetId="1" r:id="rId1"/>
    <sheet name="GRAFIK" sheetId="33" r:id="rId2"/>
    <sheet name="1" sheetId="2" r:id="rId3"/>
    <sheet name="2" sheetId="3" r:id="rId4"/>
    <sheet name="3" sheetId="4" r:id="rId5"/>
    <sheet name="4" sheetId="5" r:id="rId6"/>
    <sheet name="5" sheetId="6" r:id="rId7"/>
    <sheet name="6" sheetId="7" r:id="rId8"/>
    <sheet name="7" sheetId="8" r:id="rId9"/>
    <sheet name="8" sheetId="9" r:id="rId10"/>
    <sheet name="9" sheetId="10" r:id="rId11"/>
    <sheet name="10" sheetId="11" r:id="rId12"/>
    <sheet name="11" sheetId="12" r:id="rId13"/>
    <sheet name="12" sheetId="13" r:id="rId14"/>
    <sheet name="13" sheetId="14" r:id="rId15"/>
    <sheet name="14" sheetId="15" r:id="rId16"/>
    <sheet name="15" sheetId="16" r:id="rId17"/>
    <sheet name="16" sheetId="17" r:id="rId18"/>
    <sheet name="17" sheetId="18" r:id="rId19"/>
    <sheet name="18" sheetId="19" r:id="rId20"/>
    <sheet name="19" sheetId="20" r:id="rId21"/>
    <sheet name="20" sheetId="21" r:id="rId22"/>
    <sheet name="21" sheetId="22" r:id="rId23"/>
    <sheet name="22" sheetId="23" r:id="rId24"/>
    <sheet name="23" sheetId="24" r:id="rId25"/>
    <sheet name="24" sheetId="25" r:id="rId26"/>
    <sheet name="25" sheetId="26" r:id="rId27"/>
    <sheet name="26" sheetId="27" r:id="rId28"/>
    <sheet name="27" sheetId="28" r:id="rId29"/>
    <sheet name="28" sheetId="29" r:id="rId30"/>
    <sheet name="29" sheetId="34" r:id="rId3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9" i="1" l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" i="1"/>
  <c r="AF9" i="1" l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K88" i="34"/>
  <c r="K86" i="34"/>
  <c r="K85" i="34"/>
  <c r="K84" i="34"/>
  <c r="K83" i="34"/>
  <c r="K82" i="34"/>
  <c r="K81" i="34"/>
  <c r="K80" i="34"/>
  <c r="K79" i="34"/>
  <c r="K78" i="34"/>
  <c r="K76" i="34"/>
  <c r="K75" i="34"/>
  <c r="K73" i="34"/>
  <c r="K72" i="34"/>
  <c r="K71" i="34"/>
  <c r="K70" i="34"/>
  <c r="K68" i="34"/>
  <c r="K66" i="34"/>
  <c r="K65" i="34"/>
  <c r="K64" i="34"/>
  <c r="K62" i="34"/>
  <c r="K60" i="34"/>
  <c r="K59" i="34"/>
  <c r="K58" i="34"/>
  <c r="K57" i="34"/>
  <c r="K55" i="34"/>
  <c r="K53" i="34"/>
  <c r="K51" i="34"/>
  <c r="K50" i="34"/>
  <c r="K48" i="34"/>
  <c r="K47" i="34"/>
  <c r="K45" i="34"/>
  <c r="K44" i="34"/>
  <c r="K42" i="34"/>
  <c r="K41" i="34"/>
  <c r="K40" i="34"/>
  <c r="K38" i="34"/>
  <c r="K37" i="34"/>
  <c r="K35" i="34"/>
  <c r="K34" i="34"/>
  <c r="K32" i="34"/>
  <c r="K31" i="34"/>
  <c r="K30" i="34"/>
  <c r="K29" i="34"/>
  <c r="K28" i="34"/>
  <c r="K27" i="34"/>
  <c r="K25" i="34"/>
  <c r="K24" i="34"/>
  <c r="K23" i="34"/>
  <c r="K22" i="34"/>
  <c r="K20" i="34"/>
  <c r="K18" i="34"/>
  <c r="K17" i="34"/>
  <c r="K15" i="34"/>
  <c r="K14" i="34"/>
  <c r="K12" i="34"/>
  <c r="K11" i="34"/>
  <c r="K10" i="34"/>
  <c r="K9" i="34"/>
  <c r="K8" i="34"/>
  <c r="K88" i="29"/>
  <c r="K86" i="29"/>
  <c r="K85" i="29"/>
  <c r="K84" i="29"/>
  <c r="K83" i="29"/>
  <c r="K82" i="29"/>
  <c r="K81" i="29"/>
  <c r="K80" i="29"/>
  <c r="K79" i="29"/>
  <c r="K78" i="29"/>
  <c r="K76" i="29"/>
  <c r="K75" i="29"/>
  <c r="K73" i="29"/>
  <c r="K72" i="29"/>
  <c r="K71" i="29"/>
  <c r="K70" i="29"/>
  <c r="K68" i="29"/>
  <c r="K66" i="29"/>
  <c r="K65" i="29"/>
  <c r="K64" i="29"/>
  <c r="K62" i="29"/>
  <c r="K60" i="29"/>
  <c r="K59" i="29"/>
  <c r="K58" i="29"/>
  <c r="K57" i="29"/>
  <c r="K55" i="29"/>
  <c r="K53" i="29"/>
  <c r="K51" i="29"/>
  <c r="K50" i="29"/>
  <c r="K48" i="29"/>
  <c r="K47" i="29"/>
  <c r="K45" i="29"/>
  <c r="K44" i="29"/>
  <c r="K42" i="29"/>
  <c r="K41" i="29"/>
  <c r="K40" i="29"/>
  <c r="K38" i="29"/>
  <c r="K37" i="29"/>
  <c r="K35" i="29"/>
  <c r="K34" i="29"/>
  <c r="K32" i="29"/>
  <c r="K31" i="29"/>
  <c r="K30" i="29"/>
  <c r="K29" i="29"/>
  <c r="K28" i="29"/>
  <c r="K27" i="29"/>
  <c r="K25" i="29"/>
  <c r="K24" i="29"/>
  <c r="K23" i="29"/>
  <c r="K22" i="29"/>
  <c r="K20" i="29"/>
  <c r="K18" i="29"/>
  <c r="K17" i="29"/>
  <c r="K15" i="29"/>
  <c r="K14" i="29"/>
  <c r="K12" i="29"/>
  <c r="K11" i="29"/>
  <c r="K10" i="29"/>
  <c r="K9" i="29"/>
  <c r="K8" i="29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K88" i="28"/>
  <c r="K86" i="28"/>
  <c r="K85" i="28"/>
  <c r="K84" i="28"/>
  <c r="K83" i="28"/>
  <c r="K82" i="28"/>
  <c r="K81" i="28"/>
  <c r="K80" i="28"/>
  <c r="K79" i="28"/>
  <c r="K78" i="28"/>
  <c r="K76" i="28"/>
  <c r="K75" i="28"/>
  <c r="K73" i="28"/>
  <c r="K72" i="28"/>
  <c r="K71" i="28"/>
  <c r="K70" i="28"/>
  <c r="K68" i="28"/>
  <c r="K66" i="28"/>
  <c r="K65" i="28"/>
  <c r="K64" i="28"/>
  <c r="K62" i="28"/>
  <c r="K60" i="28"/>
  <c r="K59" i="28"/>
  <c r="K58" i="28"/>
  <c r="K57" i="28"/>
  <c r="K55" i="28"/>
  <c r="K53" i="28"/>
  <c r="K51" i="28"/>
  <c r="K50" i="28"/>
  <c r="K48" i="28"/>
  <c r="K47" i="28"/>
  <c r="K45" i="28"/>
  <c r="K44" i="28"/>
  <c r="K42" i="28"/>
  <c r="K41" i="28"/>
  <c r="K40" i="28"/>
  <c r="K38" i="28"/>
  <c r="K37" i="28"/>
  <c r="K35" i="28"/>
  <c r="K34" i="28"/>
  <c r="K32" i="28"/>
  <c r="K31" i="28"/>
  <c r="K30" i="28"/>
  <c r="K29" i="28"/>
  <c r="K28" i="28"/>
  <c r="K27" i="28"/>
  <c r="K25" i="28"/>
  <c r="K24" i="28"/>
  <c r="K23" i="28"/>
  <c r="K22" i="28"/>
  <c r="K20" i="28"/>
  <c r="K18" i="28"/>
  <c r="K17" i="28"/>
  <c r="K15" i="28"/>
  <c r="K14" i="28"/>
  <c r="K12" i="28"/>
  <c r="K11" i="28"/>
  <c r="K10" i="28"/>
  <c r="K9" i="28"/>
  <c r="K8" i="28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K88" i="6"/>
  <c r="K86" i="6"/>
  <c r="K85" i="6"/>
  <c r="K84" i="6"/>
  <c r="K83" i="6"/>
  <c r="K82" i="6"/>
  <c r="K81" i="6"/>
  <c r="K80" i="6"/>
  <c r="K79" i="6"/>
  <c r="K78" i="6"/>
  <c r="K76" i="6"/>
  <c r="K75" i="6"/>
  <c r="H75" i="1" s="1"/>
  <c r="K73" i="6"/>
  <c r="K72" i="6"/>
  <c r="K71" i="6"/>
  <c r="K70" i="6"/>
  <c r="H70" i="1" s="1"/>
  <c r="K68" i="6"/>
  <c r="K66" i="6"/>
  <c r="K65" i="6"/>
  <c r="K64" i="6"/>
  <c r="K62" i="6"/>
  <c r="K60" i="6"/>
  <c r="K59" i="6"/>
  <c r="K58" i="6"/>
  <c r="H58" i="1" s="1"/>
  <c r="K57" i="6"/>
  <c r="K55" i="6"/>
  <c r="K53" i="6"/>
  <c r="K51" i="6"/>
  <c r="H51" i="1" s="1"/>
  <c r="K50" i="6"/>
  <c r="K48" i="6"/>
  <c r="K47" i="6"/>
  <c r="K45" i="6"/>
  <c r="H45" i="1" s="1"/>
  <c r="K44" i="6"/>
  <c r="K42" i="6"/>
  <c r="K41" i="6"/>
  <c r="K40" i="6"/>
  <c r="K38" i="6"/>
  <c r="K37" i="6"/>
  <c r="K35" i="6"/>
  <c r="K34" i="6"/>
  <c r="H34" i="1" s="1"/>
  <c r="K32" i="6"/>
  <c r="K31" i="6"/>
  <c r="K30" i="6"/>
  <c r="K29" i="6"/>
  <c r="H29" i="1" s="1"/>
  <c r="K28" i="6"/>
  <c r="K27" i="6"/>
  <c r="K25" i="6"/>
  <c r="K24" i="6"/>
  <c r="K23" i="6"/>
  <c r="K22" i="6"/>
  <c r="K20" i="6"/>
  <c r="K18" i="6"/>
  <c r="H18" i="1" s="1"/>
  <c r="K17" i="6"/>
  <c r="K15" i="6"/>
  <c r="K14" i="6"/>
  <c r="K12" i="6"/>
  <c r="K11" i="6"/>
  <c r="K9" i="6"/>
  <c r="K8" i="6"/>
  <c r="H8" i="1" s="1"/>
  <c r="H9" i="1"/>
  <c r="H10" i="1"/>
  <c r="H11" i="1"/>
  <c r="H12" i="1"/>
  <c r="H13" i="1"/>
  <c r="H14" i="1"/>
  <c r="H15" i="1"/>
  <c r="H16" i="1"/>
  <c r="H17" i="1"/>
  <c r="H19" i="1"/>
  <c r="H20" i="1"/>
  <c r="H21" i="1"/>
  <c r="H22" i="1"/>
  <c r="H23" i="1"/>
  <c r="H24" i="1"/>
  <c r="H25" i="1"/>
  <c r="H26" i="1"/>
  <c r="H27" i="1"/>
  <c r="H28" i="1"/>
  <c r="H30" i="1"/>
  <c r="H31" i="1"/>
  <c r="H32" i="1"/>
  <c r="H33" i="1"/>
  <c r="H35" i="1"/>
  <c r="H36" i="1"/>
  <c r="H37" i="1"/>
  <c r="H38" i="1"/>
  <c r="H39" i="1"/>
  <c r="H40" i="1"/>
  <c r="H41" i="1"/>
  <c r="H42" i="1"/>
  <c r="H43" i="1"/>
  <c r="H44" i="1"/>
  <c r="H46" i="1"/>
  <c r="H47" i="1"/>
  <c r="H48" i="1"/>
  <c r="H49" i="1"/>
  <c r="H50" i="1"/>
  <c r="H52" i="1"/>
  <c r="H53" i="1"/>
  <c r="H54" i="1"/>
  <c r="H55" i="1"/>
  <c r="H56" i="1"/>
  <c r="H57" i="1"/>
  <c r="H59" i="1"/>
  <c r="H60" i="1"/>
  <c r="H61" i="1"/>
  <c r="H62" i="1"/>
  <c r="H63" i="1"/>
  <c r="H64" i="1"/>
  <c r="H65" i="1"/>
  <c r="H66" i="1"/>
  <c r="H67" i="1"/>
  <c r="H68" i="1"/>
  <c r="H69" i="1"/>
  <c r="H71" i="1"/>
  <c r="H72" i="1"/>
  <c r="H73" i="1"/>
  <c r="H74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" i="1"/>
  <c r="K88" i="27"/>
  <c r="K86" i="27"/>
  <c r="K85" i="27"/>
  <c r="K84" i="27"/>
  <c r="K83" i="27"/>
  <c r="K82" i="27"/>
  <c r="K81" i="27"/>
  <c r="K80" i="27"/>
  <c r="K79" i="27"/>
  <c r="K78" i="27"/>
  <c r="K76" i="27"/>
  <c r="K75" i="27"/>
  <c r="K73" i="27"/>
  <c r="K72" i="27"/>
  <c r="K71" i="27"/>
  <c r="K70" i="27"/>
  <c r="K68" i="27"/>
  <c r="K66" i="27"/>
  <c r="K65" i="27"/>
  <c r="K64" i="27"/>
  <c r="K62" i="27"/>
  <c r="K60" i="27"/>
  <c r="K59" i="27"/>
  <c r="K58" i="27"/>
  <c r="K57" i="27"/>
  <c r="K55" i="27"/>
  <c r="K53" i="27"/>
  <c r="K51" i="27"/>
  <c r="K50" i="27"/>
  <c r="K48" i="27"/>
  <c r="K47" i="27"/>
  <c r="K45" i="27"/>
  <c r="K44" i="27"/>
  <c r="K42" i="27"/>
  <c r="K41" i="27"/>
  <c r="K40" i="27"/>
  <c r="K38" i="27"/>
  <c r="K37" i="27"/>
  <c r="K35" i="27"/>
  <c r="K34" i="27"/>
  <c r="K32" i="27"/>
  <c r="K31" i="27"/>
  <c r="K30" i="27"/>
  <c r="K29" i="27"/>
  <c r="K28" i="27"/>
  <c r="K27" i="27"/>
  <c r="K25" i="27"/>
  <c r="K24" i="27"/>
  <c r="K23" i="27"/>
  <c r="K22" i="27"/>
  <c r="K20" i="27"/>
  <c r="K18" i="27"/>
  <c r="K17" i="27"/>
  <c r="K15" i="27"/>
  <c r="K14" i="27"/>
  <c r="K12" i="27"/>
  <c r="K11" i="27"/>
  <c r="K10" i="27"/>
  <c r="K9" i="27"/>
  <c r="K8" i="27"/>
  <c r="K88" i="26"/>
  <c r="K86" i="26"/>
  <c r="K85" i="26"/>
  <c r="K84" i="26"/>
  <c r="K83" i="26"/>
  <c r="K82" i="26"/>
  <c r="K81" i="26"/>
  <c r="K80" i="26"/>
  <c r="K79" i="26"/>
  <c r="K78" i="26"/>
  <c r="K76" i="26"/>
  <c r="K75" i="26"/>
  <c r="K73" i="26"/>
  <c r="K72" i="26"/>
  <c r="K71" i="26"/>
  <c r="K70" i="26"/>
  <c r="K68" i="26"/>
  <c r="K66" i="26"/>
  <c r="K65" i="26"/>
  <c r="K64" i="26"/>
  <c r="K62" i="26"/>
  <c r="K60" i="26"/>
  <c r="K59" i="26"/>
  <c r="K58" i="26"/>
  <c r="K57" i="26"/>
  <c r="K55" i="26"/>
  <c r="K53" i="26"/>
  <c r="K51" i="26"/>
  <c r="K50" i="26"/>
  <c r="K48" i="26"/>
  <c r="K47" i="26"/>
  <c r="K45" i="26"/>
  <c r="K44" i="26"/>
  <c r="K42" i="26"/>
  <c r="K41" i="26"/>
  <c r="K40" i="26"/>
  <c r="K38" i="26"/>
  <c r="K37" i="26"/>
  <c r="K35" i="26"/>
  <c r="K34" i="26"/>
  <c r="K32" i="26"/>
  <c r="K31" i="26"/>
  <c r="K30" i="26"/>
  <c r="K29" i="26"/>
  <c r="K28" i="26"/>
  <c r="K27" i="26"/>
  <c r="K25" i="26"/>
  <c r="K24" i="26"/>
  <c r="K23" i="26"/>
  <c r="K22" i="26"/>
  <c r="K20" i="26"/>
  <c r="K18" i="26"/>
  <c r="K17" i="26"/>
  <c r="K15" i="26"/>
  <c r="K14" i="26"/>
  <c r="K12" i="26"/>
  <c r="K11" i="26"/>
  <c r="K10" i="26"/>
  <c r="K9" i="26"/>
  <c r="K8" i="26"/>
  <c r="K88" i="25"/>
  <c r="K86" i="25"/>
  <c r="K85" i="25"/>
  <c r="K84" i="25"/>
  <c r="K83" i="25"/>
  <c r="K82" i="25"/>
  <c r="K81" i="25"/>
  <c r="K80" i="25"/>
  <c r="K79" i="25"/>
  <c r="K78" i="25"/>
  <c r="K76" i="25"/>
  <c r="K75" i="25"/>
  <c r="K73" i="25"/>
  <c r="K72" i="25"/>
  <c r="K71" i="25"/>
  <c r="K70" i="25"/>
  <c r="K68" i="25"/>
  <c r="K66" i="25"/>
  <c r="K65" i="25"/>
  <c r="K64" i="25"/>
  <c r="K62" i="25"/>
  <c r="K60" i="25"/>
  <c r="K59" i="25"/>
  <c r="K58" i="25"/>
  <c r="K57" i="25"/>
  <c r="K55" i="25"/>
  <c r="K53" i="25"/>
  <c r="K51" i="25"/>
  <c r="K50" i="25"/>
  <c r="K48" i="25"/>
  <c r="K47" i="25"/>
  <c r="K45" i="25"/>
  <c r="K44" i="25"/>
  <c r="K42" i="25"/>
  <c r="K41" i="25"/>
  <c r="K40" i="25"/>
  <c r="K38" i="25"/>
  <c r="K37" i="25"/>
  <c r="K35" i="25"/>
  <c r="K34" i="25"/>
  <c r="K32" i="25"/>
  <c r="K31" i="25"/>
  <c r="K30" i="25"/>
  <c r="K29" i="25"/>
  <c r="K28" i="25"/>
  <c r="K27" i="25"/>
  <c r="K25" i="25"/>
  <c r="K24" i="25"/>
  <c r="K23" i="25"/>
  <c r="K22" i="25"/>
  <c r="K20" i="25"/>
  <c r="K18" i="25"/>
  <c r="K17" i="25"/>
  <c r="K15" i="25"/>
  <c r="K14" i="25"/>
  <c r="K12" i="25"/>
  <c r="K11" i="25"/>
  <c r="K10" i="25"/>
  <c r="K9" i="25"/>
  <c r="K8" i="25"/>
  <c r="K88" i="24"/>
  <c r="K86" i="24"/>
  <c r="K85" i="24"/>
  <c r="K84" i="24"/>
  <c r="K83" i="24"/>
  <c r="K82" i="24"/>
  <c r="K81" i="24"/>
  <c r="K80" i="24"/>
  <c r="K79" i="24"/>
  <c r="K78" i="24"/>
  <c r="K76" i="24"/>
  <c r="K75" i="24"/>
  <c r="K73" i="24"/>
  <c r="K72" i="24"/>
  <c r="K71" i="24"/>
  <c r="K70" i="24"/>
  <c r="K68" i="24"/>
  <c r="K66" i="24"/>
  <c r="K65" i="24"/>
  <c r="K64" i="24"/>
  <c r="K62" i="24"/>
  <c r="K60" i="24"/>
  <c r="K59" i="24"/>
  <c r="K58" i="24"/>
  <c r="K57" i="24"/>
  <c r="K55" i="24"/>
  <c r="K53" i="24"/>
  <c r="K51" i="24"/>
  <c r="K50" i="24"/>
  <c r="K48" i="24"/>
  <c r="K47" i="24"/>
  <c r="K45" i="24"/>
  <c r="K44" i="24"/>
  <c r="K42" i="24"/>
  <c r="K41" i="24"/>
  <c r="K40" i="24"/>
  <c r="K38" i="24"/>
  <c r="K37" i="24"/>
  <c r="K35" i="24"/>
  <c r="K34" i="24"/>
  <c r="K32" i="24"/>
  <c r="K31" i="24"/>
  <c r="K30" i="24"/>
  <c r="K29" i="24"/>
  <c r="K28" i="24"/>
  <c r="K27" i="24"/>
  <c r="K25" i="24"/>
  <c r="K24" i="24"/>
  <c r="K23" i="24"/>
  <c r="K22" i="24"/>
  <c r="K20" i="24"/>
  <c r="K18" i="24"/>
  <c r="K17" i="24"/>
  <c r="K15" i="24"/>
  <c r="K14" i="24"/>
  <c r="K12" i="24"/>
  <c r="K11" i="24"/>
  <c r="K10" i="24"/>
  <c r="K9" i="24"/>
  <c r="K8" i="24"/>
  <c r="K88" i="23"/>
  <c r="K86" i="23"/>
  <c r="K85" i="23"/>
  <c r="K84" i="23"/>
  <c r="K83" i="23"/>
  <c r="K82" i="23"/>
  <c r="K81" i="23"/>
  <c r="K80" i="23"/>
  <c r="K79" i="23"/>
  <c r="K78" i="23"/>
  <c r="K76" i="23"/>
  <c r="K75" i="23"/>
  <c r="K73" i="23"/>
  <c r="K72" i="23"/>
  <c r="K71" i="23"/>
  <c r="K70" i="23"/>
  <c r="K68" i="23"/>
  <c r="K66" i="23"/>
  <c r="K65" i="23"/>
  <c r="K64" i="23"/>
  <c r="K62" i="23"/>
  <c r="K60" i="23"/>
  <c r="K59" i="23"/>
  <c r="K58" i="23"/>
  <c r="K57" i="23"/>
  <c r="K55" i="23"/>
  <c r="K53" i="23"/>
  <c r="K51" i="23"/>
  <c r="K50" i="23"/>
  <c r="K48" i="23"/>
  <c r="K47" i="23"/>
  <c r="K45" i="23"/>
  <c r="K44" i="23"/>
  <c r="K42" i="23"/>
  <c r="K41" i="23"/>
  <c r="K40" i="23"/>
  <c r="K38" i="23"/>
  <c r="K37" i="23"/>
  <c r="K35" i="23"/>
  <c r="K34" i="23"/>
  <c r="K32" i="23"/>
  <c r="K31" i="23"/>
  <c r="K30" i="23"/>
  <c r="K29" i="23"/>
  <c r="K28" i="23"/>
  <c r="K27" i="23"/>
  <c r="K25" i="23"/>
  <c r="K24" i="23"/>
  <c r="K23" i="23"/>
  <c r="K22" i="23"/>
  <c r="K20" i="23"/>
  <c r="K18" i="23"/>
  <c r="K17" i="23"/>
  <c r="K15" i="23"/>
  <c r="K14" i="23"/>
  <c r="K12" i="23"/>
  <c r="K11" i="23"/>
  <c r="K9" i="23"/>
  <c r="K8" i="23"/>
  <c r="K88" i="22"/>
  <c r="K86" i="22"/>
  <c r="K85" i="22"/>
  <c r="K84" i="22"/>
  <c r="K83" i="22"/>
  <c r="K82" i="22"/>
  <c r="K81" i="22"/>
  <c r="K80" i="22"/>
  <c r="K79" i="22"/>
  <c r="K78" i="22"/>
  <c r="K76" i="22"/>
  <c r="K75" i="22"/>
  <c r="K73" i="22"/>
  <c r="K72" i="22"/>
  <c r="K71" i="22"/>
  <c r="K70" i="22"/>
  <c r="K68" i="22"/>
  <c r="K66" i="22"/>
  <c r="K65" i="22"/>
  <c r="K64" i="22"/>
  <c r="K62" i="22"/>
  <c r="K60" i="22"/>
  <c r="K59" i="22"/>
  <c r="K58" i="22"/>
  <c r="K57" i="22"/>
  <c r="K55" i="22"/>
  <c r="K53" i="22"/>
  <c r="K51" i="22"/>
  <c r="K50" i="22"/>
  <c r="K48" i="22"/>
  <c r="K47" i="22"/>
  <c r="K45" i="22"/>
  <c r="K44" i="22"/>
  <c r="K42" i="22"/>
  <c r="K41" i="22"/>
  <c r="K40" i="22"/>
  <c r="K38" i="22"/>
  <c r="K37" i="22"/>
  <c r="K35" i="22"/>
  <c r="K34" i="22"/>
  <c r="K32" i="22"/>
  <c r="K31" i="22"/>
  <c r="K30" i="22"/>
  <c r="K29" i="22"/>
  <c r="K28" i="22"/>
  <c r="K27" i="22"/>
  <c r="K25" i="22"/>
  <c r="K24" i="22"/>
  <c r="K23" i="22"/>
  <c r="K22" i="22"/>
  <c r="K20" i="22"/>
  <c r="K18" i="22"/>
  <c r="K17" i="22"/>
  <c r="K15" i="22"/>
  <c r="K14" i="22"/>
  <c r="K12" i="22"/>
  <c r="K11" i="22"/>
  <c r="K9" i="22"/>
  <c r="K8" i="22"/>
  <c r="K88" i="20"/>
  <c r="K86" i="20"/>
  <c r="K85" i="20"/>
  <c r="K84" i="20"/>
  <c r="K83" i="20"/>
  <c r="K82" i="20"/>
  <c r="K81" i="20"/>
  <c r="K80" i="20"/>
  <c r="K79" i="20"/>
  <c r="K78" i="20"/>
  <c r="K76" i="20"/>
  <c r="K75" i="20"/>
  <c r="K73" i="20"/>
  <c r="K72" i="20"/>
  <c r="K71" i="20"/>
  <c r="K70" i="20"/>
  <c r="K68" i="20"/>
  <c r="K66" i="20"/>
  <c r="K65" i="20"/>
  <c r="K64" i="20"/>
  <c r="K62" i="20"/>
  <c r="K60" i="20"/>
  <c r="K59" i="20"/>
  <c r="K58" i="20"/>
  <c r="K57" i="20"/>
  <c r="K55" i="20"/>
  <c r="K53" i="20"/>
  <c r="K51" i="20"/>
  <c r="K50" i="20"/>
  <c r="K48" i="20"/>
  <c r="K47" i="20"/>
  <c r="K45" i="20"/>
  <c r="K44" i="20"/>
  <c r="K42" i="20"/>
  <c r="K41" i="20"/>
  <c r="K40" i="20"/>
  <c r="K38" i="20"/>
  <c r="K37" i="20"/>
  <c r="K35" i="20"/>
  <c r="K34" i="20"/>
  <c r="K32" i="20"/>
  <c r="K31" i="20"/>
  <c r="K30" i="20"/>
  <c r="K29" i="20"/>
  <c r="K28" i="20"/>
  <c r="K27" i="20"/>
  <c r="K25" i="20"/>
  <c r="K24" i="20"/>
  <c r="K23" i="20"/>
  <c r="K22" i="20"/>
  <c r="K20" i="20"/>
  <c r="K18" i="20"/>
  <c r="K17" i="20"/>
  <c r="K15" i="20"/>
  <c r="K14" i="20"/>
  <c r="K12" i="20"/>
  <c r="K11" i="20"/>
  <c r="K9" i="20"/>
  <c r="K8" i="20"/>
  <c r="K88" i="21"/>
  <c r="K86" i="21"/>
  <c r="K85" i="21"/>
  <c r="K84" i="21"/>
  <c r="K83" i="21"/>
  <c r="K82" i="21"/>
  <c r="K81" i="21"/>
  <c r="K80" i="21"/>
  <c r="K79" i="21"/>
  <c r="K78" i="21"/>
  <c r="K76" i="21"/>
  <c r="K75" i="21"/>
  <c r="K73" i="21"/>
  <c r="K72" i="21"/>
  <c r="K71" i="21"/>
  <c r="K70" i="21"/>
  <c r="K68" i="21"/>
  <c r="K66" i="21"/>
  <c r="K65" i="21"/>
  <c r="K64" i="21"/>
  <c r="K62" i="21"/>
  <c r="K60" i="21"/>
  <c r="K59" i="21"/>
  <c r="K58" i="21"/>
  <c r="K57" i="21"/>
  <c r="K55" i="21"/>
  <c r="K53" i="21"/>
  <c r="K51" i="21"/>
  <c r="K50" i="21"/>
  <c r="K48" i="21"/>
  <c r="K47" i="21"/>
  <c r="K45" i="21"/>
  <c r="K44" i="21"/>
  <c r="K42" i="21"/>
  <c r="K41" i="21"/>
  <c r="K40" i="21"/>
  <c r="K38" i="21"/>
  <c r="K37" i="21"/>
  <c r="K35" i="21"/>
  <c r="K34" i="21"/>
  <c r="K32" i="21"/>
  <c r="K31" i="21"/>
  <c r="K30" i="21"/>
  <c r="K29" i="21"/>
  <c r="K28" i="21"/>
  <c r="K27" i="21"/>
  <c r="K25" i="21"/>
  <c r="K24" i="21"/>
  <c r="K23" i="21"/>
  <c r="K22" i="21"/>
  <c r="K20" i="21"/>
  <c r="K18" i="21"/>
  <c r="K17" i="21"/>
  <c r="K15" i="21"/>
  <c r="K14" i="21"/>
  <c r="K12" i="21"/>
  <c r="K11" i="21"/>
  <c r="K9" i="21"/>
  <c r="K8" i="21"/>
  <c r="K88" i="19"/>
  <c r="K86" i="19"/>
  <c r="K85" i="19"/>
  <c r="K84" i="19"/>
  <c r="K83" i="19"/>
  <c r="K82" i="19"/>
  <c r="K81" i="19"/>
  <c r="K80" i="19"/>
  <c r="K79" i="19"/>
  <c r="K78" i="19"/>
  <c r="K76" i="19"/>
  <c r="K75" i="19"/>
  <c r="K73" i="19"/>
  <c r="K72" i="19"/>
  <c r="K71" i="19"/>
  <c r="K70" i="19"/>
  <c r="K68" i="19"/>
  <c r="K66" i="19"/>
  <c r="K65" i="19"/>
  <c r="K64" i="19"/>
  <c r="K62" i="19"/>
  <c r="K60" i="19"/>
  <c r="K59" i="19"/>
  <c r="K58" i="19"/>
  <c r="K57" i="19"/>
  <c r="K55" i="19"/>
  <c r="K53" i="19"/>
  <c r="K51" i="19"/>
  <c r="K50" i="19"/>
  <c r="K48" i="19"/>
  <c r="K47" i="19"/>
  <c r="K45" i="19"/>
  <c r="K44" i="19"/>
  <c r="K42" i="19"/>
  <c r="K41" i="19"/>
  <c r="K40" i="19"/>
  <c r="K38" i="19"/>
  <c r="K37" i="19"/>
  <c r="K35" i="19"/>
  <c r="K34" i="19"/>
  <c r="K32" i="19"/>
  <c r="K31" i="19"/>
  <c r="K30" i="19"/>
  <c r="K29" i="19"/>
  <c r="K28" i="19"/>
  <c r="K27" i="19"/>
  <c r="K25" i="19"/>
  <c r="K24" i="19"/>
  <c r="K23" i="19"/>
  <c r="K22" i="19"/>
  <c r="K20" i="19"/>
  <c r="K18" i="19"/>
  <c r="K17" i="19"/>
  <c r="K15" i="19"/>
  <c r="K14" i="19"/>
  <c r="K12" i="19"/>
  <c r="K11" i="19"/>
  <c r="K9" i="19"/>
  <c r="K8" i="19"/>
  <c r="K88" i="18"/>
  <c r="K86" i="18"/>
  <c r="K85" i="18"/>
  <c r="K84" i="18"/>
  <c r="K83" i="18"/>
  <c r="K82" i="18"/>
  <c r="K81" i="18"/>
  <c r="K80" i="18"/>
  <c r="K79" i="18"/>
  <c r="K78" i="18"/>
  <c r="K76" i="18"/>
  <c r="K75" i="18"/>
  <c r="K73" i="18"/>
  <c r="K72" i="18"/>
  <c r="K71" i="18"/>
  <c r="K70" i="18"/>
  <c r="K68" i="18"/>
  <c r="K66" i="18"/>
  <c r="K65" i="18"/>
  <c r="K64" i="18"/>
  <c r="K62" i="18"/>
  <c r="K60" i="18"/>
  <c r="K59" i="18"/>
  <c r="K58" i="18"/>
  <c r="K57" i="18"/>
  <c r="K55" i="18"/>
  <c r="K53" i="18"/>
  <c r="K51" i="18"/>
  <c r="K50" i="18"/>
  <c r="K48" i="18"/>
  <c r="K47" i="18"/>
  <c r="K45" i="18"/>
  <c r="K44" i="18"/>
  <c r="K42" i="18"/>
  <c r="K41" i="18"/>
  <c r="K40" i="18"/>
  <c r="K38" i="18"/>
  <c r="K37" i="18"/>
  <c r="K35" i="18"/>
  <c r="K34" i="18"/>
  <c r="K32" i="18"/>
  <c r="K31" i="18"/>
  <c r="K30" i="18"/>
  <c r="K29" i="18"/>
  <c r="K28" i="18"/>
  <c r="K27" i="18"/>
  <c r="K25" i="18"/>
  <c r="K24" i="18"/>
  <c r="K23" i="18"/>
  <c r="K22" i="18"/>
  <c r="K20" i="18"/>
  <c r="K18" i="18"/>
  <c r="K17" i="18"/>
  <c r="K15" i="18"/>
  <c r="K14" i="18"/>
  <c r="K12" i="18"/>
  <c r="K11" i="18"/>
  <c r="K9" i="18"/>
  <c r="K8" i="18"/>
  <c r="K88" i="17" l="1"/>
  <c r="K86" i="17"/>
  <c r="K85" i="17"/>
  <c r="K84" i="17"/>
  <c r="K83" i="17"/>
  <c r="K82" i="17"/>
  <c r="K81" i="17"/>
  <c r="K80" i="17"/>
  <c r="K79" i="17"/>
  <c r="K78" i="17"/>
  <c r="K76" i="17"/>
  <c r="K75" i="17"/>
  <c r="K73" i="17"/>
  <c r="K72" i="17"/>
  <c r="K71" i="17"/>
  <c r="K70" i="17"/>
  <c r="K68" i="17"/>
  <c r="K66" i="17"/>
  <c r="K65" i="17"/>
  <c r="K64" i="17"/>
  <c r="K62" i="17"/>
  <c r="K60" i="17"/>
  <c r="K59" i="17"/>
  <c r="K58" i="17"/>
  <c r="K57" i="17"/>
  <c r="K55" i="17"/>
  <c r="K53" i="17"/>
  <c r="K51" i="17"/>
  <c r="K50" i="17"/>
  <c r="K48" i="17"/>
  <c r="K47" i="17"/>
  <c r="K45" i="17"/>
  <c r="K44" i="17"/>
  <c r="K42" i="17"/>
  <c r="K41" i="17"/>
  <c r="K40" i="17"/>
  <c r="K38" i="17"/>
  <c r="K37" i="17"/>
  <c r="K35" i="17"/>
  <c r="K34" i="17"/>
  <c r="K32" i="17"/>
  <c r="K31" i="17"/>
  <c r="K30" i="17"/>
  <c r="K29" i="17"/>
  <c r="K28" i="17"/>
  <c r="K27" i="17"/>
  <c r="K25" i="17"/>
  <c r="K24" i="17"/>
  <c r="K23" i="17"/>
  <c r="K22" i="17"/>
  <c r="K20" i="17"/>
  <c r="K18" i="17"/>
  <c r="K17" i="17"/>
  <c r="K15" i="17"/>
  <c r="K14" i="17"/>
  <c r="K12" i="17"/>
  <c r="K11" i="17"/>
  <c r="K9" i="17"/>
  <c r="K8" i="17"/>
  <c r="K88" i="16"/>
  <c r="K86" i="16"/>
  <c r="K85" i="16"/>
  <c r="K84" i="16"/>
  <c r="K83" i="16"/>
  <c r="K82" i="16"/>
  <c r="K81" i="16"/>
  <c r="K80" i="16"/>
  <c r="K79" i="16"/>
  <c r="K78" i="16"/>
  <c r="K76" i="16"/>
  <c r="K75" i="16"/>
  <c r="K73" i="16"/>
  <c r="K72" i="16"/>
  <c r="K71" i="16"/>
  <c r="K70" i="16"/>
  <c r="K68" i="16"/>
  <c r="K66" i="16"/>
  <c r="K65" i="16"/>
  <c r="K64" i="16"/>
  <c r="K62" i="16"/>
  <c r="K60" i="16"/>
  <c r="K59" i="16"/>
  <c r="K58" i="16"/>
  <c r="K57" i="16"/>
  <c r="K55" i="16"/>
  <c r="K53" i="16"/>
  <c r="K51" i="16"/>
  <c r="K50" i="16"/>
  <c r="K48" i="16"/>
  <c r="K47" i="16"/>
  <c r="K45" i="16"/>
  <c r="K44" i="16"/>
  <c r="K42" i="16"/>
  <c r="K41" i="16"/>
  <c r="K40" i="16"/>
  <c r="K38" i="16"/>
  <c r="K37" i="16"/>
  <c r="K35" i="16"/>
  <c r="K34" i="16"/>
  <c r="K32" i="16"/>
  <c r="K31" i="16"/>
  <c r="K30" i="16"/>
  <c r="K29" i="16"/>
  <c r="K28" i="16"/>
  <c r="K27" i="16"/>
  <c r="K25" i="16"/>
  <c r="K24" i="16"/>
  <c r="K23" i="16"/>
  <c r="K22" i="16"/>
  <c r="K20" i="16"/>
  <c r="K18" i="16"/>
  <c r="K17" i="16"/>
  <c r="K15" i="16"/>
  <c r="K14" i="16"/>
  <c r="K12" i="16"/>
  <c r="K11" i="16"/>
  <c r="K9" i="16"/>
  <c r="K8" i="16"/>
  <c r="K88" i="15" l="1"/>
  <c r="K86" i="15"/>
  <c r="K85" i="15"/>
  <c r="K84" i="15"/>
  <c r="K83" i="15"/>
  <c r="K82" i="15"/>
  <c r="K81" i="15"/>
  <c r="K80" i="15"/>
  <c r="K79" i="15"/>
  <c r="K78" i="15"/>
  <c r="K76" i="15"/>
  <c r="K75" i="15"/>
  <c r="K73" i="15"/>
  <c r="K72" i="15"/>
  <c r="K71" i="15"/>
  <c r="K70" i="15"/>
  <c r="K68" i="15"/>
  <c r="K66" i="15"/>
  <c r="K65" i="15"/>
  <c r="K64" i="15"/>
  <c r="K62" i="15"/>
  <c r="K60" i="15"/>
  <c r="K59" i="15"/>
  <c r="K58" i="15"/>
  <c r="K57" i="15"/>
  <c r="K55" i="15"/>
  <c r="K53" i="15"/>
  <c r="K51" i="15"/>
  <c r="K50" i="15"/>
  <c r="K48" i="15"/>
  <c r="K47" i="15"/>
  <c r="K45" i="15"/>
  <c r="K44" i="15"/>
  <c r="K42" i="15"/>
  <c r="K41" i="15"/>
  <c r="K40" i="15"/>
  <c r="K38" i="15"/>
  <c r="K37" i="15"/>
  <c r="K35" i="15"/>
  <c r="K34" i="15"/>
  <c r="K32" i="15"/>
  <c r="K31" i="15"/>
  <c r="K30" i="15"/>
  <c r="K29" i="15"/>
  <c r="K28" i="15"/>
  <c r="K27" i="15"/>
  <c r="K25" i="15"/>
  <c r="K24" i="15"/>
  <c r="K23" i="15"/>
  <c r="K22" i="15"/>
  <c r="K20" i="15"/>
  <c r="K18" i="15"/>
  <c r="K17" i="15"/>
  <c r="K15" i="15"/>
  <c r="K14" i="15"/>
  <c r="K12" i="15"/>
  <c r="K11" i="15"/>
  <c r="K9" i="15"/>
  <c r="K8" i="15"/>
  <c r="K88" i="14"/>
  <c r="K86" i="14"/>
  <c r="K85" i="14"/>
  <c r="K84" i="14"/>
  <c r="K83" i="14"/>
  <c r="K82" i="14"/>
  <c r="K81" i="14"/>
  <c r="K80" i="14"/>
  <c r="K79" i="14"/>
  <c r="K78" i="14"/>
  <c r="K76" i="14"/>
  <c r="K75" i="14"/>
  <c r="K73" i="14"/>
  <c r="K72" i="14"/>
  <c r="K71" i="14"/>
  <c r="K70" i="14"/>
  <c r="K68" i="14"/>
  <c r="K66" i="14"/>
  <c r="K65" i="14"/>
  <c r="K64" i="14"/>
  <c r="K62" i="14"/>
  <c r="K60" i="14"/>
  <c r="K59" i="14"/>
  <c r="K58" i="14"/>
  <c r="K57" i="14"/>
  <c r="K55" i="14"/>
  <c r="K53" i="14"/>
  <c r="K51" i="14"/>
  <c r="K50" i="14"/>
  <c r="K48" i="14"/>
  <c r="K47" i="14"/>
  <c r="K45" i="14"/>
  <c r="K44" i="14"/>
  <c r="K42" i="14"/>
  <c r="K41" i="14"/>
  <c r="K40" i="14"/>
  <c r="K38" i="14"/>
  <c r="K37" i="14"/>
  <c r="K35" i="14"/>
  <c r="K34" i="14"/>
  <c r="K32" i="14"/>
  <c r="K31" i="14"/>
  <c r="K30" i="14"/>
  <c r="K29" i="14"/>
  <c r="K28" i="14"/>
  <c r="K27" i="14"/>
  <c r="K25" i="14"/>
  <c r="K24" i="14"/>
  <c r="K23" i="14"/>
  <c r="K22" i="14"/>
  <c r="K20" i="14"/>
  <c r="K18" i="14"/>
  <c r="K17" i="14"/>
  <c r="K15" i="14"/>
  <c r="K14" i="14"/>
  <c r="K12" i="14"/>
  <c r="K11" i="14"/>
  <c r="K9" i="14"/>
  <c r="K8" i="14"/>
  <c r="K88" i="13"/>
  <c r="K86" i="13"/>
  <c r="K85" i="13"/>
  <c r="K84" i="13"/>
  <c r="K83" i="13"/>
  <c r="K82" i="13"/>
  <c r="K81" i="13"/>
  <c r="K80" i="13"/>
  <c r="K79" i="13"/>
  <c r="K78" i="13"/>
  <c r="K76" i="13"/>
  <c r="K75" i="13"/>
  <c r="K73" i="13"/>
  <c r="K72" i="13"/>
  <c r="K71" i="13"/>
  <c r="K70" i="13"/>
  <c r="K68" i="13"/>
  <c r="K66" i="13"/>
  <c r="K65" i="13"/>
  <c r="K64" i="13"/>
  <c r="K62" i="13"/>
  <c r="K60" i="13"/>
  <c r="K59" i="13"/>
  <c r="K58" i="13"/>
  <c r="K57" i="13"/>
  <c r="K55" i="13"/>
  <c r="K53" i="13"/>
  <c r="K51" i="13"/>
  <c r="K50" i="13"/>
  <c r="K48" i="13"/>
  <c r="K47" i="13"/>
  <c r="K45" i="13"/>
  <c r="K44" i="13"/>
  <c r="K42" i="13"/>
  <c r="K41" i="13"/>
  <c r="K40" i="13"/>
  <c r="K38" i="13"/>
  <c r="K37" i="13"/>
  <c r="K35" i="13"/>
  <c r="K34" i="13"/>
  <c r="K32" i="13"/>
  <c r="K31" i="13"/>
  <c r="K30" i="13"/>
  <c r="K29" i="13"/>
  <c r="K28" i="13"/>
  <c r="K27" i="13"/>
  <c r="K25" i="13"/>
  <c r="K24" i="13"/>
  <c r="K23" i="13"/>
  <c r="K22" i="13"/>
  <c r="K20" i="13"/>
  <c r="K18" i="13"/>
  <c r="K17" i="13"/>
  <c r="K15" i="13"/>
  <c r="K14" i="13"/>
  <c r="K12" i="13"/>
  <c r="K11" i="13"/>
  <c r="K9" i="13"/>
  <c r="K8" i="13"/>
  <c r="K88" i="12"/>
  <c r="K86" i="12"/>
  <c r="K85" i="12"/>
  <c r="K84" i="12"/>
  <c r="K83" i="12"/>
  <c r="K82" i="12"/>
  <c r="K81" i="12"/>
  <c r="K80" i="12"/>
  <c r="K79" i="12"/>
  <c r="K78" i="12"/>
  <c r="K76" i="12"/>
  <c r="K75" i="12"/>
  <c r="K73" i="12"/>
  <c r="K72" i="12"/>
  <c r="K71" i="12"/>
  <c r="K70" i="12"/>
  <c r="K68" i="12"/>
  <c r="K66" i="12"/>
  <c r="K65" i="12"/>
  <c r="K64" i="12"/>
  <c r="K62" i="12"/>
  <c r="K60" i="12"/>
  <c r="K59" i="12"/>
  <c r="K58" i="12"/>
  <c r="K57" i="12"/>
  <c r="K55" i="12"/>
  <c r="K53" i="12"/>
  <c r="K51" i="12"/>
  <c r="K50" i="12"/>
  <c r="K48" i="12"/>
  <c r="K47" i="12"/>
  <c r="K45" i="12"/>
  <c r="K44" i="12"/>
  <c r="K42" i="12"/>
  <c r="K41" i="12"/>
  <c r="K40" i="12"/>
  <c r="K38" i="12"/>
  <c r="K37" i="12"/>
  <c r="K35" i="12"/>
  <c r="K34" i="12"/>
  <c r="K32" i="12"/>
  <c r="K31" i="12"/>
  <c r="K30" i="12"/>
  <c r="K29" i="12"/>
  <c r="K28" i="12"/>
  <c r="K27" i="12"/>
  <c r="K25" i="12"/>
  <c r="K24" i="12"/>
  <c r="K23" i="12"/>
  <c r="K22" i="12"/>
  <c r="K20" i="12"/>
  <c r="K18" i="12"/>
  <c r="K17" i="12"/>
  <c r="K15" i="12"/>
  <c r="K14" i="12"/>
  <c r="K12" i="12"/>
  <c r="K11" i="12"/>
  <c r="K9" i="12"/>
  <c r="K8" i="12"/>
  <c r="K88" i="11"/>
  <c r="K86" i="11"/>
  <c r="K85" i="11"/>
  <c r="K84" i="11"/>
  <c r="K83" i="11"/>
  <c r="K82" i="11"/>
  <c r="K81" i="11"/>
  <c r="K80" i="11"/>
  <c r="K79" i="11"/>
  <c r="K78" i="11"/>
  <c r="K76" i="11"/>
  <c r="K75" i="11"/>
  <c r="K73" i="11"/>
  <c r="K72" i="11"/>
  <c r="K71" i="11"/>
  <c r="K70" i="11"/>
  <c r="K68" i="11"/>
  <c r="K66" i="11"/>
  <c r="K65" i="11"/>
  <c r="K64" i="11"/>
  <c r="K62" i="11"/>
  <c r="K60" i="11"/>
  <c r="K59" i="11"/>
  <c r="K58" i="11"/>
  <c r="K57" i="11"/>
  <c r="K55" i="11"/>
  <c r="K53" i="11"/>
  <c r="K51" i="11"/>
  <c r="K50" i="11"/>
  <c r="K48" i="11"/>
  <c r="K47" i="11"/>
  <c r="K45" i="11"/>
  <c r="K44" i="11"/>
  <c r="K42" i="11"/>
  <c r="K41" i="11"/>
  <c r="K40" i="11"/>
  <c r="K38" i="11"/>
  <c r="K37" i="11"/>
  <c r="K35" i="11"/>
  <c r="K34" i="11"/>
  <c r="K32" i="11"/>
  <c r="K31" i="11"/>
  <c r="K30" i="11"/>
  <c r="K29" i="11"/>
  <c r="K28" i="11"/>
  <c r="K27" i="11"/>
  <c r="K25" i="11"/>
  <c r="K24" i="11"/>
  <c r="K23" i="11"/>
  <c r="K22" i="11"/>
  <c r="K20" i="11"/>
  <c r="K18" i="11"/>
  <c r="K17" i="11"/>
  <c r="K15" i="11"/>
  <c r="K14" i="11"/>
  <c r="K12" i="11"/>
  <c r="K11" i="11"/>
  <c r="K9" i="11"/>
  <c r="K8" i="11"/>
  <c r="K8" i="10"/>
  <c r="K9" i="10"/>
  <c r="K11" i="10"/>
  <c r="K12" i="10"/>
  <c r="K14" i="10"/>
  <c r="K15" i="10"/>
  <c r="K17" i="10"/>
  <c r="K18" i="10"/>
  <c r="K20" i="10"/>
  <c r="K22" i="10"/>
  <c r="K23" i="10"/>
  <c r="K24" i="10"/>
  <c r="K25" i="10"/>
  <c r="K27" i="10"/>
  <c r="K28" i="10"/>
  <c r="K29" i="10"/>
  <c r="K30" i="10"/>
  <c r="K31" i="10"/>
  <c r="K32" i="10"/>
  <c r="K34" i="10"/>
  <c r="K35" i="10"/>
  <c r="K37" i="10"/>
  <c r="K38" i="10"/>
  <c r="K40" i="10"/>
  <c r="K41" i="10"/>
  <c r="K42" i="10"/>
  <c r="K44" i="10"/>
  <c r="K45" i="10"/>
  <c r="K47" i="10"/>
  <c r="K48" i="10"/>
  <c r="K50" i="10"/>
  <c r="K51" i="10"/>
  <c r="K53" i="10"/>
  <c r="K55" i="10"/>
  <c r="K57" i="10"/>
  <c r="K58" i="10"/>
  <c r="K59" i="10"/>
  <c r="K60" i="10"/>
  <c r="K62" i="10"/>
  <c r="K64" i="10"/>
  <c r="K65" i="10"/>
  <c r="K66" i="10"/>
  <c r="K68" i="10"/>
  <c r="K70" i="10"/>
  <c r="K71" i="10"/>
  <c r="K72" i="10"/>
  <c r="K73" i="10"/>
  <c r="K75" i="10"/>
  <c r="K76" i="10"/>
  <c r="K78" i="10"/>
  <c r="K79" i="10"/>
  <c r="K80" i="10"/>
  <c r="K81" i="10"/>
  <c r="K82" i="10"/>
  <c r="K83" i="10"/>
  <c r="K84" i="10"/>
  <c r="K85" i="10"/>
  <c r="K86" i="10"/>
  <c r="K88" i="10"/>
  <c r="K88" i="9"/>
  <c r="K86" i="9"/>
  <c r="K85" i="9"/>
  <c r="K84" i="9"/>
  <c r="K83" i="9"/>
  <c r="K82" i="9"/>
  <c r="K81" i="9"/>
  <c r="K80" i="9"/>
  <c r="K79" i="9"/>
  <c r="K78" i="9"/>
  <c r="K76" i="9"/>
  <c r="K75" i="9"/>
  <c r="K73" i="9"/>
  <c r="K72" i="9"/>
  <c r="K71" i="9"/>
  <c r="K70" i="9"/>
  <c r="K68" i="9"/>
  <c r="K66" i="9"/>
  <c r="K65" i="9"/>
  <c r="K64" i="9"/>
  <c r="K62" i="9"/>
  <c r="K60" i="9"/>
  <c r="K59" i="9"/>
  <c r="K58" i="9"/>
  <c r="K57" i="9"/>
  <c r="K55" i="9"/>
  <c r="K53" i="9"/>
  <c r="K51" i="9"/>
  <c r="K50" i="9"/>
  <c r="K48" i="9"/>
  <c r="K47" i="9"/>
  <c r="K45" i="9"/>
  <c r="K44" i="9"/>
  <c r="K42" i="9"/>
  <c r="K41" i="9"/>
  <c r="K40" i="9"/>
  <c r="K38" i="9"/>
  <c r="K37" i="9"/>
  <c r="K35" i="9"/>
  <c r="K34" i="9"/>
  <c r="K32" i="9"/>
  <c r="K31" i="9"/>
  <c r="K30" i="9"/>
  <c r="K29" i="9"/>
  <c r="K28" i="9"/>
  <c r="K27" i="9"/>
  <c r="K25" i="9"/>
  <c r="K24" i="9"/>
  <c r="K23" i="9"/>
  <c r="K22" i="9"/>
  <c r="K20" i="9"/>
  <c r="K18" i="9"/>
  <c r="K17" i="9"/>
  <c r="K15" i="9"/>
  <c r="K14" i="9"/>
  <c r="K12" i="9"/>
  <c r="K11" i="9"/>
  <c r="K9" i="9"/>
  <c r="K8" i="9"/>
  <c r="K88" i="8"/>
  <c r="K86" i="8"/>
  <c r="K85" i="8"/>
  <c r="K84" i="8"/>
  <c r="K83" i="8"/>
  <c r="K82" i="8"/>
  <c r="K81" i="8"/>
  <c r="K80" i="8"/>
  <c r="K79" i="8"/>
  <c r="K78" i="8"/>
  <c r="K76" i="8"/>
  <c r="K75" i="8"/>
  <c r="K73" i="8"/>
  <c r="K72" i="8"/>
  <c r="K71" i="8"/>
  <c r="K70" i="8"/>
  <c r="K68" i="8"/>
  <c r="K66" i="8"/>
  <c r="K65" i="8"/>
  <c r="K64" i="8"/>
  <c r="K62" i="8"/>
  <c r="K60" i="8"/>
  <c r="K59" i="8"/>
  <c r="K58" i="8"/>
  <c r="K57" i="8"/>
  <c r="K55" i="8"/>
  <c r="K53" i="8"/>
  <c r="K51" i="8"/>
  <c r="K50" i="8"/>
  <c r="K48" i="8"/>
  <c r="K47" i="8"/>
  <c r="K45" i="8"/>
  <c r="K44" i="8"/>
  <c r="K42" i="8"/>
  <c r="K41" i="8"/>
  <c r="K40" i="8"/>
  <c r="K38" i="8"/>
  <c r="K37" i="8"/>
  <c r="K35" i="8"/>
  <c r="K34" i="8"/>
  <c r="K32" i="8"/>
  <c r="K31" i="8"/>
  <c r="K30" i="8"/>
  <c r="K29" i="8"/>
  <c r="K28" i="8"/>
  <c r="K27" i="8"/>
  <c r="K25" i="8"/>
  <c r="K24" i="8"/>
  <c r="K23" i="8"/>
  <c r="K22" i="8"/>
  <c r="K20" i="8"/>
  <c r="K18" i="8"/>
  <c r="K17" i="8"/>
  <c r="K15" i="8"/>
  <c r="K14" i="8"/>
  <c r="K12" i="8"/>
  <c r="K11" i="8"/>
  <c r="K9" i="8"/>
  <c r="K8" i="8"/>
  <c r="K88" i="7"/>
  <c r="K86" i="7"/>
  <c r="K85" i="7"/>
  <c r="K84" i="7"/>
  <c r="K83" i="7"/>
  <c r="K82" i="7"/>
  <c r="K81" i="7"/>
  <c r="K80" i="7"/>
  <c r="K79" i="7"/>
  <c r="K78" i="7"/>
  <c r="K76" i="7"/>
  <c r="K75" i="7"/>
  <c r="K73" i="7"/>
  <c r="K72" i="7"/>
  <c r="K71" i="7"/>
  <c r="K70" i="7"/>
  <c r="K68" i="7"/>
  <c r="K66" i="7"/>
  <c r="K65" i="7"/>
  <c r="K64" i="7"/>
  <c r="K62" i="7"/>
  <c r="K60" i="7"/>
  <c r="K59" i="7"/>
  <c r="K58" i="7"/>
  <c r="K57" i="7"/>
  <c r="K55" i="7"/>
  <c r="K53" i="7"/>
  <c r="K51" i="7"/>
  <c r="K50" i="7"/>
  <c r="K48" i="7"/>
  <c r="K47" i="7"/>
  <c r="K45" i="7"/>
  <c r="K44" i="7"/>
  <c r="K42" i="7"/>
  <c r="K41" i="7"/>
  <c r="K40" i="7"/>
  <c r="K38" i="7"/>
  <c r="K37" i="7"/>
  <c r="K35" i="7"/>
  <c r="K34" i="7"/>
  <c r="K32" i="7"/>
  <c r="K31" i="7"/>
  <c r="K30" i="7"/>
  <c r="K29" i="7"/>
  <c r="K28" i="7"/>
  <c r="K27" i="7"/>
  <c r="K25" i="7"/>
  <c r="K24" i="7"/>
  <c r="K23" i="7"/>
  <c r="K22" i="7"/>
  <c r="K20" i="7"/>
  <c r="K18" i="7"/>
  <c r="K17" i="7"/>
  <c r="K15" i="7"/>
  <c r="K14" i="7"/>
  <c r="K12" i="7"/>
  <c r="K11" i="7"/>
  <c r="K9" i="7"/>
  <c r="K8" i="7"/>
  <c r="K88" i="5"/>
  <c r="K86" i="5"/>
  <c r="K85" i="5"/>
  <c r="K84" i="5"/>
  <c r="K83" i="5"/>
  <c r="K82" i="5"/>
  <c r="K81" i="5"/>
  <c r="K80" i="5"/>
  <c r="K79" i="5"/>
  <c r="K78" i="5"/>
  <c r="K76" i="5"/>
  <c r="K75" i="5"/>
  <c r="K73" i="5"/>
  <c r="K72" i="5"/>
  <c r="K71" i="5"/>
  <c r="K70" i="5"/>
  <c r="K68" i="5"/>
  <c r="K66" i="5"/>
  <c r="K65" i="5"/>
  <c r="K64" i="5"/>
  <c r="K62" i="5"/>
  <c r="K60" i="5"/>
  <c r="K59" i="5"/>
  <c r="K58" i="5"/>
  <c r="K57" i="5"/>
  <c r="K55" i="5"/>
  <c r="K53" i="5"/>
  <c r="K51" i="5"/>
  <c r="K50" i="5"/>
  <c r="K48" i="5"/>
  <c r="K47" i="5"/>
  <c r="K45" i="5"/>
  <c r="K44" i="5"/>
  <c r="K42" i="5"/>
  <c r="K41" i="5"/>
  <c r="K40" i="5"/>
  <c r="K38" i="5"/>
  <c r="K37" i="5"/>
  <c r="K35" i="5"/>
  <c r="K34" i="5"/>
  <c r="K32" i="5"/>
  <c r="K31" i="5"/>
  <c r="K30" i="5"/>
  <c r="K29" i="5"/>
  <c r="K28" i="5"/>
  <c r="K27" i="5"/>
  <c r="K25" i="5"/>
  <c r="K24" i="5"/>
  <c r="K23" i="5"/>
  <c r="K22" i="5"/>
  <c r="K20" i="5"/>
  <c r="K18" i="5"/>
  <c r="K17" i="5"/>
  <c r="K15" i="5"/>
  <c r="K14" i="5"/>
  <c r="K12" i="5"/>
  <c r="K11" i="5"/>
  <c r="K9" i="5"/>
  <c r="K8" i="5"/>
  <c r="K88" i="4"/>
  <c r="K86" i="4"/>
  <c r="K85" i="4"/>
  <c r="K84" i="4"/>
  <c r="K83" i="4"/>
  <c r="K82" i="4"/>
  <c r="K81" i="4"/>
  <c r="K80" i="4"/>
  <c r="K79" i="4"/>
  <c r="K78" i="4"/>
  <c r="K76" i="4"/>
  <c r="K75" i="4"/>
  <c r="K73" i="4"/>
  <c r="K72" i="4"/>
  <c r="K71" i="4"/>
  <c r="K70" i="4"/>
  <c r="K68" i="4"/>
  <c r="K66" i="4"/>
  <c r="K65" i="4"/>
  <c r="K64" i="4"/>
  <c r="K62" i="4"/>
  <c r="K60" i="4"/>
  <c r="K59" i="4"/>
  <c r="K58" i="4"/>
  <c r="K57" i="4"/>
  <c r="K55" i="4"/>
  <c r="K53" i="4"/>
  <c r="K51" i="4"/>
  <c r="K50" i="4"/>
  <c r="K48" i="4"/>
  <c r="K47" i="4"/>
  <c r="K45" i="4"/>
  <c r="K44" i="4"/>
  <c r="K42" i="4"/>
  <c r="K41" i="4"/>
  <c r="K40" i="4"/>
  <c r="K38" i="4"/>
  <c r="K37" i="4"/>
  <c r="K35" i="4"/>
  <c r="K34" i="4"/>
  <c r="K32" i="4"/>
  <c r="K31" i="4"/>
  <c r="K30" i="4"/>
  <c r="K29" i="4"/>
  <c r="K28" i="4"/>
  <c r="K27" i="4"/>
  <c r="K25" i="4"/>
  <c r="K24" i="4"/>
  <c r="K23" i="4"/>
  <c r="K22" i="4"/>
  <c r="K20" i="4"/>
  <c r="K18" i="4"/>
  <c r="K17" i="4"/>
  <c r="K15" i="4"/>
  <c r="K14" i="4"/>
  <c r="K12" i="4"/>
  <c r="K11" i="4"/>
  <c r="K9" i="4"/>
  <c r="K8" i="4"/>
  <c r="K88" i="3"/>
  <c r="K86" i="3"/>
  <c r="K85" i="3"/>
  <c r="K84" i="3"/>
  <c r="K83" i="3"/>
  <c r="K82" i="3"/>
  <c r="K81" i="3"/>
  <c r="K80" i="3"/>
  <c r="K79" i="3"/>
  <c r="K78" i="3"/>
  <c r="K76" i="3"/>
  <c r="K75" i="3"/>
  <c r="K73" i="3"/>
  <c r="K72" i="3"/>
  <c r="K71" i="3"/>
  <c r="K70" i="3"/>
  <c r="K68" i="3"/>
  <c r="K66" i="3"/>
  <c r="K65" i="3"/>
  <c r="K64" i="3"/>
  <c r="K62" i="3"/>
  <c r="K60" i="3"/>
  <c r="K59" i="3"/>
  <c r="K58" i="3"/>
  <c r="K57" i="3"/>
  <c r="K55" i="3"/>
  <c r="K53" i="3"/>
  <c r="K51" i="3"/>
  <c r="K50" i="3"/>
  <c r="K48" i="3"/>
  <c r="K47" i="3"/>
  <c r="K45" i="3"/>
  <c r="K44" i="3"/>
  <c r="K42" i="3"/>
  <c r="K41" i="3"/>
  <c r="K40" i="3"/>
  <c r="K38" i="3"/>
  <c r="K37" i="3"/>
  <c r="K35" i="3"/>
  <c r="K34" i="3"/>
  <c r="K32" i="3"/>
  <c r="K31" i="3"/>
  <c r="K30" i="3"/>
  <c r="K29" i="3"/>
  <c r="K28" i="3"/>
  <c r="K27" i="3"/>
  <c r="K25" i="3"/>
  <c r="K24" i="3"/>
  <c r="K23" i="3"/>
  <c r="K22" i="3"/>
  <c r="K20" i="3"/>
  <c r="K18" i="3"/>
  <c r="K17" i="3"/>
  <c r="K15" i="3"/>
  <c r="K14" i="3"/>
  <c r="K12" i="3"/>
  <c r="K11" i="3"/>
  <c r="K9" i="3"/>
  <c r="K8" i="3"/>
  <c r="K88" i="2"/>
  <c r="K86" i="2"/>
  <c r="K85" i="2"/>
  <c r="K84" i="2"/>
  <c r="K83" i="2"/>
  <c r="K82" i="2"/>
  <c r="K81" i="2"/>
  <c r="K80" i="2"/>
  <c r="K79" i="2"/>
  <c r="K78" i="2"/>
  <c r="K76" i="2"/>
  <c r="K75" i="2"/>
  <c r="K73" i="2"/>
  <c r="K72" i="2"/>
  <c r="K71" i="2"/>
  <c r="K70" i="2"/>
  <c r="K68" i="2"/>
  <c r="K66" i="2"/>
  <c r="K65" i="2"/>
  <c r="K64" i="2"/>
  <c r="K62" i="2"/>
  <c r="K60" i="2"/>
  <c r="K59" i="2"/>
  <c r="K58" i="2"/>
  <c r="K57" i="2"/>
  <c r="K55" i="2"/>
  <c r="K53" i="2"/>
  <c r="K51" i="2"/>
  <c r="K50" i="2"/>
  <c r="K48" i="2"/>
  <c r="K47" i="2"/>
  <c r="K45" i="2"/>
  <c r="K44" i="2"/>
  <c r="K42" i="2"/>
  <c r="K41" i="2"/>
  <c r="K40" i="2"/>
  <c r="K38" i="2"/>
  <c r="K37" i="2"/>
  <c r="K35" i="2"/>
  <c r="K34" i="2"/>
  <c r="K32" i="2"/>
  <c r="K31" i="2"/>
  <c r="K30" i="2"/>
  <c r="K29" i="2"/>
  <c r="K28" i="2"/>
  <c r="K27" i="2"/>
  <c r="K25" i="2"/>
  <c r="K24" i="2"/>
  <c r="K23" i="2"/>
  <c r="K22" i="2"/>
  <c r="K20" i="2"/>
  <c r="K18" i="2"/>
  <c r="K17" i="2"/>
  <c r="K15" i="2"/>
  <c r="K14" i="2"/>
  <c r="K12" i="2"/>
  <c r="K11" i="2"/>
  <c r="K9" i="2"/>
  <c r="K8" i="2"/>
  <c r="D194" i="33" l="1"/>
  <c r="D171" i="33"/>
  <c r="D117" i="33"/>
  <c r="D97" i="33"/>
  <c r="D5" i="33"/>
  <c r="C196" i="33"/>
  <c r="C172" i="33"/>
  <c r="C76" i="33"/>
  <c r="C4" i="33"/>
  <c r="AG197" i="33"/>
  <c r="AF197" i="33"/>
  <c r="AE197" i="33"/>
  <c r="AD197" i="33"/>
  <c r="AC197" i="33"/>
  <c r="AB197" i="33"/>
  <c r="AA197" i="33"/>
  <c r="Z197" i="33"/>
  <c r="Y197" i="33"/>
  <c r="X197" i="33"/>
  <c r="W197" i="33"/>
  <c r="V197" i="33"/>
  <c r="U197" i="33"/>
  <c r="T197" i="33"/>
  <c r="S197" i="33"/>
  <c r="R197" i="33"/>
  <c r="Q197" i="33"/>
  <c r="P197" i="33"/>
  <c r="O197" i="33"/>
  <c r="N197" i="33"/>
  <c r="M197" i="33"/>
  <c r="L197" i="33"/>
  <c r="K197" i="33"/>
  <c r="J197" i="33"/>
  <c r="I197" i="33"/>
  <c r="H197" i="33"/>
  <c r="G197" i="33"/>
  <c r="F197" i="33"/>
  <c r="E197" i="33"/>
  <c r="D197" i="33"/>
  <c r="C197" i="33"/>
  <c r="AG196" i="33"/>
  <c r="AF196" i="33"/>
  <c r="AE196" i="33"/>
  <c r="AD196" i="33"/>
  <c r="AC196" i="33"/>
  <c r="AB196" i="33"/>
  <c r="AA196" i="33"/>
  <c r="Z196" i="33"/>
  <c r="Y196" i="33"/>
  <c r="X196" i="33"/>
  <c r="W196" i="33"/>
  <c r="V196" i="33"/>
  <c r="U196" i="33"/>
  <c r="T196" i="33"/>
  <c r="S196" i="33"/>
  <c r="R196" i="33"/>
  <c r="Q196" i="33"/>
  <c r="P196" i="33"/>
  <c r="O196" i="33"/>
  <c r="N196" i="33"/>
  <c r="M196" i="33"/>
  <c r="L196" i="33"/>
  <c r="K196" i="33"/>
  <c r="J196" i="33"/>
  <c r="I196" i="33"/>
  <c r="H196" i="33"/>
  <c r="G196" i="33"/>
  <c r="F196" i="33"/>
  <c r="E196" i="33"/>
  <c r="D196" i="33"/>
  <c r="AG195" i="33"/>
  <c r="AF195" i="33"/>
  <c r="AE195" i="33"/>
  <c r="AD195" i="33"/>
  <c r="AC195" i="33"/>
  <c r="AB195" i="33"/>
  <c r="AA195" i="33"/>
  <c r="Z195" i="33"/>
  <c r="Y195" i="33"/>
  <c r="X195" i="33"/>
  <c r="W195" i="33"/>
  <c r="V195" i="33"/>
  <c r="U195" i="33"/>
  <c r="T195" i="33"/>
  <c r="S195" i="33"/>
  <c r="R195" i="33"/>
  <c r="Q195" i="33"/>
  <c r="P195" i="33"/>
  <c r="O195" i="33"/>
  <c r="N195" i="33"/>
  <c r="M195" i="33"/>
  <c r="L195" i="33"/>
  <c r="K195" i="33"/>
  <c r="J195" i="33"/>
  <c r="I195" i="33"/>
  <c r="H195" i="33"/>
  <c r="G195" i="33"/>
  <c r="F195" i="33"/>
  <c r="E195" i="33"/>
  <c r="D195" i="33"/>
  <c r="C195" i="33"/>
  <c r="AG194" i="33"/>
  <c r="AF194" i="33"/>
  <c r="AE194" i="33"/>
  <c r="AD194" i="33"/>
  <c r="AC194" i="33"/>
  <c r="AB194" i="33"/>
  <c r="AA194" i="33"/>
  <c r="Z194" i="33"/>
  <c r="Y194" i="33"/>
  <c r="X194" i="33"/>
  <c r="W194" i="33"/>
  <c r="V194" i="33"/>
  <c r="U194" i="33"/>
  <c r="T194" i="33"/>
  <c r="S194" i="33"/>
  <c r="R194" i="33"/>
  <c r="Q194" i="33"/>
  <c r="P194" i="33"/>
  <c r="O194" i="33"/>
  <c r="N194" i="33"/>
  <c r="M194" i="33"/>
  <c r="L194" i="33"/>
  <c r="K194" i="33"/>
  <c r="J194" i="33"/>
  <c r="I194" i="33"/>
  <c r="H194" i="33"/>
  <c r="G194" i="33"/>
  <c r="F194" i="33"/>
  <c r="E194" i="33"/>
  <c r="C194" i="33"/>
  <c r="AG172" i="33"/>
  <c r="AF172" i="33"/>
  <c r="AE172" i="33"/>
  <c r="AD172" i="33"/>
  <c r="AC172" i="33"/>
  <c r="AB172" i="33"/>
  <c r="AA172" i="33"/>
  <c r="Z172" i="33"/>
  <c r="Y172" i="33"/>
  <c r="X172" i="33"/>
  <c r="W172" i="33"/>
  <c r="V172" i="33"/>
  <c r="U172" i="33"/>
  <c r="T172" i="33"/>
  <c r="S172" i="33"/>
  <c r="R172" i="33"/>
  <c r="Q172" i="33"/>
  <c r="P172" i="33"/>
  <c r="O172" i="33"/>
  <c r="N172" i="33"/>
  <c r="M172" i="33"/>
  <c r="L172" i="33"/>
  <c r="K172" i="33"/>
  <c r="J172" i="33"/>
  <c r="I172" i="33"/>
  <c r="H172" i="33"/>
  <c r="G172" i="33"/>
  <c r="F172" i="33"/>
  <c r="E172" i="33"/>
  <c r="D172" i="33"/>
  <c r="AG171" i="33"/>
  <c r="AF171" i="33"/>
  <c r="AE171" i="33"/>
  <c r="AD171" i="33"/>
  <c r="AC171" i="33"/>
  <c r="AB171" i="33"/>
  <c r="AA171" i="33"/>
  <c r="Z171" i="33"/>
  <c r="Y171" i="33"/>
  <c r="X171" i="33"/>
  <c r="W171" i="33"/>
  <c r="V171" i="33"/>
  <c r="U171" i="33"/>
  <c r="T171" i="33"/>
  <c r="S171" i="33"/>
  <c r="R171" i="33"/>
  <c r="Q171" i="33"/>
  <c r="P171" i="33"/>
  <c r="O171" i="33"/>
  <c r="N171" i="33"/>
  <c r="M171" i="33"/>
  <c r="L171" i="33"/>
  <c r="K171" i="33"/>
  <c r="J171" i="33"/>
  <c r="I171" i="33"/>
  <c r="H171" i="33"/>
  <c r="G171" i="33"/>
  <c r="F171" i="33"/>
  <c r="E171" i="33"/>
  <c r="C171" i="33"/>
  <c r="AG170" i="33"/>
  <c r="AF170" i="33"/>
  <c r="AE170" i="33"/>
  <c r="AD170" i="33"/>
  <c r="AC170" i="33"/>
  <c r="AB170" i="33"/>
  <c r="AA170" i="33"/>
  <c r="Z170" i="33"/>
  <c r="Y170" i="33"/>
  <c r="X170" i="33"/>
  <c r="W170" i="33"/>
  <c r="V170" i="33"/>
  <c r="U170" i="33"/>
  <c r="T170" i="33"/>
  <c r="S170" i="33"/>
  <c r="R170" i="33"/>
  <c r="Q170" i="33"/>
  <c r="P170" i="33"/>
  <c r="O170" i="33"/>
  <c r="N170" i="33"/>
  <c r="M170" i="33"/>
  <c r="L170" i="33"/>
  <c r="K170" i="33"/>
  <c r="J170" i="33"/>
  <c r="I170" i="33"/>
  <c r="H170" i="33"/>
  <c r="G170" i="33"/>
  <c r="F170" i="33"/>
  <c r="E170" i="33"/>
  <c r="D170" i="33"/>
  <c r="C170" i="33"/>
  <c r="AG150" i="33"/>
  <c r="AF150" i="33"/>
  <c r="AE150" i="33"/>
  <c r="AD150" i="33"/>
  <c r="AC150" i="33"/>
  <c r="AB150" i="33"/>
  <c r="AA150" i="33"/>
  <c r="Z150" i="33"/>
  <c r="Y150" i="33"/>
  <c r="X150" i="33"/>
  <c r="W150" i="33"/>
  <c r="V150" i="33"/>
  <c r="U150" i="33"/>
  <c r="T150" i="33"/>
  <c r="S150" i="33"/>
  <c r="R150" i="33"/>
  <c r="Q150" i="33"/>
  <c r="P150" i="33"/>
  <c r="O150" i="33"/>
  <c r="N150" i="33"/>
  <c r="M150" i="33"/>
  <c r="L150" i="33"/>
  <c r="K150" i="33"/>
  <c r="J150" i="33"/>
  <c r="I150" i="33"/>
  <c r="H150" i="33"/>
  <c r="G150" i="33"/>
  <c r="F150" i="33"/>
  <c r="E150" i="33"/>
  <c r="D150" i="33"/>
  <c r="C150" i="33"/>
  <c r="AG117" i="33"/>
  <c r="AF117" i="33"/>
  <c r="AE117" i="33"/>
  <c r="AD117" i="33"/>
  <c r="AC117" i="33"/>
  <c r="AB117" i="33"/>
  <c r="AA117" i="33"/>
  <c r="Z117" i="33"/>
  <c r="Y117" i="33"/>
  <c r="X117" i="33"/>
  <c r="W117" i="33"/>
  <c r="V117" i="33"/>
  <c r="U117" i="33"/>
  <c r="T117" i="33"/>
  <c r="S117" i="33"/>
  <c r="R117" i="33"/>
  <c r="Q117" i="33"/>
  <c r="P117" i="33"/>
  <c r="O117" i="33"/>
  <c r="N117" i="33"/>
  <c r="M117" i="33"/>
  <c r="L117" i="33"/>
  <c r="K117" i="33"/>
  <c r="J117" i="33"/>
  <c r="I117" i="33"/>
  <c r="H117" i="33"/>
  <c r="G117" i="33"/>
  <c r="F117" i="33"/>
  <c r="E117" i="33"/>
  <c r="C117" i="33"/>
  <c r="AG97" i="33"/>
  <c r="AF97" i="33"/>
  <c r="AE97" i="33"/>
  <c r="AD97" i="33"/>
  <c r="AC97" i="33"/>
  <c r="AB97" i="33"/>
  <c r="AA97" i="33"/>
  <c r="Z97" i="33"/>
  <c r="Y97" i="33"/>
  <c r="X97" i="33"/>
  <c r="W97" i="33"/>
  <c r="V97" i="33"/>
  <c r="U97" i="33"/>
  <c r="T97" i="33"/>
  <c r="S97" i="33"/>
  <c r="R97" i="33"/>
  <c r="Q97" i="33"/>
  <c r="P97" i="33"/>
  <c r="O97" i="33"/>
  <c r="N97" i="33"/>
  <c r="M97" i="33"/>
  <c r="L97" i="33"/>
  <c r="K97" i="33"/>
  <c r="J97" i="33"/>
  <c r="I97" i="33"/>
  <c r="H97" i="33"/>
  <c r="G97" i="33"/>
  <c r="F97" i="33"/>
  <c r="E97" i="33"/>
  <c r="C97" i="33"/>
  <c r="AG76" i="33"/>
  <c r="AF76" i="33"/>
  <c r="AE76" i="33"/>
  <c r="AD76" i="33"/>
  <c r="AC76" i="33"/>
  <c r="AB76" i="33"/>
  <c r="AA76" i="33"/>
  <c r="Z76" i="33"/>
  <c r="Y76" i="33"/>
  <c r="X76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AG47" i="33"/>
  <c r="AF47" i="33"/>
  <c r="AE47" i="33"/>
  <c r="AD47" i="33"/>
  <c r="AC47" i="33"/>
  <c r="AB47" i="33"/>
  <c r="AA47" i="33"/>
  <c r="Z47" i="33"/>
  <c r="Y47" i="33"/>
  <c r="X47" i="33"/>
  <c r="W47" i="33"/>
  <c r="V47" i="33"/>
  <c r="U47" i="33"/>
  <c r="T47" i="33"/>
  <c r="S47" i="33"/>
  <c r="R47" i="33"/>
  <c r="Q47" i="33"/>
  <c r="P47" i="33"/>
  <c r="O47" i="33"/>
  <c r="N47" i="33"/>
  <c r="M47" i="33"/>
  <c r="L47" i="33"/>
  <c r="K47" i="33"/>
  <c r="J47" i="33"/>
  <c r="I47" i="33"/>
  <c r="H47" i="33"/>
  <c r="G47" i="33"/>
  <c r="F47" i="33"/>
  <c r="E47" i="33"/>
  <c r="D47" i="33"/>
  <c r="C47" i="33"/>
  <c r="AG25" i="33"/>
  <c r="AF25" i="33"/>
  <c r="AE25" i="33"/>
  <c r="AD25" i="33"/>
  <c r="AC25" i="33"/>
  <c r="AB25" i="33"/>
  <c r="AA25" i="33"/>
  <c r="Z25" i="33"/>
  <c r="Y25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L25" i="33"/>
  <c r="K25" i="33"/>
  <c r="J25" i="33"/>
  <c r="I25" i="33"/>
  <c r="H25" i="33"/>
  <c r="G25" i="33"/>
  <c r="F25" i="33"/>
  <c r="E25" i="33"/>
  <c r="D25" i="33"/>
  <c r="C25" i="33"/>
  <c r="AG5" i="33"/>
  <c r="AF5" i="33"/>
  <c r="AE5" i="33"/>
  <c r="AD5" i="33"/>
  <c r="AC5" i="33"/>
  <c r="AB5" i="33"/>
  <c r="AA5" i="33"/>
  <c r="Z5" i="33"/>
  <c r="Y5" i="33"/>
  <c r="X5" i="33"/>
  <c r="W5" i="33"/>
  <c r="V5" i="33"/>
  <c r="U5" i="33"/>
  <c r="T5" i="33"/>
  <c r="S5" i="33"/>
  <c r="R5" i="33"/>
  <c r="Q5" i="33"/>
  <c r="P5" i="33"/>
  <c r="O5" i="33"/>
  <c r="N5" i="33"/>
  <c r="M5" i="33"/>
  <c r="L5" i="33"/>
  <c r="K5" i="33"/>
  <c r="J5" i="33"/>
  <c r="I5" i="33"/>
  <c r="H5" i="33"/>
  <c r="G5" i="33"/>
  <c r="F5" i="33"/>
  <c r="E5" i="33"/>
  <c r="C5" i="33"/>
  <c r="AG4" i="33"/>
  <c r="AF4" i="33"/>
  <c r="AE4" i="33"/>
  <c r="AD4" i="33"/>
  <c r="AC4" i="33"/>
  <c r="AB4" i="33"/>
  <c r="AA4" i="33"/>
  <c r="Z4" i="33"/>
  <c r="Y4" i="33"/>
  <c r="X4" i="33"/>
  <c r="W4" i="33"/>
  <c r="V4" i="33"/>
  <c r="U4" i="33"/>
  <c r="T4" i="33"/>
  <c r="S4" i="33"/>
  <c r="R4" i="33"/>
  <c r="Q4" i="33"/>
  <c r="P4" i="33"/>
  <c r="O4" i="33"/>
  <c r="N4" i="33"/>
  <c r="M4" i="33"/>
  <c r="L4" i="33"/>
  <c r="K4" i="33"/>
  <c r="J4" i="33"/>
  <c r="I4" i="33"/>
  <c r="H4" i="33"/>
  <c r="G4" i="33"/>
  <c r="F4" i="33"/>
  <c r="E4" i="33"/>
  <c r="D4" i="33"/>
  <c r="AG3" i="33"/>
  <c r="AF3" i="33"/>
  <c r="AE3" i="33"/>
  <c r="AD3" i="33"/>
  <c r="AC3" i="33"/>
  <c r="AB3" i="33"/>
  <c r="AA3" i="33"/>
  <c r="Z3" i="33"/>
  <c r="Y3" i="33"/>
  <c r="X3" i="33"/>
  <c r="W3" i="33"/>
  <c r="V3" i="33"/>
  <c r="U3" i="33"/>
  <c r="T3" i="33"/>
  <c r="S3" i="33"/>
  <c r="R3" i="33"/>
  <c r="Q3" i="33"/>
  <c r="P3" i="33"/>
  <c r="O3" i="33"/>
  <c r="N3" i="33"/>
  <c r="M3" i="33"/>
  <c r="L3" i="33"/>
  <c r="K3" i="33"/>
  <c r="J3" i="33"/>
  <c r="I3" i="33"/>
  <c r="H3" i="33"/>
  <c r="G3" i="33"/>
  <c r="F3" i="33"/>
  <c r="E3" i="33"/>
  <c r="D3" i="33"/>
  <c r="C3" i="33"/>
  <c r="AE8" i="1" l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Litbang21</author>
  </authors>
  <commentList>
    <comment ref="A210" authorId="0" shapeId="0" xr:uid="{0AC5A256-5091-4F16-84D1-548597B0EA4D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2B03BC2A-1F09-4ACC-B7DD-0EFF4E943084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DC2798EE-F26B-49AD-940E-15704E6FE6E5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49BF9AC5-396F-47DA-AF1B-5A25C4CCFD5C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F1ECA364-7328-4387-8B56-E9AB1610770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AC909E50-E005-4821-8601-3D568D1D8F7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29704489-DF23-4470-A4B5-62F28545199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3A118C43-5FF5-4E81-BB34-D2D61737607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BEA84D6A-4603-44A4-A74D-2A0F2593BA9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B0ABE645-49A9-4E84-891C-35F0461FE44E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4DBF177F-7B26-4D25-95BE-A8C95E3D6C23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1B51FBD5-ACA7-42E9-BA16-6D553726998F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29EF04A8-6B86-484C-B2ED-2A5A25327C9A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14694E47-600B-417A-8BCA-CFE9A653541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84F428D0-CF55-4AB9-8673-87AE93A3CDA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BEBF37DF-E4C1-4D8B-8F79-E04429F8392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726A4D13-955B-4E07-94A9-9D127C2CAAF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92A051B7-4DE3-4C19-93B6-6A908CABE57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C45CEA03-898D-4357-9F7A-B7237B28A537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24287D31-9F7D-4196-90A1-08EBF238778D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B92C5706-8FCC-4E34-82D0-9A0682FF507D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A81B70F5-2AC5-4C09-9A4A-728E80335FF6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4C19F998-86F0-4BF7-80CB-4DCC141145B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C58E5E79-C544-4BA5-B96E-4653C120C6C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8226ED39-8745-418F-922A-C8F3032ACB8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DDC23E3E-CC43-4F72-B618-A906C1575D3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E30E4560-C5CE-44FF-B955-39C2A1FAC22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836CF038-4DF9-470E-8B98-B505A9188D58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F44B3288-B178-4F2E-B8BB-30DF6ABCAE27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E4C0EA97-5AC5-4FDF-8CF6-8E39BB079CA3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6F617091-7325-4F8A-9BA0-532F498F43DD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698829B3-31D5-4A02-888C-AD445E83868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8296BBD7-1900-4AB7-B36A-CFB0E6490D2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43CE7CB4-C96A-4025-95DD-1995FEFC26C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0E8C679-C6B3-4FC4-A551-B5422D54B73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42EB0B3F-4F26-4F29-A4F4-7B043EEFBB9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C99841BA-A31F-4460-B53F-DB639FBEC69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B1A4DCF6-EFC2-42AA-966D-DB91023130AD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68DFD299-9AE9-4AF3-8978-29A5CFEEB6F7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67A57135-CD71-42B6-9AF1-6283BCCBB561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96CC776F-43E6-4FB3-8C72-19170DE6455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BD51425C-FDD4-43A5-85C6-F056D357588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C4AEADA2-EB8C-44B3-8AA7-F4B38397235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6D8D1604-79C9-43CE-BABB-7CB10031115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6730BE05-2296-4208-A86D-E8869F478C3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1804DEA5-8B4B-4282-AB54-FC121467F48B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D0418154-ECD1-46BF-90F0-FD60BED71219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DD2570C6-B566-4517-B572-9DA1C00FA6C2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EB3E9EE0-BF5D-4600-BF65-E8F7B93EC54A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487E17C1-834C-4FB9-AC20-DC5017614E6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059AABDC-B596-4FA9-842D-3582FB7E009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EDFE6F4B-BF29-4DFF-951F-2ECD05C86D1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5CF33E31-7EAD-41B0-B215-70B7A572A44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689C026C-6CA2-4277-89D7-3F5D3D14A3C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4BFD8297-0663-4B07-9E27-27518DEF3E59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FB3E2B8F-AFE7-4038-AD4D-E705FB22F8D3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36828C2B-BD82-404B-90C2-5E4BFE1296D5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FF8E3312-9C82-420D-AE85-FEE21885C686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B87D37C-545F-48CF-AE77-F988554D92E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78632CE6-2D71-44C4-9567-D38D1934E0E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72F7FA31-FC4C-43C3-AE2D-5A5F44B9755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1CA68A42-5D8E-47D3-991F-4F5F5F780B7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F8291234-CE8A-4E86-B923-1AFAE8B2C8C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95CC1B93-0B31-4776-AD9C-DD1F956A8DEC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EA4F416A-7A3B-4682-890D-A07F7C2E7D2E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20433FA4-299B-407A-9025-03329D52E3F8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2C8851AE-E3D3-4A5F-A5CE-F51FB378D002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84F4C037-2560-4CE0-A3C7-4DBA6BA2394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3710548E-3E7C-4DB2-8886-CA34A3A5575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D95C288A-F138-4D89-92DA-B793BE22D87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7362927E-185D-4482-B0D3-8265221736E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A864CF20-4DA3-49B5-8DA8-B3FC9BD4ED5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ABB5D16C-17B7-4BB0-AD0E-5A2E69F0E26E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777DBD9A-B8F8-4B94-9083-1CDEB2976DBA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93CB2324-BB16-4951-8623-DCE45474B532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FCCA3B6E-CD2D-4017-B08B-C315C34F46E8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75A50D2-A470-41CD-AD44-A3F0743225F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45B4FC16-467E-4166-B6A1-30772FF0BA5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BC161143-FC07-4B51-A34F-7BA9B8EB876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BD8A5BBC-2206-4CBA-828C-57E9B416AA6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50EEB8E8-AD41-493A-94E3-71BEBCDAF70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5A4DF9C7-278B-489D-BC86-5154946AE7DD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248E9F50-04EE-40B8-B957-370EB8694BE2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B94C8622-B6BE-4469-B438-8C47D94EA218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36126B2E-C33E-4E54-97C6-7DA25BA69C38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7748893B-2022-48F5-B587-C38D747E142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935CDDF5-D659-456A-B4F8-4550101B418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7EDEBF3B-A9A7-40AF-8214-3F4D823EAF3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6557619-FDEC-44B4-B611-DA8DEB520F7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9511FA81-C0E5-4F7E-9E04-9785D904B72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F8977699-9812-4579-BA3C-6506B4574EC5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471F4C92-CBCF-48DA-AFB6-4D38AFBE5D2B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C5EF0728-0F89-47D0-AE6F-D6A92794EBF6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DFB8F8EA-AC9B-4742-913B-2ACB8428138C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ECA08D62-2CB1-4CCD-AAF0-DCFAF08D1E2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C3CC104E-79CF-4F53-B364-39DE67467C8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6465DC3B-3D36-42E8-B57A-8912B5DD8FD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8B023797-17A2-4264-9FBE-5CABA28225A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C099C325-7FB6-4871-8E6D-3C6C021D911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9173F84D-48C4-4D4A-B0E6-6CA00942ABD7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78455DA0-CEEA-47CF-B682-A1C56E8F8788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ABC2400C-3BF3-441E-B8B9-F019489FE0E6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795C7BD3-11C4-4F61-9E4C-86C25DE89FD8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9F76E606-7855-4129-BB06-16EFCFA3A80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509207C9-717D-4EBB-A78C-22A500D32DE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C1BE8445-D88F-4669-9D18-66C416E4685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8D284521-EC73-4D3B-8118-F2683633F11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D3A0559-0098-4D29-8291-52B24E50167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1695C2E-0B75-4495-942B-5142F49178DD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E10B5303-5B83-4281-B60E-98326F520246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5BB897C5-DFDC-4666-9B67-42E55DDD1251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ADBA9DE-99D6-4225-AAED-7224B85D7FFF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E3D473D1-BD96-4EF6-8DFB-ADCDB19FA5C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56ADB85B-7BFA-43BF-870D-7FFEF329ACD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2360D474-BF9C-4ACF-A302-7A0728B3146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17D64ACD-F237-4923-B2ED-ED24BA2262B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AF823CF0-4631-46BF-BCE5-16CD48674C8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B0086A65-13ED-4C0B-AC26-15530401E60E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800A8DF8-4AED-4D1E-B013-EA5033106290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6D0347EF-85BF-4443-B1E5-EE51DA907D2A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4B0F1163-99BD-4E17-A5EB-F31F88326744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ADBB62B1-DCB2-4567-B4BA-9FEF1CBF0D1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F1B13D4C-6165-48B8-9208-B60C86DC577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1058B6ED-A6D8-4A98-82C9-73AEE61D890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5248916F-DA02-44C4-A614-8C46BD16D97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147B9DBB-0823-4C15-8AC4-1D60C767341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8820A107-7B3F-4190-8B37-53896D8534C4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D6CD81EA-8633-4BCA-9547-EBA6008A71DF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FC14355C-15C1-4D58-B897-A3663507130E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21CC5FF4-2077-468C-B408-F954BDC7A02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532A1C01-F5C9-4A66-A791-3F3F533EC0D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5018BCBF-1A31-4054-ADCD-0B80DF05AD2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E3006DC3-BE2D-4671-B939-686225B4235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A028CEF9-2D03-412C-B08E-E967EDFBBE0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CAE181BB-72F8-415D-BD8B-AA778D4C542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F5EB4C9F-E3E5-44FA-A9DA-A616F57A4F48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B86EA025-6303-4351-ACBB-52922274049A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A3654E53-4367-43CA-81AE-DE59651CA16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793B8E68-FAD0-4D17-B200-7EF71D882499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BD8C3274-57A3-455F-98CD-7EE7B128FB7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32A52B15-09DE-4E7C-A889-B635CDF5D0D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3180B8F4-81B6-4BD2-8F34-553D96AFC9B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21FF2F1B-FF07-404B-969A-0E01B31A1B9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44123CC8-E70E-4E3A-BB51-95BC566BC89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1AECED21-ADD1-472C-986D-0D98559207E8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B2730A7B-9BDE-4A8B-B506-E47AB420C99A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F3CA1F19-FE2A-4C95-A73D-EABC58C19084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5A391346-0901-41B3-B6D7-BDFFAA882779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103459AB-AA80-47C4-A4CF-6A669CFDE61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147F9183-9A96-4C6F-8A35-3A5CA6D3E1E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17F0E381-3C58-41CC-AAA2-29D1B904494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D2A62121-D5D5-4684-9837-C3E7F331198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DCC57BF1-9099-456A-91A3-505F03BAF83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CEB61492-71D2-4748-A88A-68BD4C371CE8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A9C02693-D36F-4E80-8D02-3F7C302AE7C2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1C3113A5-1C1B-4442-98F5-472303F0163D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392149D-E9F5-412B-B720-36A3C273A186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E49DE17B-3024-4923-BF08-F9D33CA775E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DBCCAEBD-8A30-4392-8DC8-785C1E9BC1F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B20E6090-85D0-4A40-B32F-E06A8B82847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742C021A-8DF4-4DBF-BE11-A7B38C72127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32C22DE6-F7C9-48A6-B524-5EDCE28F054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D4A027E0-0CF0-4930-9CF5-FAE3F2F09736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A14BE79B-6EF5-4454-82A2-716E6BF73223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49E43CED-0446-4C60-B42E-D6FDB25AEEA1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C89B0A6D-FD0A-4DE8-AB8E-B94ABBF851FB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3CF5C403-5913-4B15-9065-B6CECBD0FFE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CAC028F3-EEE0-4C03-AFF4-DD406891EF3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FF84C47D-E539-4EE0-A6D5-98A13B6C7F5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813DE0BF-F7B3-49E9-AF97-2D2091D0BFF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C3A38C41-7379-47F3-989D-F9E573E1922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C38CA613-CF76-4C06-AA79-2EE1C1611028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AD063EE6-8457-4BB8-A216-90F7FB0D776D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F6390003-1BBF-44D4-89DF-AC6480B59F24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6D488DC6-E898-4F06-A678-4C4560B74087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FAD6270C-941B-4A0E-A9E0-32F5F1D0FA6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E15B2838-2DB5-4271-B68D-6BFD9EF4B86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1564F386-CE85-4941-BF2D-2F04C85154F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B045E818-1C9B-49E1-A2B1-4C1B126732D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BCFCCA01-26C7-4F71-8C90-1F465467EC6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B3931CB9-6513-49F3-8E8A-EF49B8C06D15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C224FA6A-5F6A-4E86-9AEE-A2AEB43F3379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8D48FE02-10C5-4745-AE0C-28BBEB7D173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E20212D8-7127-4AC4-B8BD-1CED1FD3B1D1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EDF529EA-3E1D-4D7C-BFA9-08C68884243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D9769E6A-FFA5-413E-BF4E-380A709985F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56DE89A0-6B6A-4346-AF04-A9F91704E76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46C0CBD3-104C-41A8-B586-A5D0E747754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210C5BED-D6A4-451E-8826-BA40793F3C2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M81" authorId="4" shapeId="0" xr:uid="{CBCFDFB3-EE93-450E-AD29-317648181404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86" authorId="4" shapeId="0" xr:uid="{379B4245-49FF-4B84-AA78-D2CE2B3C6728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502C4F44-EDC9-4E40-8F5A-0E0C479AB165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AD71FFE7-FB71-4C04-B471-98406D0C679F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D61CE490-FA31-4067-A085-C02F7839285D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A2EC3A7F-5611-4E18-A4C5-0F9FAB5FC33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B31DC854-2D09-47A7-8E26-43771BFA8AE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9D3965A-12FB-44C8-900C-FCF3B90312D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2A628D74-8599-400C-96F7-D4DB5B9590C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96978AAE-A5B7-41CB-A9D6-41BC97BCF77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CB4D37CA-9484-4FEF-9A8B-94281E2351DE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59A6452A-0EE5-4C6A-9F4F-46748DDE59EF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20ED33FB-4D53-4991-8D8D-E3E9E1AAE791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B52A99AA-5101-400A-B14C-F1E646B6BE5F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E115DB4D-61D7-4877-917B-1595902C985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1FC3E617-B907-4185-A1CF-77FD8D1E208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5D0F4DC5-EAF3-4C87-8E57-6E3346DEC2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4CB29E99-6A3D-455D-9849-153EFC51384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40570577-4C59-4780-BF35-5D3F92E459E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97E83D2-49E1-409E-863C-216EF579C30F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C76A4F7A-34AA-4B4C-B782-BDE8B9F0AB6E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3A6ED2C8-9AF8-455D-94B6-CDD2D089EA35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28D33250-8B09-4DC8-A96C-8F2BF27A1642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9EDCDD9E-FE0F-442B-BC94-8A873A042AA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89B842D7-D7BF-4CAB-A4DB-F015E2F4130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D17BE79F-1782-4622-9426-882222CD82B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95964B1A-1AE9-45BF-944A-E32977EF7AC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6FD20D15-53EC-41ED-9527-AB15A0403B7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5D678D24-DB01-429E-93F3-8615B6A0A2F2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2DA178F1-75EF-45A0-8943-51D23DD6BCC8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9958F948-2235-4810-B863-DE000C8D46FF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EBD0F5DF-AAB1-452E-91F0-530757DDCE3B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C02E29AD-7854-4F2F-B6F3-80C31CCA47E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27FEDD0A-395C-4B96-93C6-91F5857C54B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59B8BE08-A3D3-4563-B3A5-11F358E54A3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C7D9F802-3F58-4BB5-A98C-57E72AB9D40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2402DD00-32FF-483C-9860-967B18D1D85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84D25A80-9DAA-49EA-99C7-803F9737478D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3B43F4DE-2107-4578-A64A-2D90E3C4A836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C5314719-A33D-4359-A5DA-A54E37C08284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B600C6AB-7016-4866-9D3F-E0677AC33EA9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3F57CE48-1D3E-4668-88AA-95423573895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F7C9ADDE-6855-4C3D-B326-C14AF38C619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D9724479-6D8E-439C-9E6C-C38F5EB8CD8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2CE89C2-6B81-4F8A-8D8D-2B90E212D90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F351D763-6111-4271-8C26-C0A51378189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E672A9D1-CAC1-41A4-8F74-D14245A93A14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E9163DD0-9E02-45AA-A0CA-F3311F2D6A63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67F54523-75CD-4D10-A336-D0930AF1B8A4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172731C4-01AE-4BC9-8351-97D6B6186946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B0C55BB8-0938-4E22-8E01-9F14DA0927A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5CA5FDAF-0433-4A35-BEF4-D1953413B15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73DA1291-6519-4FA6-85D8-012D5168582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8C468FA0-E307-42C5-96D1-CA542B304A4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834A978A-F217-4811-87F2-BDAD36CB537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AD8C898F-1EDE-4C52-B633-6D5C59D8C857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45D951B1-A504-4E79-9089-10E6812A8995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5B6AFAE9-410E-432D-8404-F27BC73583B5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35052619-41C0-4291-988B-D67DFE48139E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25F08AB4-702C-4C5E-8B29-42455AF6050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C428CE0C-B1D8-4100-B112-0D91BD77AA6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A11A9561-BC56-4D55-88D0-D75DD4B33D4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39390522-2ED6-4BA1-9FCB-C0CB3DE5819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3CC70E3C-754C-4ACC-AAB9-EA8A244647A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1720B676-001F-4CCB-96F6-1304CA225DCC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DE912B26-5955-4F87-8479-BA15A219061B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AC331A6C-EB5D-416C-8833-D7E00BF3B38C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226483A9-6D5F-4AAF-97F4-BB6B02DCA5C2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A4CD16DE-CBD9-4FA4-AEBA-85AACB85582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AF487CB6-8576-4F91-94FE-91724755A1F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D2302532-9BCD-4856-88CD-C415AA0FEE4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5CA6455-8361-4E6C-BC74-5DD4D6DAE4B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81563EC6-0993-448F-9AC6-523E118F573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51DE0A1E-D108-40EA-A015-65613DAAA883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<sst xmlns="http://schemas.openxmlformats.org/spreadsheetml/2006/main" count="6952" uniqueCount="156">
  <si>
    <t>LAPORAN HARGA BAHAN POKOK DI KOTA SURABAYA</t>
  </si>
  <si>
    <t xml:space="preserve"> </t>
  </si>
  <si>
    <t>NAMA BAHAN POKOK DAN PENTING LAINNYA</t>
  </si>
  <si>
    <t>SAT</t>
  </si>
  <si>
    <t>BERAS</t>
  </si>
  <si>
    <t>- Beras IR.64 Kwalitas I</t>
  </si>
  <si>
    <t>Kg</t>
  </si>
  <si>
    <t>- Beras IR.64 Kwalitas II</t>
  </si>
  <si>
    <t>- Beras IR.64 Kwalitas III</t>
  </si>
  <si>
    <t>- Beras Jagung</t>
  </si>
  <si>
    <t>- Beras Ketan (Jenis Siyem)</t>
  </si>
  <si>
    <t>GULA</t>
  </si>
  <si>
    <t xml:space="preserve">Gula Pasir Lokal Curah </t>
  </si>
  <si>
    <t>- Gula Jawa/Merah (Bahan Kelapa)</t>
  </si>
  <si>
    <t>MINYAK GORENG</t>
  </si>
  <si>
    <t>- Minyak Goreng Curah (Bening)</t>
  </si>
  <si>
    <t>MENTEGA</t>
  </si>
  <si>
    <t>- Mentega Curah (Amanda)</t>
  </si>
  <si>
    <t>DAGING</t>
  </si>
  <si>
    <t>- Daging Sapi Grade Atas</t>
  </si>
  <si>
    <t>- Daging Sapi Grade Sedang</t>
  </si>
  <si>
    <t>- Daging Sapi Grade Bawah</t>
  </si>
  <si>
    <t>- Daging Ayam Broiler</t>
  </si>
  <si>
    <t>I K A N</t>
  </si>
  <si>
    <t>- Ikan Tongkol Segar (Uk. Sedang)</t>
  </si>
  <si>
    <t>- Ikan Mujair Segar (Uk. Sedang)</t>
  </si>
  <si>
    <t>- Udang Segar (Uk. Sedang)</t>
  </si>
  <si>
    <t>- Ikan Lele Segar (Ukuran Sedang)</t>
  </si>
  <si>
    <t>- Ikan Bandeng Segar (Uk. Sedang)</t>
  </si>
  <si>
    <t>- Ikan Teri Asin (Bukan Teri Medan)</t>
  </si>
  <si>
    <t>TELUR</t>
  </si>
  <si>
    <t>- Telur Ayam Broiler</t>
  </si>
  <si>
    <t>- Telur Ayam Kampung</t>
  </si>
  <si>
    <t>Butir</t>
  </si>
  <si>
    <t>S U S U</t>
  </si>
  <si>
    <t>- Susu Kental Manis "INDOMILK" Putih</t>
  </si>
  <si>
    <t>390 Gr/kaleng</t>
  </si>
  <si>
    <t>- Susu Bubuk "DANCOW" Full Cream</t>
  </si>
  <si>
    <t>SABUN CUCI</t>
  </si>
  <si>
    <t>- Sabun Detergen Rinso (Anti Noda)</t>
  </si>
  <si>
    <t>900 Gram</t>
  </si>
  <si>
    <t>- Sabun Colek "Wing's Biru"</t>
  </si>
  <si>
    <t>350 Gram</t>
  </si>
  <si>
    <t>JAGUNG</t>
  </si>
  <si>
    <t>- Jagung Pipilan Kering (Jenis Kecil)</t>
  </si>
  <si>
    <t>- Jagung Pipilan Kering (Jenis Besar)</t>
  </si>
  <si>
    <t>GARAM BERYODIUM</t>
  </si>
  <si>
    <t>- Garam Halus (Cap Kapal)</t>
  </si>
  <si>
    <t>250 Gr/Bngks</t>
  </si>
  <si>
    <t>TEPUNG TERIGU</t>
  </si>
  <si>
    <t>- Tepung Terigu "Segitiga Biru" Curah</t>
  </si>
  <si>
    <t>KACANG-KACANGAN</t>
  </si>
  <si>
    <t>- Kacang Kedelai (Kualitas Import)</t>
  </si>
  <si>
    <t>- Kacang Kedelai (Kualitas Lokal)</t>
  </si>
  <si>
    <t>- Kacang Hijau</t>
  </si>
  <si>
    <t>- Kacang Tanah (Jenis Besar)</t>
  </si>
  <si>
    <t>MIE INSTAN</t>
  </si>
  <si>
    <t>- Indomie Goreng</t>
  </si>
  <si>
    <t>86 Gr/Bngks</t>
  </si>
  <si>
    <t>C A B E</t>
  </si>
  <si>
    <t>- Cabe Merah Besar</t>
  </si>
  <si>
    <t>- Cabe Merah Kriting</t>
  </si>
  <si>
    <t>- Cabe Merah Kecil-Rawit</t>
  </si>
  <si>
    <t>BAHAN BAKAR GAS LPG</t>
  </si>
  <si>
    <t>- Gas LPG Tabung (3 Kg.)</t>
  </si>
  <si>
    <t>Per Tabung</t>
  </si>
  <si>
    <t>BAWANG</t>
  </si>
  <si>
    <t>- Bawang Putih (Jenis Kating)</t>
  </si>
  <si>
    <t>- Bawang Putih (Jenis Sinco)</t>
  </si>
  <si>
    <t>- Bawang Merah (Kualitas Lokal)</t>
  </si>
  <si>
    <t>- Bawang Bombay</t>
  </si>
  <si>
    <t>UBI-UBIAN</t>
  </si>
  <si>
    <t>- Ketela Pohon</t>
  </si>
  <si>
    <t>- Ubi Jalar</t>
  </si>
  <si>
    <t>SAYUR-SAYURAN</t>
  </si>
  <si>
    <t>- Kubis</t>
  </si>
  <si>
    <t>- Buncis</t>
  </si>
  <si>
    <t>- Kentang</t>
  </si>
  <si>
    <t>- Tomat</t>
  </si>
  <si>
    <t>- Wortel (Kualitas Lokal)</t>
  </si>
  <si>
    <t>- Terong Ungu (Jenis Sayur)</t>
  </si>
  <si>
    <t>- Bayam (Jenis Sayur)</t>
  </si>
  <si>
    <t>Ikat Kecil</t>
  </si>
  <si>
    <t>- Kangkung (Jenis Panjang)</t>
  </si>
  <si>
    <t>- Sawi (Jenis Hijau)</t>
  </si>
  <si>
    <t>AIR MINERAL</t>
  </si>
  <si>
    <t>- Air Mineral (Aqua Galon)</t>
  </si>
  <si>
    <t>19 Ltr/Galon</t>
  </si>
  <si>
    <t xml:space="preserve">HARGA BAHAN-BAHAN POKOK </t>
  </si>
  <si>
    <t>DI PASAR TRADISIONAL KOTA SURABAYA</t>
  </si>
  <si>
    <t>SATUAN</t>
  </si>
  <si>
    <t>Pasar Tambahrejo</t>
  </si>
  <si>
    <t>Pasar Pucang Anom</t>
  </si>
  <si>
    <t>Pasar Wonokromo</t>
  </si>
  <si>
    <t>Pasar Genteng Baru</t>
  </si>
  <si>
    <t>Pasar Pabean</t>
  </si>
  <si>
    <t>Pasar Kembang</t>
  </si>
  <si>
    <t>Pasar Balongsari</t>
  </si>
  <si>
    <t>Rata-Rata</t>
  </si>
  <si>
    <t>-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</si>
  <si>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</si>
  <si>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</t>
  </si>
  <si>
    <t xml:space="preserve">  </t>
  </si>
  <si>
    <t>- Telur Ayam Horn</t>
  </si>
  <si>
    <t>FLUKTUASI</t>
  </si>
  <si>
    <t>BAGIAN PEREKONOMIAN DAN SUMBER DAYA ALAM</t>
  </si>
  <si>
    <t>HET/HAPK (Harga Eceran Tertinggi)</t>
  </si>
  <si>
    <t>- Beras Premium</t>
  </si>
  <si>
    <t>- Beras Medium</t>
  </si>
  <si>
    <t>- Minyak Kita</t>
  </si>
  <si>
    <t>Liter</t>
  </si>
  <si>
    <t>TAHU DAN TEMPE</t>
  </si>
  <si>
    <t>- Tahu</t>
  </si>
  <si>
    <t>- Tempe</t>
  </si>
  <si>
    <t>HARI / TANGGAL :  Kamis / 01 Februari 2024</t>
  </si>
  <si>
    <t>- Beras Medium Bulog</t>
  </si>
  <si>
    <t>- Gula pasir lokal curah</t>
  </si>
  <si>
    <t xml:space="preserve">TAHU </t>
  </si>
  <si>
    <t>- Tahu biasa</t>
  </si>
  <si>
    <t>- Tahu susu</t>
  </si>
  <si>
    <t>TEMPE</t>
  </si>
  <si>
    <t>- Tempe Kw I (campuran kedelai)</t>
  </si>
  <si>
    <t>- Tempe Kw II (campuran jagung)</t>
  </si>
  <si>
    <t>- Tempe Kw III (campuran kulit)</t>
  </si>
  <si>
    <t>- Susu Kental Manis "BENDERA" Putih</t>
  </si>
  <si>
    <t>500 Gr/Bngks</t>
  </si>
  <si>
    <t>HARI / TANGGAL :  Jumat  / 02  Februari 2024</t>
  </si>
  <si>
    <t>HARI / TANGGAL :  Sabtu / 03  Februari 2024</t>
  </si>
  <si>
    <t>HARI / TANGGAL :  Minggu / 05  Februari 2024</t>
  </si>
  <si>
    <t>HARI / TANGGAL :  Senin / 05  Februari 2024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</si>
  <si>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</si>
  <si>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HARI / TANGGAL :  Selasa / 06  Februari 2024</t>
  </si>
  <si>
    <t>HARI / TANGGAL :  Rabu / 07  Februari 2024</t>
  </si>
  <si>
    <t>HARI / TANGGAL :  Kamis / 08  Februari 2024</t>
  </si>
  <si>
    <t>HARI / TANGGAL :  Jumat / 09  Februari 2024</t>
  </si>
  <si>
    <t>HARI / TANGGAL :  Sabtu  / 10  Februari 2024</t>
  </si>
  <si>
    <t>HARI / TANGGAL :  Minggu  / 11  Februari 2024</t>
  </si>
  <si>
    <t>HARI / TANGGAL :  Senin / 12  Februari 2024</t>
  </si>
  <si>
    <t>HARI / TANGGAL :  Selasa / 13  Februari 2024</t>
  </si>
  <si>
    <t>HARI / TANGGAL :  Rabu / 14  Februari 2024</t>
  </si>
  <si>
    <t>HARI / TANGGAL :  Kamis / 15  Februari 2024</t>
  </si>
  <si>
    <t>HARI / TANGGAL :  Jumat / 16  Februari 2024</t>
  </si>
  <si>
    <t>HARI / TANGGAL :  Sabtu / 17  Februari 2024</t>
  </si>
  <si>
    <t>HARI / TANGGAL :  Minggu / 18  Februari 2024</t>
  </si>
  <si>
    <t>HARI / TANGGAL :  Senin / 19  Februari 2024</t>
  </si>
  <si>
    <t>HARI / TANGGAL :  Selasa / 20  Februari 2024</t>
  </si>
  <si>
    <t>HARI / TANGGAL :  Rabu / 21  Februari 2024</t>
  </si>
  <si>
    <t>HARI / TANGGAL :  Kamis  / 22  Februari 2024</t>
  </si>
  <si>
    <t>HARI / TANGGAL :  Jumat  / 23  Februari 2024</t>
  </si>
  <si>
    <t>HARI / TANGGAL :  Sabtu  / 24  Februari 2024</t>
  </si>
  <si>
    <t>HARI / TANGGAL :  Minggu  / 25  Februari 2024</t>
  </si>
  <si>
    <t>HARI / TANGGAL :  Senin  / 26  Februari 2024</t>
  </si>
  <si>
    <t>HARI / TANGGAL :  Selasa   / 27  Februari 2024</t>
  </si>
  <si>
    <t>HARI / TANGGAL :  Rabu  / 28  Februari 2024</t>
  </si>
  <si>
    <t>HARI / TANGGAL :  Kamis  / 29  Februari 2024</t>
  </si>
  <si>
    <t>PERIODE PEBRUARI 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</si>
</sst>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u/>
      <sz val="14"/>
      <color theme="1"/>
      <name val="Calibri"/>
      <family val="2"/>
      <scheme val="minor"/>
    </font>
    <font>
      <sz val="10"/>
      <name val="Arial"/>
      <family val="2"/>
    </font>
    <font>
      <b/>
      <sz val="11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9"/>
      <name val="Tahoma"/>
      <family val="2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charset val="1"/>
      <scheme val="minor"/>
    </font>
    <font>
      <b/>
      <sz val="11"/>
      <color theme="1"/>
      <name val="Tahoma"/>
      <family val="2"/>
    </font>
    <font>
      <sz val="12"/>
      <color theme="1"/>
      <name val="Calibri"/>
      <family val="2"/>
      <charset val="1"/>
      <scheme val="minor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Arial"/>
      <family val="2"/>
    </font>
    <font>
      <b/>
      <sz val="11"/>
      <color theme="1" tint="4.9989318521683403E-2"/>
      <name val="Tahoma"/>
      <family val="2"/>
    </font>
    <font>
      <b/>
      <sz val="11"/>
      <name val="Arial"/>
      <family val="2"/>
    </font>
    <font>
      <b/>
      <sz val="11"/>
      <color theme="5" tint="-0.249977111117893"/>
      <name val="Tahoma"/>
      <family val="2"/>
    </font>
    <font>
      <sz val="11"/>
      <color theme="5" tint="-0.249977111117893"/>
      <name val="Tahoma"/>
      <family val="2"/>
    </font>
    <font>
      <sz val="11"/>
      <color theme="1" tint="4.9989318521683403E-2"/>
      <name val="Tahoma"/>
      <family val="2"/>
    </font>
    <font>
      <sz val="12"/>
      <color rgb="FFFF0000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sz val="10"/>
      <name val="Tahoma"/>
      <family val="2"/>
      <charset val="1"/>
    </font>
    <font>
      <sz val="9"/>
      <name val="Tahoma"/>
      <family val="2"/>
      <charset val="1"/>
    </font>
    <font>
      <b/>
      <sz val="10"/>
      <name val="Tahoma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0" fontId="23" fillId="0" borderId="0"/>
  </cellStyleXfs>
  <cellXfs count="179">
    <xf numFmtId="0" fontId="0" fillId="0" borderId="0" xfId="0"/>
    <xf numFmtId="164" fontId="0" fillId="0" borderId="0" xfId="0" applyNumberFormat="1"/>
    <xf numFmtId="0" fontId="0" fillId="2" borderId="0" xfId="0" applyFill="1"/>
    <xf numFmtId="0" fontId="11" fillId="0" borderId="0" xfId="0" applyFont="1"/>
    <xf numFmtId="0" fontId="13" fillId="0" borderId="0" xfId="0" applyFont="1"/>
    <xf numFmtId="0" fontId="4" fillId="3" borderId="4" xfId="1" applyFont="1" applyFill="1" applyBorder="1" applyAlignment="1">
      <alignment vertical="center"/>
    </xf>
    <xf numFmtId="0" fontId="14" fillId="0" borderId="5" xfId="1" quotePrefix="1" applyFont="1" applyBorder="1" applyAlignment="1">
      <alignment vertical="center"/>
    </xf>
    <xf numFmtId="164" fontId="13" fillId="0" borderId="0" xfId="0" applyNumberFormat="1" applyFont="1"/>
    <xf numFmtId="164" fontId="12" fillId="0" borderId="18" xfId="2" applyFont="1" applyFill="1" applyBorder="1" applyAlignment="1">
      <alignment horizontal="center" vertical="center"/>
    </xf>
    <xf numFmtId="164" fontId="17" fillId="0" borderId="18" xfId="2" applyFont="1" applyFill="1" applyBorder="1" applyAlignment="1">
      <alignment horizontal="center" vertical="center"/>
    </xf>
    <xf numFmtId="164" fontId="14" fillId="0" borderId="18" xfId="2" applyFont="1" applyFill="1" applyBorder="1" applyAlignment="1">
      <alignment horizontal="center" vertical="center"/>
    </xf>
    <xf numFmtId="0" fontId="4" fillId="3" borderId="5" xfId="1" applyFont="1" applyFill="1" applyBorder="1" applyAlignment="1">
      <alignment vertical="center"/>
    </xf>
    <xf numFmtId="0" fontId="13" fillId="2" borderId="0" xfId="0" applyFont="1" applyFill="1"/>
    <xf numFmtId="0" fontId="14" fillId="0" borderId="5" xfId="1" applyFont="1" applyBorder="1" applyAlignment="1">
      <alignment vertical="center"/>
    </xf>
    <xf numFmtId="0" fontId="4" fillId="4" borderId="5" xfId="1" applyFont="1" applyFill="1" applyBorder="1" applyAlignment="1">
      <alignment vertical="center"/>
    </xf>
    <xf numFmtId="0" fontId="4" fillId="0" borderId="18" xfId="1" applyFont="1" applyBorder="1" applyAlignment="1">
      <alignment horizontal="center" vertical="center"/>
    </xf>
    <xf numFmtId="164" fontId="4" fillId="0" borderId="18" xfId="2" applyFont="1" applyFill="1" applyBorder="1" applyAlignment="1">
      <alignment horizontal="center" vertical="center"/>
    </xf>
    <xf numFmtId="0" fontId="14" fillId="0" borderId="18" xfId="1" applyFont="1" applyBorder="1" applyAlignment="1">
      <alignment horizontal="center" vertical="center"/>
    </xf>
    <xf numFmtId="0" fontId="4" fillId="3" borderId="5" xfId="1" applyFont="1" applyFill="1" applyBorder="1" applyAlignment="1">
      <alignment horizontal="left" vertical="center"/>
    </xf>
    <xf numFmtId="164" fontId="15" fillId="0" borderId="18" xfId="2" applyFont="1" applyFill="1" applyBorder="1" applyAlignment="1">
      <alignment horizontal="center" vertical="center"/>
    </xf>
    <xf numFmtId="0" fontId="20" fillId="0" borderId="18" xfId="1" applyFont="1" applyBorder="1" applyAlignment="1">
      <alignment horizontal="center" vertical="center"/>
    </xf>
    <xf numFmtId="0" fontId="14" fillId="5" borderId="5" xfId="1" quotePrefix="1" applyFont="1" applyFill="1" applyBorder="1" applyAlignment="1">
      <alignment vertical="center"/>
    </xf>
    <xf numFmtId="164" fontId="20" fillId="0" borderId="18" xfId="2" applyFont="1" applyFill="1" applyBorder="1" applyAlignment="1">
      <alignment horizontal="center" vertical="center"/>
    </xf>
    <xf numFmtId="0" fontId="22" fillId="0" borderId="0" xfId="0" applyFont="1"/>
    <xf numFmtId="164" fontId="21" fillId="0" borderId="18" xfId="2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7" fillId="2" borderId="5" xfId="1" quotePrefix="1" applyFont="1" applyFill="1" applyBorder="1" applyAlignment="1">
      <alignment vertical="center"/>
    </xf>
    <xf numFmtId="0" fontId="6" fillId="2" borderId="5" xfId="1" applyFont="1" applyFill="1" applyBorder="1" applyAlignment="1">
      <alignment horizontal="center" vertical="center"/>
    </xf>
    <xf numFmtId="164" fontId="8" fillId="2" borderId="5" xfId="2" applyFont="1" applyFill="1" applyBorder="1" applyAlignment="1">
      <alignment vertical="center"/>
    </xf>
    <xf numFmtId="0" fontId="7" fillId="2" borderId="24" xfId="1" quotePrefix="1" applyFont="1" applyFill="1" applyBorder="1" applyAlignment="1">
      <alignment vertical="center"/>
    </xf>
    <xf numFmtId="0" fontId="6" fillId="2" borderId="24" xfId="1" applyFont="1" applyFill="1" applyBorder="1" applyAlignment="1">
      <alignment horizontal="center" vertical="center"/>
    </xf>
    <xf numFmtId="164" fontId="8" fillId="2" borderId="24" xfId="2" applyFont="1" applyFill="1" applyBorder="1" applyAlignment="1">
      <alignment vertical="center"/>
    </xf>
    <xf numFmtId="0" fontId="7" fillId="2" borderId="0" xfId="1" quotePrefix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164" fontId="8" fillId="2" borderId="0" xfId="2" applyFont="1" applyFill="1" applyBorder="1" applyAlignment="1">
      <alignment vertical="center"/>
    </xf>
    <xf numFmtId="0" fontId="7" fillId="2" borderId="25" xfId="1" quotePrefix="1" applyFont="1" applyFill="1" applyBorder="1" applyAlignment="1">
      <alignment vertical="center"/>
    </xf>
    <xf numFmtId="0" fontId="6" fillId="2" borderId="25" xfId="1" applyFont="1" applyFill="1" applyBorder="1" applyAlignment="1">
      <alignment horizontal="center" vertical="center"/>
    </xf>
    <xf numFmtId="164" fontId="8" fillId="2" borderId="25" xfId="2" applyFont="1" applyFill="1" applyBorder="1" applyAlignment="1">
      <alignment vertical="center"/>
    </xf>
    <xf numFmtId="0" fontId="6" fillId="2" borderId="5" xfId="1" applyFont="1" applyFill="1" applyBorder="1" applyAlignment="1">
      <alignment vertical="center"/>
    </xf>
    <xf numFmtId="0" fontId="6" fillId="2" borderId="24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25" xfId="1" quotePrefix="1" applyFont="1" applyFill="1" applyBorder="1" applyAlignment="1">
      <alignment vertical="center"/>
    </xf>
    <xf numFmtId="0" fontId="6" fillId="2" borderId="5" xfId="1" quotePrefix="1" applyFont="1" applyFill="1" applyBorder="1" applyAlignment="1">
      <alignment vertical="center"/>
    </xf>
    <xf numFmtId="0" fontId="5" fillId="2" borderId="24" xfId="1" applyFont="1" applyFill="1" applyBorder="1" applyAlignment="1">
      <alignment vertical="center"/>
    </xf>
    <xf numFmtId="0" fontId="6" fillId="2" borderId="24" xfId="1" quotePrefix="1" applyFont="1" applyFill="1" applyBorder="1" applyAlignment="1">
      <alignment vertical="center"/>
    </xf>
    <xf numFmtId="0" fontId="5" fillId="2" borderId="0" xfId="1" applyFont="1" applyFill="1" applyAlignment="1">
      <alignment vertical="center"/>
    </xf>
    <xf numFmtId="0" fontId="6" fillId="2" borderId="0" xfId="1" quotePrefix="1" applyFont="1" applyFill="1" applyAlignment="1">
      <alignment vertical="center"/>
    </xf>
    <xf numFmtId="0" fontId="23" fillId="0" borderId="0" xfId="3"/>
    <xf numFmtId="0" fontId="13" fillId="0" borderId="0" xfId="3" applyFont="1"/>
    <xf numFmtId="164" fontId="13" fillId="0" borderId="0" xfId="3" applyNumberFormat="1" applyFont="1"/>
    <xf numFmtId="0" fontId="13" fillId="2" borderId="0" xfId="3" applyFont="1" applyFill="1"/>
    <xf numFmtId="0" fontId="22" fillId="0" borderId="0" xfId="3" applyFont="1"/>
    <xf numFmtId="164" fontId="23" fillId="0" borderId="0" xfId="3" applyNumberFormat="1"/>
    <xf numFmtId="164" fontId="0" fillId="2" borderId="0" xfId="0" applyNumberFormat="1" applyFill="1"/>
    <xf numFmtId="0" fontId="14" fillId="0" borderId="18" xfId="1" applyFont="1" applyBorder="1" applyAlignment="1">
      <alignment horizontal="center" vertical="top"/>
    </xf>
    <xf numFmtId="0" fontId="4" fillId="3" borderId="18" xfId="1" applyFont="1" applyFill="1" applyBorder="1" applyAlignment="1">
      <alignment vertical="center"/>
    </xf>
    <xf numFmtId="0" fontId="14" fillId="3" borderId="18" xfId="1" applyFont="1" applyFill="1" applyBorder="1" applyAlignment="1">
      <alignment vertical="center"/>
    </xf>
    <xf numFmtId="0" fontId="15" fillId="0" borderId="18" xfId="1" applyFont="1" applyBorder="1" applyAlignment="1">
      <alignment horizontal="center" vertical="center"/>
    </xf>
    <xf numFmtId="0" fontId="16" fillId="0" borderId="18" xfId="1" applyFont="1" applyBorder="1" applyAlignment="1">
      <alignment horizontal="center" vertical="center"/>
    </xf>
    <xf numFmtId="0" fontId="12" fillId="0" borderId="18" xfId="1" applyFont="1" applyBorder="1" applyAlignment="1">
      <alignment horizontal="center" vertical="center" wrapText="1"/>
    </xf>
    <xf numFmtId="0" fontId="16" fillId="4" borderId="18" xfId="1" applyFont="1" applyFill="1" applyBorder="1" applyAlignment="1">
      <alignment horizontal="center" vertical="center"/>
    </xf>
    <xf numFmtId="0" fontId="14" fillId="0" borderId="18" xfId="1" quotePrefix="1" applyFont="1" applyBorder="1" applyAlignment="1">
      <alignment vertical="center"/>
    </xf>
    <xf numFmtId="164" fontId="18" fillId="0" borderId="18" xfId="2" applyFont="1" applyBorder="1" applyAlignment="1">
      <alignment horizontal="center" vertical="center"/>
    </xf>
    <xf numFmtId="0" fontId="14" fillId="4" borderId="18" xfId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64" fontId="16" fillId="0" borderId="18" xfId="2" applyFont="1" applyFill="1" applyBorder="1" applyAlignment="1">
      <alignment horizontal="center" vertical="center"/>
    </xf>
    <xf numFmtId="164" fontId="18" fillId="4" borderId="18" xfId="2" applyFont="1" applyFill="1" applyBorder="1" applyAlignment="1">
      <alignment horizontal="center" vertical="center"/>
    </xf>
    <xf numFmtId="164" fontId="17" fillId="2" borderId="18" xfId="2" applyFont="1" applyFill="1" applyBorder="1" applyAlignment="1">
      <alignment horizontal="center" vertical="center"/>
    </xf>
    <xf numFmtId="0" fontId="4" fillId="4" borderId="18" xfId="1" applyFont="1" applyFill="1" applyBorder="1" applyAlignment="1">
      <alignment vertical="center"/>
    </xf>
    <xf numFmtId="0" fontId="12" fillId="0" borderId="18" xfId="1" applyFont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19" fillId="0" borderId="18" xfId="1" applyFont="1" applyBorder="1" applyAlignment="1">
      <alignment horizontal="center" vertical="center"/>
    </xf>
    <xf numFmtId="164" fontId="14" fillId="2" borderId="18" xfId="2" applyFont="1" applyFill="1" applyBorder="1" applyAlignment="1">
      <alignment horizontal="center" vertical="center"/>
    </xf>
    <xf numFmtId="164" fontId="12" fillId="2" borderId="18" xfId="2" applyFont="1" applyFill="1" applyBorder="1" applyAlignment="1">
      <alignment horizontal="center" vertical="center"/>
    </xf>
    <xf numFmtId="164" fontId="4" fillId="2" borderId="18" xfId="2" applyFont="1" applyFill="1" applyBorder="1" applyAlignment="1">
      <alignment horizontal="center" vertical="center"/>
    </xf>
    <xf numFmtId="0" fontId="14" fillId="4" borderId="18" xfId="1" applyFont="1" applyFill="1" applyBorder="1" applyAlignment="1">
      <alignment horizontal="center" vertical="center"/>
    </xf>
    <xf numFmtId="164" fontId="18" fillId="12" borderId="18" xfId="2" applyFont="1" applyFill="1" applyBorder="1" applyAlignment="1">
      <alignment horizontal="center" vertical="center"/>
    </xf>
    <xf numFmtId="0" fontId="4" fillId="12" borderId="18" xfId="1" applyFont="1" applyFill="1" applyBorder="1" applyAlignment="1">
      <alignment vertical="center"/>
    </xf>
    <xf numFmtId="0" fontId="14" fillId="12" borderId="18" xfId="1" applyFont="1" applyFill="1" applyBorder="1" applyAlignment="1">
      <alignment horizontal="center" vertical="center"/>
    </xf>
    <xf numFmtId="0" fontId="17" fillId="2" borderId="18" xfId="1" applyFont="1" applyFill="1" applyBorder="1" applyAlignment="1">
      <alignment horizontal="center" vertical="center"/>
    </xf>
    <xf numFmtId="0" fontId="4" fillId="3" borderId="18" xfId="1" applyFont="1" applyFill="1" applyBorder="1" applyAlignment="1">
      <alignment horizontal="left" vertical="center"/>
    </xf>
    <xf numFmtId="0" fontId="14" fillId="5" borderId="18" xfId="1" applyFont="1" applyFill="1" applyBorder="1" applyAlignment="1">
      <alignment horizontal="center" vertical="center"/>
    </xf>
    <xf numFmtId="0" fontId="21" fillId="2" borderId="18" xfId="1" applyFont="1" applyFill="1" applyBorder="1" applyAlignment="1">
      <alignment horizontal="center" vertical="center"/>
    </xf>
    <xf numFmtId="0" fontId="14" fillId="5" borderId="18" xfId="1" quotePrefix="1" applyFont="1" applyFill="1" applyBorder="1" applyAlignment="1">
      <alignment vertical="center"/>
    </xf>
    <xf numFmtId="164" fontId="19" fillId="0" borderId="18" xfId="2" applyFont="1" applyFill="1" applyBorder="1" applyAlignment="1">
      <alignment horizontal="center" vertical="center"/>
    </xf>
    <xf numFmtId="164" fontId="21" fillId="2" borderId="18" xfId="2" applyFont="1" applyFill="1" applyBorder="1" applyAlignment="1">
      <alignment horizontal="center" vertical="center"/>
    </xf>
    <xf numFmtId="0" fontId="14" fillId="3" borderId="18" xfId="1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25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14" fillId="0" borderId="18" xfId="1" applyFont="1" applyBorder="1" applyAlignment="1">
      <alignment horizontal="center" vertical="top"/>
    </xf>
    <xf numFmtId="0" fontId="12" fillId="0" borderId="0" xfId="0" applyFont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2" fillId="12" borderId="19" xfId="1" applyFont="1" applyFill="1" applyBorder="1" applyAlignment="1">
      <alignment horizontal="center" vertical="center" wrapText="1"/>
    </xf>
    <xf numFmtId="0" fontId="12" fillId="12" borderId="21" xfId="1" applyFont="1" applyFill="1" applyBorder="1" applyAlignment="1">
      <alignment horizontal="center" vertical="center" wrapText="1"/>
    </xf>
    <xf numFmtId="0" fontId="12" fillId="12" borderId="2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12" fillId="6" borderId="7" xfId="1" applyFont="1" applyFill="1" applyBorder="1" applyAlignment="1">
      <alignment horizontal="center" vertical="center" wrapText="1"/>
    </xf>
    <xf numFmtId="0" fontId="12" fillId="6" borderId="10" xfId="1" applyFont="1" applyFill="1" applyBorder="1" applyAlignment="1">
      <alignment horizontal="center" vertical="center" wrapText="1"/>
    </xf>
    <xf numFmtId="0" fontId="12" fillId="6" borderId="14" xfId="1" applyFont="1" applyFill="1" applyBorder="1" applyAlignment="1">
      <alignment horizontal="center" vertical="center" wrapText="1"/>
    </xf>
    <xf numFmtId="0" fontId="12" fillId="7" borderId="8" xfId="1" applyFont="1" applyFill="1" applyBorder="1" applyAlignment="1">
      <alignment horizontal="center" vertical="center" wrapText="1"/>
    </xf>
    <xf numFmtId="0" fontId="12" fillId="7" borderId="11" xfId="1" applyFont="1" applyFill="1" applyBorder="1" applyAlignment="1">
      <alignment horizontal="center" vertical="center" wrapText="1"/>
    </xf>
    <xf numFmtId="0" fontId="12" fillId="7" borderId="15" xfId="1" applyFont="1" applyFill="1" applyBorder="1" applyAlignment="1">
      <alignment horizontal="center" vertical="center" wrapText="1"/>
    </xf>
    <xf numFmtId="0" fontId="12" fillId="10" borderId="1" xfId="1" applyFont="1" applyFill="1" applyBorder="1" applyAlignment="1">
      <alignment horizontal="center" vertical="center" wrapText="1"/>
    </xf>
    <xf numFmtId="0" fontId="12" fillId="10" borderId="2" xfId="1" applyFont="1" applyFill="1" applyBorder="1" applyAlignment="1">
      <alignment horizontal="center" vertical="center" wrapText="1"/>
    </xf>
    <xf numFmtId="0" fontId="12" fillId="10" borderId="3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horizontal="center" vertical="center" wrapText="1"/>
    </xf>
    <xf numFmtId="0" fontId="12" fillId="11" borderId="2" xfId="1" applyFont="1" applyFill="1" applyBorder="1" applyAlignment="1">
      <alignment horizontal="center" vertical="center" wrapText="1"/>
    </xf>
    <xf numFmtId="0" fontId="12" fillId="11" borderId="3" xfId="1" applyFont="1" applyFill="1" applyBorder="1" applyAlignment="1">
      <alignment horizontal="center" vertical="center" wrapText="1"/>
    </xf>
    <xf numFmtId="0" fontId="4" fillId="2" borderId="20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23" xfId="1" applyFont="1" applyFill="1" applyBorder="1" applyAlignment="1">
      <alignment horizontal="center" vertical="center" wrapText="1"/>
    </xf>
    <xf numFmtId="0" fontId="12" fillId="8" borderId="8" xfId="1" applyFont="1" applyFill="1" applyBorder="1" applyAlignment="1">
      <alignment horizontal="center" vertical="center" wrapText="1"/>
    </xf>
    <xf numFmtId="0" fontId="12" fillId="8" borderId="12" xfId="1" applyFont="1" applyFill="1" applyBorder="1" applyAlignment="1">
      <alignment horizontal="center" vertical="center" wrapText="1"/>
    </xf>
    <xf numFmtId="0" fontId="12" fillId="8" borderId="16" xfId="1" applyFont="1" applyFill="1" applyBorder="1" applyAlignment="1">
      <alignment horizontal="center" vertical="center" wrapText="1"/>
    </xf>
    <xf numFmtId="0" fontId="12" fillId="9" borderId="9" xfId="1" applyFont="1" applyFill="1" applyBorder="1" applyAlignment="1">
      <alignment horizontal="center" vertical="center" wrapText="1"/>
    </xf>
    <xf numFmtId="0" fontId="12" fillId="9" borderId="13" xfId="1" applyFont="1" applyFill="1" applyBorder="1" applyAlignment="1">
      <alignment horizontal="center" vertical="center" wrapText="1"/>
    </xf>
    <xf numFmtId="0" fontId="12" fillId="9" borderId="17" xfId="1" applyFont="1" applyFill="1" applyBorder="1" applyAlignment="1">
      <alignment horizontal="center" vertical="center" wrapText="1"/>
    </xf>
    <xf numFmtId="0" fontId="12" fillId="6" borderId="9" xfId="1" applyFont="1" applyFill="1" applyBorder="1" applyAlignment="1">
      <alignment horizontal="center" vertical="center" wrapText="1"/>
    </xf>
    <xf numFmtId="0" fontId="12" fillId="6" borderId="13" xfId="1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center" vertical="center" wrapText="1"/>
    </xf>
    <xf numFmtId="0" fontId="12" fillId="0" borderId="0" xfId="3" applyFont="1" applyAlignment="1">
      <alignment horizontal="center"/>
    </xf>
    <xf numFmtId="0" fontId="14" fillId="0" borderId="20" xfId="1" applyFont="1" applyBorder="1" applyAlignment="1">
      <alignment horizontal="center" vertical="top"/>
    </xf>
    <xf numFmtId="0" fontId="14" fillId="0" borderId="12" xfId="1" applyFont="1" applyBorder="1" applyAlignment="1">
      <alignment horizontal="center" vertical="top"/>
    </xf>
    <xf numFmtId="0" fontId="14" fillId="0" borderId="23" xfId="1" applyFont="1" applyBorder="1" applyAlignment="1">
      <alignment horizontal="center" vertical="top"/>
    </xf>
    <xf numFmtId="0" fontId="14" fillId="0" borderId="8" xfId="1" applyFont="1" applyBorder="1" applyAlignment="1">
      <alignment horizontal="center" vertical="top"/>
    </xf>
    <xf numFmtId="0" fontId="12" fillId="13" borderId="9" xfId="1" applyFont="1" applyFill="1" applyBorder="1" applyAlignment="1">
      <alignment horizontal="center" vertical="center" wrapText="1"/>
    </xf>
    <xf numFmtId="0" fontId="12" fillId="13" borderId="13" xfId="1" applyFont="1" applyFill="1" applyBorder="1" applyAlignment="1">
      <alignment horizontal="center" vertical="center" wrapText="1"/>
    </xf>
    <xf numFmtId="0" fontId="12" fillId="13" borderId="17" xfId="1" applyFont="1" applyFill="1" applyBorder="1" applyAlignment="1">
      <alignment horizontal="center" vertical="center" wrapText="1"/>
    </xf>
    <xf numFmtId="0" fontId="12" fillId="12" borderId="7" xfId="1" applyFont="1" applyFill="1" applyBorder="1" applyAlignment="1">
      <alignment horizontal="center" vertical="center" wrapText="1"/>
    </xf>
    <xf numFmtId="0" fontId="12" fillId="12" borderId="10" xfId="1" applyFont="1" applyFill="1" applyBorder="1" applyAlignment="1">
      <alignment horizontal="center" vertical="center" wrapText="1"/>
    </xf>
    <xf numFmtId="0" fontId="12" fillId="12" borderId="14" xfId="1" applyFont="1" applyFill="1" applyBorder="1" applyAlignment="1">
      <alignment horizontal="center" vertical="center" wrapText="1"/>
    </xf>
    <xf numFmtId="0" fontId="12" fillId="7" borderId="12" xfId="1" applyFont="1" applyFill="1" applyBorder="1" applyAlignment="1">
      <alignment horizontal="center" vertical="center" wrapText="1"/>
    </xf>
    <xf numFmtId="0" fontId="12" fillId="7" borderId="16" xfId="1" applyFont="1" applyFill="1" applyBorder="1" applyAlignment="1">
      <alignment horizontal="center" vertical="center" wrapText="1"/>
    </xf>
    <xf numFmtId="0" fontId="12" fillId="14" borderId="1" xfId="1" applyFont="1" applyFill="1" applyBorder="1" applyAlignment="1">
      <alignment horizontal="center" vertical="center" wrapText="1"/>
    </xf>
    <xf numFmtId="0" fontId="12" fillId="14" borderId="2" xfId="1" applyFont="1" applyFill="1" applyBorder="1" applyAlignment="1">
      <alignment horizontal="center" vertical="center" wrapText="1"/>
    </xf>
    <xf numFmtId="0" fontId="12" fillId="14" borderId="3" xfId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/>
    </xf>
    <xf numFmtId="0" fontId="4" fillId="2" borderId="26" xfId="1" applyFont="1" applyFill="1" applyBorder="1" applyAlignment="1">
      <alignment horizontal="center" vertical="center"/>
    </xf>
    <xf numFmtId="0" fontId="4" fillId="2" borderId="26" xfId="1" applyFont="1" applyFill="1" applyBorder="1" applyAlignment="1">
      <alignment horizontal="center" vertical="center" wrapText="1"/>
    </xf>
    <xf numFmtId="16" fontId="5" fillId="2" borderId="26" xfId="1" applyNumberFormat="1" applyFont="1" applyFill="1" applyBorder="1" applyAlignment="1">
      <alignment horizontal="center" vertical="center" wrapText="1"/>
    </xf>
    <xf numFmtId="0" fontId="27" fillId="2" borderId="26" xfId="1" applyFont="1" applyFill="1" applyBorder="1" applyAlignment="1">
      <alignment horizontal="center" vertical="center" wrapText="1"/>
    </xf>
    <xf numFmtId="16" fontId="24" fillId="2" borderId="26" xfId="1" applyNumberFormat="1" applyFont="1" applyFill="1" applyBorder="1" applyAlignment="1">
      <alignment horizontal="center" vertical="center" wrapText="1"/>
    </xf>
    <xf numFmtId="0" fontId="5" fillId="2" borderId="26" xfId="1" applyFont="1" applyFill="1" applyBorder="1" applyAlignment="1">
      <alignment horizontal="center" vertical="center" wrapText="1"/>
    </xf>
    <xf numFmtId="0" fontId="24" fillId="2" borderId="26" xfId="1" applyFont="1" applyFill="1" applyBorder="1" applyAlignment="1">
      <alignment horizontal="center" vertical="center" wrapText="1"/>
    </xf>
    <xf numFmtId="0" fontId="6" fillId="2" borderId="26" xfId="1" applyFont="1" applyFill="1" applyBorder="1" applyAlignment="1">
      <alignment horizontal="center" vertical="top"/>
    </xf>
    <xf numFmtId="0" fontId="31" fillId="15" borderId="26" xfId="1" applyFont="1" applyFill="1" applyBorder="1" applyAlignment="1">
      <alignment vertical="center"/>
    </xf>
    <xf numFmtId="0" fontId="29" fillId="15" borderId="26" xfId="1" applyFont="1" applyFill="1" applyBorder="1" applyAlignment="1">
      <alignment horizontal="center" vertical="center"/>
    </xf>
    <xf numFmtId="0" fontId="3" fillId="2" borderId="26" xfId="1" applyFill="1" applyBorder="1"/>
    <xf numFmtId="0" fontId="8" fillId="2" borderId="26" xfId="1" applyFont="1" applyFill="1" applyBorder="1"/>
    <xf numFmtId="0" fontId="30" fillId="2" borderId="26" xfId="1" quotePrefix="1" applyFont="1" applyFill="1" applyBorder="1" applyAlignment="1">
      <alignment vertical="center"/>
    </xf>
    <xf numFmtId="0" fontId="29" fillId="2" borderId="26" xfId="1" applyFont="1" applyFill="1" applyBorder="1" applyAlignment="1">
      <alignment horizontal="center" vertical="center"/>
    </xf>
    <xf numFmtId="164" fontId="8" fillId="2" borderId="26" xfId="2" applyFont="1" applyFill="1" applyBorder="1" applyAlignment="1">
      <alignment horizontal="right" vertical="center"/>
    </xf>
    <xf numFmtId="164" fontId="8" fillId="2" borderId="26" xfId="2" applyFont="1" applyFill="1" applyBorder="1" applyAlignment="1">
      <alignment vertical="center"/>
    </xf>
    <xf numFmtId="0" fontId="29" fillId="2" borderId="26" xfId="1" applyFont="1" applyFill="1" applyBorder="1" applyAlignment="1">
      <alignment vertical="center"/>
    </xf>
    <xf numFmtId="0" fontId="29" fillId="2" borderId="26" xfId="1" quotePrefix="1" applyFont="1" applyFill="1" applyBorder="1" applyAlignment="1">
      <alignment vertical="center"/>
    </xf>
    <xf numFmtId="0" fontId="31" fillId="15" borderId="26" xfId="1" quotePrefix="1" applyFont="1" applyFill="1" applyBorder="1" applyAlignment="1">
      <alignment vertical="center"/>
    </xf>
    <xf numFmtId="0" fontId="29" fillId="2" borderId="26" xfId="1" applyFont="1" applyFill="1" applyBorder="1" applyAlignment="1">
      <alignment horizontal="left" vertical="center"/>
    </xf>
    <xf numFmtId="0" fontId="6" fillId="2" borderId="26" xfId="1" applyFont="1" applyFill="1" applyBorder="1" applyAlignment="1">
      <alignment horizontal="center" vertical="top"/>
    </xf>
    <xf numFmtId="0" fontId="6" fillId="2" borderId="26" xfId="1" applyFont="1" applyFill="1" applyBorder="1" applyAlignment="1">
      <alignment horizontal="center" vertical="center"/>
    </xf>
    <xf numFmtId="0" fontId="0" fillId="2" borderId="26" xfId="0" applyFill="1" applyBorder="1" applyAlignment="1">
      <alignment horizontal="center"/>
    </xf>
    <xf numFmtId="0" fontId="1" fillId="2" borderId="26" xfId="0" applyFont="1" applyFill="1" applyBorder="1"/>
    <xf numFmtId="0" fontId="1" fillId="2" borderId="26" xfId="0" applyFont="1" applyFill="1" applyBorder="1" applyAlignment="1">
      <alignment horizontal="center"/>
    </xf>
    <xf numFmtId="0" fontId="0" fillId="2" borderId="26" xfId="0" applyFill="1" applyBorder="1"/>
    <xf numFmtId="0" fontId="28" fillId="15" borderId="26" xfId="0" applyFont="1" applyFill="1" applyBorder="1"/>
    <xf numFmtId="0" fontId="1" fillId="15" borderId="26" xfId="0" applyFont="1" applyFill="1" applyBorder="1" applyAlignment="1">
      <alignment horizontal="center"/>
    </xf>
  </cellXfs>
  <cellStyles count="4">
    <cellStyle name="Comma [0] 2" xfId="2" xr:uid="{54257AA9-09FB-4CDB-BB9F-ADCA14978239}"/>
    <cellStyle name="Normal" xfId="0" builtinId="0"/>
    <cellStyle name="Normal 2" xfId="1" xr:uid="{C69555B4-32D4-43B7-87AF-B7902BB4B85A}"/>
    <cellStyle name="Normal 3" xfId="3" xr:uid="{45FC9A72-026A-4729-8A06-57B43C3E5E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BERAS IR 64 KWALITAS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GRAFIK!$C$2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GRAFIK!$C$3</c:f>
              <c:numCache>
                <c:formatCode>_(* #,##0_);_(* \(#,##0\);_(* "-"_);_(@_)</c:formatCode>
                <c:ptCount val="1"/>
                <c:pt idx="0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1-42ED-A8B4-8CB6FF023F2E}"/>
            </c:ext>
          </c:extLst>
        </c:ser>
        <c:ser>
          <c:idx val="1"/>
          <c:order val="1"/>
          <c:tx>
            <c:strRef>
              <c:f>GRAFIK!$D$2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GRAFIK!$D$3</c:f>
              <c:numCache>
                <c:formatCode>_(* #,##0_);_(* \(#,##0\);_(* "-"_);_(@_)</c:formatCode>
                <c:ptCount val="1"/>
                <c:pt idx="0">
                  <c:v>14285.714285714286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41-42ED-A8B4-8CB6FF023F2E}"/>
            </c:ext>
          </c:extLst>
        </c:ser>
        <c:ser>
          <c:idx val="2"/>
          <c:order val="2"/>
          <c:tx>
            <c:strRef>
              <c:f>GRAFIK!$E$2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GRAFIK!$E$3</c:f>
              <c:numCache>
                <c:formatCode>_(* #,##0_);_(* \(#,##0\);_(* "-"_);_(@_)</c:formatCode>
                <c:ptCount val="1"/>
                <c:pt idx="0">
                  <c:v>14314.285714285714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41-42ED-A8B4-8CB6FF023F2E}"/>
            </c:ext>
          </c:extLst>
        </c:ser>
        <c:ser>
          <c:idx val="3"/>
          <c:order val="3"/>
          <c:tx>
            <c:strRef>
              <c:f>GRAFIK!$F$2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GRAFIK!$F$3</c:f>
              <c:numCache>
                <c:formatCode>_(* #,##0_);_(* \(#,##0\);_(* "-"_);_(@_)</c:formatCode>
                <c:ptCount val="1"/>
                <c:pt idx="0">
                  <c:v>14300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41-42ED-A8B4-8CB6FF023F2E}"/>
            </c:ext>
          </c:extLst>
        </c:ser>
        <c:ser>
          <c:idx val="4"/>
          <c:order val="4"/>
          <c:tx>
            <c:strRef>
              <c:f>GRAFIK!$G$2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GRAFIK!$G$3</c:f>
              <c:numCache>
                <c:formatCode>_(* #,##0_);_(* \(#,##0\);_(* "-"_);_(@_)</c:formatCode>
                <c:ptCount val="1"/>
                <c:pt idx="0">
                  <c:v>15071.428571428571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41-42ED-A8B4-8CB6FF023F2E}"/>
            </c:ext>
          </c:extLst>
        </c:ser>
        <c:ser>
          <c:idx val="5"/>
          <c:order val="5"/>
          <c:tx>
            <c:strRef>
              <c:f>GRAFIK!$H$2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GRAFIK!$H$3</c:f>
              <c:numCache>
                <c:formatCode>_(* #,##0_);_(* \(#,##0\);_(* "-"_);_(@_)</c:formatCode>
                <c:ptCount val="1"/>
                <c:pt idx="0">
                  <c:v>15285.714285714286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41-42ED-A8B4-8CB6FF023F2E}"/>
            </c:ext>
          </c:extLst>
        </c:ser>
        <c:ser>
          <c:idx val="6"/>
          <c:order val="6"/>
          <c:tx>
            <c:strRef>
              <c:f>GRAFIK!$I$2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GRAFIK!$I$3</c:f>
              <c:numCache>
                <c:formatCode>_(* #,##0_);_(* \(#,##0\);_(* "-"_);_(@_)</c:formatCode>
                <c:ptCount val="1"/>
                <c:pt idx="0">
                  <c:v>15357.142857142857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41-42ED-A8B4-8CB6FF023F2E}"/>
            </c:ext>
          </c:extLst>
        </c:ser>
        <c:ser>
          <c:idx val="7"/>
          <c:order val="7"/>
          <c:tx>
            <c:strRef>
              <c:f>GRAFIK!$J$2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GRAFIK!$J$3</c:f>
              <c:numCache>
                <c:formatCode>_(* #,##0_);_(* \(#,##0\);_(* "-"_);_(@_)</c:formatCode>
                <c:ptCount val="1"/>
                <c:pt idx="0">
                  <c:v>15428.571428571429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B41-42ED-A8B4-8CB6FF023F2E}"/>
            </c:ext>
          </c:extLst>
        </c:ser>
        <c:ser>
          <c:idx val="8"/>
          <c:order val="8"/>
          <c:tx>
            <c:strRef>
              <c:f>GRAFIK!$K$2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GRAFIK!$K$3</c:f>
              <c:numCache>
                <c:formatCode>_(* #,##0_);_(* \(#,##0\);_(* "-"_);_(@_)</c:formatCode>
                <c:ptCount val="1"/>
                <c:pt idx="0">
                  <c:v>15142.857142857143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B41-42ED-A8B4-8CB6FF023F2E}"/>
            </c:ext>
          </c:extLst>
        </c:ser>
        <c:ser>
          <c:idx val="9"/>
          <c:order val="9"/>
          <c:tx>
            <c:strRef>
              <c:f>GRAFIK!$L$2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GRAFIK!$L$3</c:f>
              <c:numCache>
                <c:formatCode>_(* #,##0_);_(* \(#,##0\);_(* "-"_);_(@_)</c:formatCode>
                <c:ptCount val="1"/>
                <c:pt idx="0">
                  <c:v>15500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B41-42ED-A8B4-8CB6FF023F2E}"/>
            </c:ext>
          </c:extLst>
        </c:ser>
        <c:ser>
          <c:idx val="10"/>
          <c:order val="10"/>
          <c:tx>
            <c:strRef>
              <c:f>GRAFIK!$M$2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GRAFIK!$M$3</c:f>
              <c:numCache>
                <c:formatCode>_(* #,##0_);_(* \(#,##0\);_(* "-"_);_(@_)</c:formatCode>
                <c:ptCount val="1"/>
                <c:pt idx="0">
                  <c:v>15500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B41-42ED-A8B4-8CB6FF023F2E}"/>
            </c:ext>
          </c:extLst>
        </c:ser>
        <c:ser>
          <c:idx val="11"/>
          <c:order val="11"/>
          <c:tx>
            <c:strRef>
              <c:f>GRAFIK!$N$2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GRAFIK!$N$3</c:f>
              <c:numCache>
                <c:formatCode>_(* #,##0_);_(* \(#,##0\);_(* "-"_);_(@_)</c:formatCode>
                <c:ptCount val="1"/>
                <c:pt idx="0">
                  <c:v>16071.428571428571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B41-42ED-A8B4-8CB6FF023F2E}"/>
            </c:ext>
          </c:extLst>
        </c:ser>
        <c:ser>
          <c:idx val="12"/>
          <c:order val="12"/>
          <c:tx>
            <c:strRef>
              <c:f>GRAFIK!$O$2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GRAFIK!$O$3</c:f>
              <c:numCache>
                <c:formatCode>_(* #,##0_);_(* \(#,##0\);_(* "-"_);_(@_)</c:formatCode>
                <c:ptCount val="1"/>
                <c:pt idx="0">
                  <c:v>16071.428571428571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B41-42ED-A8B4-8CB6FF023F2E}"/>
            </c:ext>
          </c:extLst>
        </c:ser>
        <c:ser>
          <c:idx val="13"/>
          <c:order val="13"/>
          <c:tx>
            <c:strRef>
              <c:f>GRAFIK!$P$2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GRAFIK!$P$3</c:f>
              <c:numCache>
                <c:formatCode>_(* #,##0_);_(* \(#,##0\);_(* "-"_);_(@_)</c:formatCode>
                <c:ptCount val="1"/>
                <c:pt idx="0">
                  <c:v>16071.428571428571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B41-42ED-A8B4-8CB6FF023F2E}"/>
            </c:ext>
          </c:extLst>
        </c:ser>
        <c:ser>
          <c:idx val="14"/>
          <c:order val="14"/>
          <c:tx>
            <c:strRef>
              <c:f>GRAFIK!$Q$2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GRAFIK!$Q$3</c:f>
              <c:numCache>
                <c:formatCode>_(* #,##0_);_(* \(#,##0\);_(* "-"_);_(@_)</c:formatCode>
                <c:ptCount val="1"/>
                <c:pt idx="0">
                  <c:v>16071.428571428571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B41-42ED-A8B4-8CB6FF023F2E}"/>
            </c:ext>
          </c:extLst>
        </c:ser>
        <c:ser>
          <c:idx val="15"/>
          <c:order val="15"/>
          <c:tx>
            <c:strRef>
              <c:f>GRAFIK!$R$2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GRAFIK!$R$3</c:f>
              <c:numCache>
                <c:formatCode>_(* #,##0_);_(* \(#,##0\);_(* "-"_);_(@_)</c:formatCode>
                <c:ptCount val="1"/>
                <c:pt idx="0">
                  <c:v>16071.428571428571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B41-42ED-A8B4-8CB6FF023F2E}"/>
            </c:ext>
          </c:extLst>
        </c:ser>
        <c:ser>
          <c:idx val="16"/>
          <c:order val="16"/>
          <c:tx>
            <c:strRef>
              <c:f>GRAFIK!$S$2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GRAFIK!$S$3</c:f>
              <c:numCache>
                <c:formatCode>_(* #,##0_);_(* \(#,##0\);_(* "-"_);_(@_)</c:formatCode>
                <c:ptCount val="1"/>
                <c:pt idx="0">
                  <c:v>16071.428571428571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B41-42ED-A8B4-8CB6FF023F2E}"/>
            </c:ext>
          </c:extLst>
        </c:ser>
        <c:ser>
          <c:idx val="17"/>
          <c:order val="17"/>
          <c:tx>
            <c:strRef>
              <c:f>GRAFIK!$T$2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GRAFIK!$T$3</c:f>
              <c:numCache>
                <c:formatCode>_(* #,##0_);_(* \(#,##0\);_(* "-"_);_(@_)</c:formatCode>
                <c:ptCount val="1"/>
                <c:pt idx="0">
                  <c:v>16071.428571428571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B41-42ED-A8B4-8CB6FF023F2E}"/>
            </c:ext>
          </c:extLst>
        </c:ser>
        <c:ser>
          <c:idx val="18"/>
          <c:order val="18"/>
          <c:tx>
            <c:strRef>
              <c:f>GRAFIK!$U$2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GRAFIK!$U$3</c:f>
              <c:numCache>
                <c:formatCode>_(* #,##0_);_(* \(#,##0\);_(* "-"_);_(@_)</c:formatCode>
                <c:ptCount val="1"/>
                <c:pt idx="0">
                  <c:v>16071.428571428571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B41-42ED-A8B4-8CB6FF023F2E}"/>
            </c:ext>
          </c:extLst>
        </c:ser>
        <c:ser>
          <c:idx val="19"/>
          <c:order val="19"/>
          <c:tx>
            <c:strRef>
              <c:f>GRAFIK!$V$2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GRAFIK!$V$3</c:f>
              <c:numCache>
                <c:formatCode>_(* #,##0_);_(* \(#,##0\);_(* "-"_);_(@_)</c:formatCode>
                <c:ptCount val="1"/>
                <c:pt idx="0">
                  <c:v>16142.857142857143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B41-42ED-A8B4-8CB6FF023F2E}"/>
            </c:ext>
          </c:extLst>
        </c:ser>
        <c:ser>
          <c:idx val="20"/>
          <c:order val="20"/>
          <c:tx>
            <c:strRef>
              <c:f>GRAFIK!$W$2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GRAFIK!$W$3</c:f>
              <c:numCache>
                <c:formatCode>_(* #,##0_);_(* \(#,##0\);_(* "-"_);_(@_)</c:formatCode>
                <c:ptCount val="1"/>
                <c:pt idx="0">
                  <c:v>16142.857142857143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B41-42ED-A8B4-8CB6FF023F2E}"/>
            </c:ext>
          </c:extLst>
        </c:ser>
        <c:ser>
          <c:idx val="21"/>
          <c:order val="21"/>
          <c:tx>
            <c:strRef>
              <c:f>GRAFIK!$X$2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GRAFIK!$X$3</c:f>
              <c:numCache>
                <c:formatCode>_(* #,##0_);_(* \(#,##0\);_(* "-"_);_(@_)</c:formatCode>
                <c:ptCount val="1"/>
                <c:pt idx="0">
                  <c:v>16142.857142857143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B41-42ED-A8B4-8CB6FF023F2E}"/>
            </c:ext>
          </c:extLst>
        </c:ser>
        <c:ser>
          <c:idx val="22"/>
          <c:order val="22"/>
          <c:tx>
            <c:strRef>
              <c:f>GRAFIK!$Y$2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GRAFIK!$Y$3</c:f>
              <c:numCache>
                <c:formatCode>_(* #,##0_);_(* \(#,##0\);_(* "-"_);_(@_)</c:formatCode>
                <c:ptCount val="1"/>
                <c:pt idx="0">
                  <c:v>16142.857142857143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B41-42ED-A8B4-8CB6FF023F2E}"/>
            </c:ext>
          </c:extLst>
        </c:ser>
        <c:ser>
          <c:idx val="23"/>
          <c:order val="23"/>
          <c:tx>
            <c:strRef>
              <c:f>GRAFIK!$Z$2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GRAFIK!$Z$3</c:f>
              <c:numCache>
                <c:formatCode>_(* #,##0_);_(* \(#,##0\);_(* "-"_);_(@_)</c:formatCode>
                <c:ptCount val="1"/>
                <c:pt idx="0">
                  <c:v>16142.857142857143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B41-42ED-A8B4-8CB6FF023F2E}"/>
            </c:ext>
          </c:extLst>
        </c:ser>
        <c:ser>
          <c:idx val="24"/>
          <c:order val="24"/>
          <c:tx>
            <c:strRef>
              <c:f>GRAFIK!$AA$2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GRAFIK!$AA$3</c:f>
              <c:numCache>
                <c:formatCode>_(* #,##0_);_(* \(#,##0\);_(* "-"_);_(@_)</c:formatCode>
                <c:ptCount val="1"/>
                <c:pt idx="0">
                  <c:v>16142.857142857143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B41-42ED-A8B4-8CB6FF023F2E}"/>
            </c:ext>
          </c:extLst>
        </c:ser>
        <c:ser>
          <c:idx val="25"/>
          <c:order val="25"/>
          <c:tx>
            <c:strRef>
              <c:f>GRAFIK!$AB$2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GRAFIK!$AB$3</c:f>
              <c:numCache>
                <c:formatCode>_(* #,##0_);_(* \(#,##0\);_(* "-"_);_(@_)</c:formatCode>
                <c:ptCount val="1"/>
                <c:pt idx="0">
                  <c:v>16142.857142857143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B41-42ED-A8B4-8CB6FF023F2E}"/>
            </c:ext>
          </c:extLst>
        </c:ser>
        <c:ser>
          <c:idx val="26"/>
          <c:order val="26"/>
          <c:tx>
            <c:strRef>
              <c:f>GRAFIK!$AC$2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GRAFIK!$AC$3</c:f>
              <c:numCache>
                <c:formatCode>_(* #,##0_);_(* \(#,##0\);_(* "-"_);_(@_)</c:formatCode>
                <c:ptCount val="1"/>
                <c:pt idx="0">
                  <c:v>16157.142857142857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B41-42ED-A8B4-8CB6FF023F2E}"/>
            </c:ext>
          </c:extLst>
        </c:ser>
        <c:ser>
          <c:idx val="27"/>
          <c:order val="27"/>
          <c:tx>
            <c:strRef>
              <c:f>GRAFIK!$AD$2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GRAFIK!$AD$3</c:f>
              <c:numCache>
                <c:formatCode>_(* #,##0_);_(* \(#,##0\);_(* "-"_);_(@_)</c:formatCode>
                <c:ptCount val="1"/>
                <c:pt idx="0">
                  <c:v>16171.428571428571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B41-42ED-A8B4-8CB6FF023F2E}"/>
            </c:ext>
          </c:extLst>
        </c:ser>
        <c:ser>
          <c:idx val="28"/>
          <c:order val="28"/>
          <c:tx>
            <c:strRef>
              <c:f>GRAFIK!$AE$2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GRAFIK!$AE$3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B41-42ED-A8B4-8CB6FF023F2E}"/>
            </c:ext>
          </c:extLst>
        </c:ser>
        <c:ser>
          <c:idx val="29"/>
          <c:order val="29"/>
          <c:tx>
            <c:strRef>
              <c:f>GRAFIK!$AF$2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GRAFIK!$AF$3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B41-42ED-A8B4-8CB6FF023F2E}"/>
            </c:ext>
          </c:extLst>
        </c:ser>
        <c:ser>
          <c:idx val="30"/>
          <c:order val="30"/>
          <c:tx>
            <c:strRef>
              <c:f>GRAFIK!$AG$2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GRAFIK!$A$3:$B$3</c:f>
              <c:strCache>
                <c:ptCount val="2"/>
                <c:pt idx="0">
                  <c:v>- Beras IR.64 Kwalitas I</c:v>
                </c:pt>
                <c:pt idx="1">
                  <c:v>Kg</c:v>
                </c:pt>
              </c:strCache>
            </c:strRef>
          </c:cat>
          <c:val>
            <c:numRef>
              <c:f>GRAFIK!$AG$3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B41-42ED-A8B4-8CB6FF023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2318648"/>
        <c:axId val="592318968"/>
      </c:barChart>
      <c:catAx>
        <c:axId val="592318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92318968"/>
        <c:crosses val="autoZero"/>
        <c:auto val="1"/>
        <c:lblAlgn val="ctr"/>
        <c:lblOffset val="100"/>
        <c:noMultiLvlLbl val="0"/>
      </c:catAx>
      <c:valAx>
        <c:axId val="592318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92318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BERAS IR 64 KWALITAS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GRAFIK!$C$2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GRAFIK!$C$4</c:f>
              <c:numCache>
                <c:formatCode>_(* #,##0_);_(* \(#,##0\);_(* "-"_);_(@_)</c:formatCode>
                <c:ptCount val="1"/>
                <c:pt idx="0">
                  <c:v>10900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39-4E57-8D84-95C6EECD90B9}"/>
            </c:ext>
          </c:extLst>
        </c:ser>
        <c:ser>
          <c:idx val="1"/>
          <c:order val="1"/>
          <c:tx>
            <c:strRef>
              <c:f>GRAFIK!$D$2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GRAFIK!$D$4</c:f>
              <c:numCache>
                <c:formatCode>_(* #,##0_);_(* \(#,##0\);_(* "-"_);_(@_)</c:formatCode>
                <c:ptCount val="1"/>
                <c:pt idx="0">
                  <c:v>11083.333333333334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39-4E57-8D84-95C6EECD90B9}"/>
            </c:ext>
          </c:extLst>
        </c:ser>
        <c:ser>
          <c:idx val="2"/>
          <c:order val="2"/>
          <c:tx>
            <c:strRef>
              <c:f>GRAFIK!$E$2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GRAFIK!$E$4</c:f>
              <c:numCache>
                <c:formatCode>_(* #,##0_);_(* \(#,##0\);_(* "-"_);_(@_)</c:formatCode>
                <c:ptCount val="1"/>
                <c:pt idx="0">
                  <c:v>11083.333333333334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39-4E57-8D84-95C6EECD90B9}"/>
            </c:ext>
          </c:extLst>
        </c:ser>
        <c:ser>
          <c:idx val="3"/>
          <c:order val="3"/>
          <c:tx>
            <c:strRef>
              <c:f>GRAFIK!$F$2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GRAFIK!$F$4</c:f>
              <c:numCache>
                <c:formatCode>_(* #,##0_);_(* \(#,##0\);_(* "-"_);_(@_)</c:formatCode>
                <c:ptCount val="1"/>
                <c:pt idx="0">
                  <c:v>11083.333333333334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39-4E57-8D84-95C6EECD90B9}"/>
            </c:ext>
          </c:extLst>
        </c:ser>
        <c:ser>
          <c:idx val="4"/>
          <c:order val="4"/>
          <c:tx>
            <c:strRef>
              <c:f>GRAFIK!$G$2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GRAFIK!$G$4</c:f>
              <c:numCache>
                <c:formatCode>_(* #,##0_);_(* \(#,##0\);_(* "-"_);_(@_)</c:formatCode>
                <c:ptCount val="1"/>
                <c:pt idx="0">
                  <c:v>11083.333333333334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39-4E57-8D84-95C6EECD90B9}"/>
            </c:ext>
          </c:extLst>
        </c:ser>
        <c:ser>
          <c:idx val="5"/>
          <c:order val="5"/>
          <c:tx>
            <c:strRef>
              <c:f>GRAFIK!$H$2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GRAFIK!$H$4</c:f>
              <c:numCache>
                <c:formatCode>_(* #,##0_);_(* \(#,##0\);_(* "-"_);_(@_)</c:formatCode>
                <c:ptCount val="1"/>
                <c:pt idx="0">
                  <c:v>11083.333333333334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39-4E57-8D84-95C6EECD90B9}"/>
            </c:ext>
          </c:extLst>
        </c:ser>
        <c:ser>
          <c:idx val="6"/>
          <c:order val="6"/>
          <c:tx>
            <c:strRef>
              <c:f>GRAFIK!$I$2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GRAFIK!$I$4</c:f>
              <c:numCache>
                <c:formatCode>_(* #,##0_);_(* \(#,##0\);_(* "-"_);_(@_)</c:formatCode>
                <c:ptCount val="1"/>
                <c:pt idx="0">
                  <c:v>11083.333333333334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39-4E57-8D84-95C6EECD90B9}"/>
            </c:ext>
          </c:extLst>
        </c:ser>
        <c:ser>
          <c:idx val="7"/>
          <c:order val="7"/>
          <c:tx>
            <c:strRef>
              <c:f>GRAFIK!$J$2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GRAFIK!$J$4</c:f>
              <c:numCache>
                <c:formatCode>_(* #,##0_);_(* \(#,##0\);_(* "-"_);_(@_)</c:formatCode>
                <c:ptCount val="1"/>
                <c:pt idx="0">
                  <c:v>11083.333333333334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F39-4E57-8D84-95C6EECD90B9}"/>
            </c:ext>
          </c:extLst>
        </c:ser>
        <c:ser>
          <c:idx val="8"/>
          <c:order val="8"/>
          <c:tx>
            <c:strRef>
              <c:f>GRAFIK!$K$2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GRAFIK!$K$4</c:f>
              <c:numCache>
                <c:formatCode>_(* #,##0_);_(* \(#,##0\);_(* "-"_);_(@_)</c:formatCode>
                <c:ptCount val="1"/>
                <c:pt idx="0">
                  <c:v>11083.333333333334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39-4E57-8D84-95C6EECD90B9}"/>
            </c:ext>
          </c:extLst>
        </c:ser>
        <c:ser>
          <c:idx val="9"/>
          <c:order val="9"/>
          <c:tx>
            <c:strRef>
              <c:f>GRAFIK!$L$2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GRAFIK!$L$4</c:f>
              <c:numCache>
                <c:formatCode>_(* #,##0_);_(* \(#,##0\);_(* "-"_);_(@_)</c:formatCode>
                <c:ptCount val="1"/>
                <c:pt idx="0">
                  <c:v>11083.333333333334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F39-4E57-8D84-95C6EECD90B9}"/>
            </c:ext>
          </c:extLst>
        </c:ser>
        <c:ser>
          <c:idx val="10"/>
          <c:order val="10"/>
          <c:tx>
            <c:strRef>
              <c:f>GRAFIK!$M$2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GRAFIK!$M$4</c:f>
              <c:numCache>
                <c:formatCode>_(* #,##0_);_(* \(#,##0\);_(* "-"_);_(@_)</c:formatCode>
                <c:ptCount val="1"/>
                <c:pt idx="0">
                  <c:v>11083.333333333334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F39-4E57-8D84-95C6EECD90B9}"/>
            </c:ext>
          </c:extLst>
        </c:ser>
        <c:ser>
          <c:idx val="11"/>
          <c:order val="11"/>
          <c:tx>
            <c:strRef>
              <c:f>GRAFIK!$N$2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GRAFIK!$N$4</c:f>
              <c:numCache>
                <c:formatCode>_(* #,##0_);_(* \(#,##0\);_(* "-"_);_(@_)</c:formatCode>
                <c:ptCount val="1"/>
                <c:pt idx="0">
                  <c:v>11083.333333333334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F39-4E57-8D84-95C6EECD90B9}"/>
            </c:ext>
          </c:extLst>
        </c:ser>
        <c:ser>
          <c:idx val="12"/>
          <c:order val="12"/>
          <c:tx>
            <c:strRef>
              <c:f>GRAFIK!$O$2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GRAFIK!$O$4</c:f>
              <c:numCache>
                <c:formatCode>_(* #,##0_);_(* \(#,##0\);_(* "-"_);_(@_)</c:formatCode>
                <c:ptCount val="1"/>
                <c:pt idx="0">
                  <c:v>11083.333333333334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F39-4E57-8D84-95C6EECD90B9}"/>
            </c:ext>
          </c:extLst>
        </c:ser>
        <c:ser>
          <c:idx val="13"/>
          <c:order val="13"/>
          <c:tx>
            <c:strRef>
              <c:f>GRAFIK!$P$2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GRAFIK!$P$4</c:f>
              <c:numCache>
                <c:formatCode>_(* #,##0_);_(* \(#,##0\);_(* "-"_);_(@_)</c:formatCode>
                <c:ptCount val="1"/>
                <c:pt idx="0">
                  <c:v>11083.333333333334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F39-4E57-8D84-95C6EECD90B9}"/>
            </c:ext>
          </c:extLst>
        </c:ser>
        <c:ser>
          <c:idx val="14"/>
          <c:order val="14"/>
          <c:tx>
            <c:strRef>
              <c:f>GRAFIK!$Q$2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GRAFIK!$Q$4</c:f>
              <c:numCache>
                <c:formatCode>_(* #,##0_);_(* \(#,##0\);_(* "-"_);_(@_)</c:formatCode>
                <c:ptCount val="1"/>
                <c:pt idx="0">
                  <c:v>11083.333333333334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F39-4E57-8D84-95C6EECD90B9}"/>
            </c:ext>
          </c:extLst>
        </c:ser>
        <c:ser>
          <c:idx val="15"/>
          <c:order val="15"/>
          <c:tx>
            <c:strRef>
              <c:f>GRAFIK!$R$2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GRAFIK!$R$4</c:f>
              <c:numCache>
                <c:formatCode>_(* #,##0_);_(* \(#,##0\);_(* "-"_);_(@_)</c:formatCode>
                <c:ptCount val="1"/>
                <c:pt idx="0">
                  <c:v>11600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F39-4E57-8D84-95C6EECD90B9}"/>
            </c:ext>
          </c:extLst>
        </c:ser>
        <c:ser>
          <c:idx val="16"/>
          <c:order val="16"/>
          <c:tx>
            <c:strRef>
              <c:f>GRAFIK!$S$2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GRAFIK!$S$4</c:f>
              <c:numCache>
                <c:formatCode>_(* #,##0_);_(* \(#,##0\);_(* "-"_);_(@_)</c:formatCode>
                <c:ptCount val="1"/>
                <c:pt idx="0">
                  <c:v>11600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F39-4E57-8D84-95C6EECD90B9}"/>
            </c:ext>
          </c:extLst>
        </c:ser>
        <c:ser>
          <c:idx val="17"/>
          <c:order val="17"/>
          <c:tx>
            <c:strRef>
              <c:f>GRAFIK!$T$2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GRAFIK!$T$4</c:f>
              <c:numCache>
                <c:formatCode>_(* #,##0_);_(* \(#,##0\);_(* "-"_);_(@_)</c:formatCode>
                <c:ptCount val="1"/>
                <c:pt idx="0">
                  <c:v>11600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F39-4E57-8D84-95C6EECD90B9}"/>
            </c:ext>
          </c:extLst>
        </c:ser>
        <c:ser>
          <c:idx val="18"/>
          <c:order val="18"/>
          <c:tx>
            <c:strRef>
              <c:f>GRAFIK!$U$2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GRAFIK!$U$4</c:f>
              <c:numCache>
                <c:formatCode>_(* #,##0_);_(* \(#,##0\);_(* "-"_);_(@_)</c:formatCode>
                <c:ptCount val="1"/>
                <c:pt idx="0">
                  <c:v>11600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F39-4E57-8D84-95C6EECD90B9}"/>
            </c:ext>
          </c:extLst>
        </c:ser>
        <c:ser>
          <c:idx val="19"/>
          <c:order val="19"/>
          <c:tx>
            <c:strRef>
              <c:f>GRAFIK!$V$2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GRAFIK!$V$4</c:f>
              <c:numCache>
                <c:formatCode>_(* #,##0_);_(* \(#,##0\);_(* "-"_);_(@_)</c:formatCode>
                <c:ptCount val="1"/>
                <c:pt idx="0">
                  <c:v>11766.666666666666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F39-4E57-8D84-95C6EECD90B9}"/>
            </c:ext>
          </c:extLst>
        </c:ser>
        <c:ser>
          <c:idx val="20"/>
          <c:order val="20"/>
          <c:tx>
            <c:strRef>
              <c:f>GRAFIK!$W$2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GRAFIK!$W$4</c:f>
              <c:numCache>
                <c:formatCode>_(* #,##0_);_(* \(#,##0\);_(* "-"_);_(@_)</c:formatCode>
                <c:ptCount val="1"/>
                <c:pt idx="0">
                  <c:v>11766.666666666666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F39-4E57-8D84-95C6EECD90B9}"/>
            </c:ext>
          </c:extLst>
        </c:ser>
        <c:ser>
          <c:idx val="21"/>
          <c:order val="21"/>
          <c:tx>
            <c:strRef>
              <c:f>GRAFIK!$X$2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GRAFIK!$X$4</c:f>
              <c:numCache>
                <c:formatCode>_(* #,##0_);_(* \(#,##0\);_(* "-"_);_(@_)</c:formatCode>
                <c:ptCount val="1"/>
                <c:pt idx="0">
                  <c:v>11933.333333333334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F39-4E57-8D84-95C6EECD90B9}"/>
            </c:ext>
          </c:extLst>
        </c:ser>
        <c:ser>
          <c:idx val="22"/>
          <c:order val="22"/>
          <c:tx>
            <c:strRef>
              <c:f>GRAFIK!$Y$2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GRAFIK!$Y$4</c:f>
              <c:numCache>
                <c:formatCode>_(* #,##0_);_(* \(#,##0\);_(* "-"_);_(@_)</c:formatCode>
                <c:ptCount val="1"/>
                <c:pt idx="0">
                  <c:v>10900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F39-4E57-8D84-95C6EECD90B9}"/>
            </c:ext>
          </c:extLst>
        </c:ser>
        <c:ser>
          <c:idx val="23"/>
          <c:order val="23"/>
          <c:tx>
            <c:strRef>
              <c:f>GRAFIK!$Z$2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GRAFIK!$Z$4</c:f>
              <c:numCache>
                <c:formatCode>_(* #,##0_);_(* \(#,##0\);_(* "-"_);_(@_)</c:formatCode>
                <c:ptCount val="1"/>
                <c:pt idx="0">
                  <c:v>10900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F39-4E57-8D84-95C6EECD90B9}"/>
            </c:ext>
          </c:extLst>
        </c:ser>
        <c:ser>
          <c:idx val="24"/>
          <c:order val="24"/>
          <c:tx>
            <c:strRef>
              <c:f>GRAFIK!$AA$2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GRAFIK!$AA$4</c:f>
              <c:numCache>
                <c:formatCode>_(* #,##0_);_(* \(#,##0\);_(* "-"_);_(@_)</c:formatCode>
                <c:ptCount val="1"/>
                <c:pt idx="0">
                  <c:v>10900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F39-4E57-8D84-95C6EECD90B9}"/>
            </c:ext>
          </c:extLst>
        </c:ser>
        <c:ser>
          <c:idx val="25"/>
          <c:order val="25"/>
          <c:tx>
            <c:strRef>
              <c:f>GRAFIK!$AB$2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GRAFIK!$AB$4</c:f>
              <c:numCache>
                <c:formatCode>_(* #,##0_);_(* \(#,##0\);_(* "-"_);_(@_)</c:formatCode>
                <c:ptCount val="1"/>
                <c:pt idx="0">
                  <c:v>10900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F39-4E57-8D84-95C6EECD90B9}"/>
            </c:ext>
          </c:extLst>
        </c:ser>
        <c:ser>
          <c:idx val="26"/>
          <c:order val="26"/>
          <c:tx>
            <c:strRef>
              <c:f>GRAFIK!$AC$2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GRAFIK!$AC$4</c:f>
              <c:numCache>
                <c:formatCode>_(* #,##0_);_(* \(#,##0\);_(* "-"_);_(@_)</c:formatCode>
                <c:ptCount val="1"/>
                <c:pt idx="0">
                  <c:v>10900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F39-4E57-8D84-95C6EECD90B9}"/>
            </c:ext>
          </c:extLst>
        </c:ser>
        <c:ser>
          <c:idx val="27"/>
          <c:order val="27"/>
          <c:tx>
            <c:strRef>
              <c:f>GRAFIK!$AD$2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GRAFIK!$AD$4</c:f>
              <c:numCache>
                <c:formatCode>_(* #,##0_);_(* \(#,##0\);_(* "-"_);_(@_)</c:formatCode>
                <c:ptCount val="1"/>
                <c:pt idx="0">
                  <c:v>10900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F39-4E57-8D84-95C6EECD90B9}"/>
            </c:ext>
          </c:extLst>
        </c:ser>
        <c:ser>
          <c:idx val="28"/>
          <c:order val="28"/>
          <c:tx>
            <c:strRef>
              <c:f>GRAFIK!$AE$2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GRAFIK!$AE$4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AF39-4E57-8D84-95C6EECD90B9}"/>
            </c:ext>
          </c:extLst>
        </c:ser>
        <c:ser>
          <c:idx val="29"/>
          <c:order val="29"/>
          <c:tx>
            <c:strRef>
              <c:f>GRAFIK!$AF$2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GRAFIK!$AF$4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F39-4E57-8D84-95C6EECD90B9}"/>
            </c:ext>
          </c:extLst>
        </c:ser>
        <c:ser>
          <c:idx val="30"/>
          <c:order val="30"/>
          <c:tx>
            <c:strRef>
              <c:f>GRAFIK!$AG$2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GRAFIK!$A$4:$B$4</c:f>
              <c:strCache>
                <c:ptCount val="2"/>
                <c:pt idx="0">
                  <c:v>- Beras IR.64 Kwalitas II</c:v>
                </c:pt>
                <c:pt idx="1">
                  <c:v>Kg</c:v>
                </c:pt>
              </c:strCache>
            </c:strRef>
          </c:cat>
          <c:val>
            <c:numRef>
              <c:f>GRAFIK!$AG$4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F39-4E57-8D84-95C6EECD9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6294200"/>
        <c:axId val="526321720"/>
      </c:barChart>
      <c:catAx>
        <c:axId val="526294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26321720"/>
        <c:crosses val="autoZero"/>
        <c:auto val="1"/>
        <c:lblAlgn val="ctr"/>
        <c:lblOffset val="100"/>
        <c:noMultiLvlLbl val="0"/>
      </c:catAx>
      <c:valAx>
        <c:axId val="526321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26294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BERAS IR 64 KWALITAS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GRAFIK!$C$2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GRAFIK!$C$5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D2-4BD2-B54B-1698D4A351D6}"/>
            </c:ext>
          </c:extLst>
        </c:ser>
        <c:ser>
          <c:idx val="1"/>
          <c:order val="1"/>
          <c:tx>
            <c:strRef>
              <c:f>GRAFIK!$D$2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GRAFIK!$D$5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D2-4BD2-B54B-1698D4A351D6}"/>
            </c:ext>
          </c:extLst>
        </c:ser>
        <c:ser>
          <c:idx val="2"/>
          <c:order val="2"/>
          <c:tx>
            <c:strRef>
              <c:f>GRAFIK!$E$2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GRAFIK!$E$5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D2-4BD2-B54B-1698D4A351D6}"/>
            </c:ext>
          </c:extLst>
        </c:ser>
        <c:ser>
          <c:idx val="3"/>
          <c:order val="3"/>
          <c:tx>
            <c:strRef>
              <c:f>GRAFIK!$F$2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GRAFIK!$F$5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D2-4BD2-B54B-1698D4A351D6}"/>
            </c:ext>
          </c:extLst>
        </c:ser>
        <c:ser>
          <c:idx val="4"/>
          <c:order val="4"/>
          <c:tx>
            <c:strRef>
              <c:f>GRAFIK!$G$2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GRAFIK!$G$5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D2-4BD2-B54B-1698D4A351D6}"/>
            </c:ext>
          </c:extLst>
        </c:ser>
        <c:ser>
          <c:idx val="5"/>
          <c:order val="5"/>
          <c:tx>
            <c:strRef>
              <c:f>GRAFIK!$H$2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GRAFIK!$H$5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D2-4BD2-B54B-1698D4A351D6}"/>
            </c:ext>
          </c:extLst>
        </c:ser>
        <c:ser>
          <c:idx val="6"/>
          <c:order val="6"/>
          <c:tx>
            <c:strRef>
              <c:f>GRAFIK!$I$2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GRAFIK!$I$5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D2-4BD2-B54B-1698D4A351D6}"/>
            </c:ext>
          </c:extLst>
        </c:ser>
        <c:ser>
          <c:idx val="7"/>
          <c:order val="7"/>
          <c:tx>
            <c:strRef>
              <c:f>GRAFIK!$J$2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GRAFIK!$J$5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9D2-4BD2-B54B-1698D4A351D6}"/>
            </c:ext>
          </c:extLst>
        </c:ser>
        <c:ser>
          <c:idx val="8"/>
          <c:order val="8"/>
          <c:tx>
            <c:strRef>
              <c:f>GRAFIK!$K$2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GRAFIK!$K$5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9D2-4BD2-B54B-1698D4A351D6}"/>
            </c:ext>
          </c:extLst>
        </c:ser>
        <c:ser>
          <c:idx val="9"/>
          <c:order val="9"/>
          <c:tx>
            <c:strRef>
              <c:f>GRAFIK!$L$2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GRAFIK!$L$5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D2-4BD2-B54B-1698D4A351D6}"/>
            </c:ext>
          </c:extLst>
        </c:ser>
        <c:ser>
          <c:idx val="10"/>
          <c:order val="10"/>
          <c:tx>
            <c:strRef>
              <c:f>GRAFIK!$M$2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GRAFIK!$M$5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9D2-4BD2-B54B-1698D4A351D6}"/>
            </c:ext>
          </c:extLst>
        </c:ser>
        <c:ser>
          <c:idx val="11"/>
          <c:order val="11"/>
          <c:tx>
            <c:strRef>
              <c:f>GRAFIK!$N$2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GRAFIK!$N$5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9D2-4BD2-B54B-1698D4A351D6}"/>
            </c:ext>
          </c:extLst>
        </c:ser>
        <c:ser>
          <c:idx val="12"/>
          <c:order val="12"/>
          <c:tx>
            <c:strRef>
              <c:f>GRAFIK!$O$2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GRAFIK!$O$5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9D2-4BD2-B54B-1698D4A351D6}"/>
            </c:ext>
          </c:extLst>
        </c:ser>
        <c:ser>
          <c:idx val="13"/>
          <c:order val="13"/>
          <c:tx>
            <c:strRef>
              <c:f>GRAFIK!$P$2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GRAFIK!$P$5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9D2-4BD2-B54B-1698D4A351D6}"/>
            </c:ext>
          </c:extLst>
        </c:ser>
        <c:ser>
          <c:idx val="14"/>
          <c:order val="14"/>
          <c:tx>
            <c:strRef>
              <c:f>GRAFIK!$Q$2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GRAFIK!$Q$5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9D2-4BD2-B54B-1698D4A351D6}"/>
            </c:ext>
          </c:extLst>
        </c:ser>
        <c:ser>
          <c:idx val="15"/>
          <c:order val="15"/>
          <c:tx>
            <c:strRef>
              <c:f>GRAFIK!$R$2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GRAFIK!$R$5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9D2-4BD2-B54B-1698D4A351D6}"/>
            </c:ext>
          </c:extLst>
        </c:ser>
        <c:ser>
          <c:idx val="16"/>
          <c:order val="16"/>
          <c:tx>
            <c:strRef>
              <c:f>GRAFIK!$S$2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GRAFIK!$S$5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9D2-4BD2-B54B-1698D4A351D6}"/>
            </c:ext>
          </c:extLst>
        </c:ser>
        <c:ser>
          <c:idx val="17"/>
          <c:order val="17"/>
          <c:tx>
            <c:strRef>
              <c:f>GRAFIK!$T$2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GRAFIK!$T$5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9D2-4BD2-B54B-1698D4A351D6}"/>
            </c:ext>
          </c:extLst>
        </c:ser>
        <c:ser>
          <c:idx val="18"/>
          <c:order val="18"/>
          <c:tx>
            <c:strRef>
              <c:f>GRAFIK!$U$2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GRAFIK!$U$5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9D2-4BD2-B54B-1698D4A351D6}"/>
            </c:ext>
          </c:extLst>
        </c:ser>
        <c:ser>
          <c:idx val="19"/>
          <c:order val="19"/>
          <c:tx>
            <c:strRef>
              <c:f>GRAFIK!$V$2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GRAFIK!$V$5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9D2-4BD2-B54B-1698D4A351D6}"/>
            </c:ext>
          </c:extLst>
        </c:ser>
        <c:ser>
          <c:idx val="20"/>
          <c:order val="20"/>
          <c:tx>
            <c:strRef>
              <c:f>GRAFIK!$W$2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GRAFIK!$W$5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9D2-4BD2-B54B-1698D4A351D6}"/>
            </c:ext>
          </c:extLst>
        </c:ser>
        <c:ser>
          <c:idx val="21"/>
          <c:order val="21"/>
          <c:tx>
            <c:strRef>
              <c:f>GRAFIK!$X$2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GRAFIK!$X$5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9D2-4BD2-B54B-1698D4A351D6}"/>
            </c:ext>
          </c:extLst>
        </c:ser>
        <c:ser>
          <c:idx val="22"/>
          <c:order val="22"/>
          <c:tx>
            <c:strRef>
              <c:f>GRAFIK!$Y$2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GRAFIK!$Y$5</c:f>
              <c:numCache>
                <c:formatCode>_(* #,##0_);_(* \(#,##0\);_(* "-"_);_(@_)</c:formatCode>
                <c:ptCount val="1"/>
                <c:pt idx="0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9D2-4BD2-B54B-1698D4A351D6}"/>
            </c:ext>
          </c:extLst>
        </c:ser>
        <c:ser>
          <c:idx val="23"/>
          <c:order val="23"/>
          <c:tx>
            <c:strRef>
              <c:f>GRAFIK!$Z$2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GRAFIK!$Z$5</c:f>
              <c:numCache>
                <c:formatCode>_(* #,##0_);_(* \(#,##0\);_(* "-"_);_(@_)</c:formatCode>
                <c:ptCount val="1"/>
                <c:pt idx="0">
                  <c:v>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9D2-4BD2-B54B-1698D4A351D6}"/>
            </c:ext>
          </c:extLst>
        </c:ser>
        <c:ser>
          <c:idx val="24"/>
          <c:order val="24"/>
          <c:tx>
            <c:strRef>
              <c:f>GRAFIK!$AA$2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GRAFIK!$AA$5</c:f>
              <c:numCache>
                <c:formatCode>_(* #,##0_);_(* \(#,##0\);_(* "-"_);_(@_)</c:formatCode>
                <c:ptCount val="1"/>
                <c:pt idx="0">
                  <c:v>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9D2-4BD2-B54B-1698D4A351D6}"/>
            </c:ext>
          </c:extLst>
        </c:ser>
        <c:ser>
          <c:idx val="25"/>
          <c:order val="25"/>
          <c:tx>
            <c:strRef>
              <c:f>GRAFIK!$AB$2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GRAFIK!$AB$5</c:f>
              <c:numCache>
                <c:formatCode>_(* #,##0_);_(* \(#,##0\);_(* "-"_);_(@_)</c:formatCode>
                <c:ptCount val="1"/>
                <c:pt idx="0">
                  <c:v>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9D2-4BD2-B54B-1698D4A351D6}"/>
            </c:ext>
          </c:extLst>
        </c:ser>
        <c:ser>
          <c:idx val="26"/>
          <c:order val="26"/>
          <c:tx>
            <c:strRef>
              <c:f>GRAFIK!$AC$2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GRAFIK!$AC$5</c:f>
              <c:numCache>
                <c:formatCode>_(* #,##0_);_(* \(#,##0\);_(* "-"_);_(@_)</c:formatCode>
                <c:ptCount val="1"/>
                <c:pt idx="0">
                  <c:v>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9D2-4BD2-B54B-1698D4A351D6}"/>
            </c:ext>
          </c:extLst>
        </c:ser>
        <c:ser>
          <c:idx val="27"/>
          <c:order val="27"/>
          <c:tx>
            <c:strRef>
              <c:f>GRAFIK!$AD$2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GRAFIK!$AD$5</c:f>
              <c:numCache>
                <c:formatCode>_(* #,##0_);_(* \(#,##0\);_(* "-"_);_(@_)</c:formatCode>
                <c:ptCount val="1"/>
                <c:pt idx="0">
                  <c:v>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9D2-4BD2-B54B-1698D4A351D6}"/>
            </c:ext>
          </c:extLst>
        </c:ser>
        <c:ser>
          <c:idx val="28"/>
          <c:order val="28"/>
          <c:tx>
            <c:strRef>
              <c:f>GRAFIK!$AE$2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GRAFIK!$AE$5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9D2-4BD2-B54B-1698D4A351D6}"/>
            </c:ext>
          </c:extLst>
        </c:ser>
        <c:ser>
          <c:idx val="29"/>
          <c:order val="29"/>
          <c:tx>
            <c:strRef>
              <c:f>GRAFIK!$AF$2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GRAFIK!$AF$5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9D2-4BD2-B54B-1698D4A351D6}"/>
            </c:ext>
          </c:extLst>
        </c:ser>
        <c:ser>
          <c:idx val="30"/>
          <c:order val="30"/>
          <c:tx>
            <c:strRef>
              <c:f>GRAFIK!$AG$2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GRAFIK!$A$5:$B$5</c:f>
              <c:strCache>
                <c:ptCount val="2"/>
                <c:pt idx="0">
                  <c:v>- Beras IR.64 Kwalitas III</c:v>
                </c:pt>
                <c:pt idx="1">
                  <c:v>Kg</c:v>
                </c:pt>
              </c:strCache>
            </c:strRef>
          </c:cat>
          <c:val>
            <c:numRef>
              <c:f>GRAFIK!$AG$5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9D2-4BD2-B54B-1698D4A35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339064"/>
        <c:axId val="527335864"/>
      </c:barChart>
      <c:catAx>
        <c:axId val="527339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27335864"/>
        <c:crosses val="autoZero"/>
        <c:auto val="1"/>
        <c:lblAlgn val="ctr"/>
        <c:lblOffset val="100"/>
        <c:noMultiLvlLbl val="0"/>
      </c:catAx>
      <c:valAx>
        <c:axId val="527335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27339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Gula Pasir Lokal Curah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GRAFIK!$C$24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GRAFIK!$C$25</c:f>
              <c:numCache>
                <c:formatCode>_(* #,##0_);_(* \(#,##0\);_(* "-"_);_(@_)</c:formatCode>
                <c:ptCount val="1"/>
                <c:pt idx="0">
                  <c:v>16285.714285714286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AB-4DD4-9979-511862315207}"/>
            </c:ext>
          </c:extLst>
        </c:ser>
        <c:ser>
          <c:idx val="1"/>
          <c:order val="1"/>
          <c:tx>
            <c:strRef>
              <c:f>GRAFIK!$D$24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GRAFIK!$D$25</c:f>
              <c:numCache>
                <c:formatCode>_(* #,##0_);_(* \(#,##0\);_(* "-"_);_(@_)</c:formatCode>
                <c:ptCount val="1"/>
                <c:pt idx="0">
                  <c:v>16285.714285714286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AB-4DD4-9979-511862315207}"/>
            </c:ext>
          </c:extLst>
        </c:ser>
        <c:ser>
          <c:idx val="2"/>
          <c:order val="2"/>
          <c:tx>
            <c:strRef>
              <c:f>GRAFIK!$E$24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GRAFIK!$E$25</c:f>
              <c:numCache>
                <c:formatCode>_(* #,##0_);_(* \(#,##0\);_(* "-"_);_(@_)</c:formatCode>
                <c:ptCount val="1"/>
                <c:pt idx="0">
                  <c:v>16214.285714285714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AB-4DD4-9979-511862315207}"/>
            </c:ext>
          </c:extLst>
        </c:ser>
        <c:ser>
          <c:idx val="3"/>
          <c:order val="3"/>
          <c:tx>
            <c:strRef>
              <c:f>GRAFIK!$F$24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GRAFIK!$F$25</c:f>
              <c:numCache>
                <c:formatCode>_(* #,##0_);_(* \(#,##0\);_(* "-"_);_(@_)</c:formatCode>
                <c:ptCount val="1"/>
                <c:pt idx="0">
                  <c:v>16214.285714285714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AB-4DD4-9979-511862315207}"/>
            </c:ext>
          </c:extLst>
        </c:ser>
        <c:ser>
          <c:idx val="4"/>
          <c:order val="4"/>
          <c:tx>
            <c:strRef>
              <c:f>GRAFIK!$G$24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GRAFIK!$G$25</c:f>
              <c:numCache>
                <c:formatCode>_(* #,##0_);_(* \(#,##0\);_(* "-"_);_(@_)</c:formatCode>
                <c:ptCount val="1"/>
                <c:pt idx="0">
                  <c:v>16214.285714285714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AB-4DD4-9979-511862315207}"/>
            </c:ext>
          </c:extLst>
        </c:ser>
        <c:ser>
          <c:idx val="5"/>
          <c:order val="5"/>
          <c:tx>
            <c:strRef>
              <c:f>GRAFIK!$H$24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GRAFIK!$H$25</c:f>
              <c:numCache>
                <c:formatCode>_(* #,##0_);_(* \(#,##0\);_(* "-"_);_(@_)</c:formatCode>
                <c:ptCount val="1"/>
                <c:pt idx="0">
                  <c:v>16214.285714285714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1AB-4DD4-9979-511862315207}"/>
            </c:ext>
          </c:extLst>
        </c:ser>
        <c:ser>
          <c:idx val="6"/>
          <c:order val="6"/>
          <c:tx>
            <c:strRef>
              <c:f>GRAFIK!$I$24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GRAFIK!$I$25</c:f>
              <c:numCache>
                <c:formatCode>_(* #,##0_);_(* \(#,##0\);_(* "-"_);_(@_)</c:formatCode>
                <c:ptCount val="1"/>
                <c:pt idx="0">
                  <c:v>16214.285714285714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1AB-4DD4-9979-511862315207}"/>
            </c:ext>
          </c:extLst>
        </c:ser>
        <c:ser>
          <c:idx val="7"/>
          <c:order val="7"/>
          <c:tx>
            <c:strRef>
              <c:f>GRAFIK!$J$24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GRAFIK!$J$25</c:f>
              <c:numCache>
                <c:formatCode>_(* #,##0_);_(* \(#,##0\);_(* "-"_);_(@_)</c:formatCode>
                <c:ptCount val="1"/>
                <c:pt idx="0">
                  <c:v>16214.285714285714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1AB-4DD4-9979-511862315207}"/>
            </c:ext>
          </c:extLst>
        </c:ser>
        <c:ser>
          <c:idx val="8"/>
          <c:order val="8"/>
          <c:tx>
            <c:strRef>
              <c:f>GRAFIK!$K$24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GRAFIK!$K$25</c:f>
              <c:numCache>
                <c:formatCode>_(* #,##0_);_(* \(#,##0\);_(* "-"_);_(@_)</c:formatCode>
                <c:ptCount val="1"/>
                <c:pt idx="0">
                  <c:v>16214.285714285714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1AB-4DD4-9979-511862315207}"/>
            </c:ext>
          </c:extLst>
        </c:ser>
        <c:ser>
          <c:idx val="9"/>
          <c:order val="9"/>
          <c:tx>
            <c:strRef>
              <c:f>GRAFIK!$L$24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GRAFIK!$L$25</c:f>
              <c:numCache>
                <c:formatCode>_(* #,##0_);_(* \(#,##0\);_(* "-"_);_(@_)</c:formatCode>
                <c:ptCount val="1"/>
                <c:pt idx="0">
                  <c:v>16214.285714285714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1AB-4DD4-9979-511862315207}"/>
            </c:ext>
          </c:extLst>
        </c:ser>
        <c:ser>
          <c:idx val="10"/>
          <c:order val="10"/>
          <c:tx>
            <c:strRef>
              <c:f>GRAFIK!$M$24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GRAFIK!$M$25</c:f>
              <c:numCache>
                <c:formatCode>_(* #,##0_);_(* \(#,##0\);_(* "-"_);_(@_)</c:formatCode>
                <c:ptCount val="1"/>
                <c:pt idx="0">
                  <c:v>16214.285714285714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1AB-4DD4-9979-511862315207}"/>
            </c:ext>
          </c:extLst>
        </c:ser>
        <c:ser>
          <c:idx val="11"/>
          <c:order val="11"/>
          <c:tx>
            <c:strRef>
              <c:f>GRAFIK!$N$24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GRAFIK!$N$25</c:f>
              <c:numCache>
                <c:formatCode>_(* #,##0_);_(* \(#,##0\);_(* "-"_);_(@_)</c:formatCode>
                <c:ptCount val="1"/>
                <c:pt idx="0">
                  <c:v>16285.714285714286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1AB-4DD4-9979-511862315207}"/>
            </c:ext>
          </c:extLst>
        </c:ser>
        <c:ser>
          <c:idx val="12"/>
          <c:order val="12"/>
          <c:tx>
            <c:strRef>
              <c:f>GRAFIK!$O$24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GRAFIK!$O$25</c:f>
              <c:numCache>
                <c:formatCode>_(* #,##0_);_(* \(#,##0\);_(* "-"_);_(@_)</c:formatCode>
                <c:ptCount val="1"/>
                <c:pt idx="0">
                  <c:v>16285.714285714286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1AB-4DD4-9979-511862315207}"/>
            </c:ext>
          </c:extLst>
        </c:ser>
        <c:ser>
          <c:idx val="13"/>
          <c:order val="13"/>
          <c:tx>
            <c:strRef>
              <c:f>GRAFIK!$P$24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GRAFIK!$P$25</c:f>
              <c:numCache>
                <c:formatCode>_(* #,##0_);_(* \(#,##0\);_(* "-"_);_(@_)</c:formatCode>
                <c:ptCount val="1"/>
                <c:pt idx="0">
                  <c:v>16285.714285714286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1AB-4DD4-9979-511862315207}"/>
            </c:ext>
          </c:extLst>
        </c:ser>
        <c:ser>
          <c:idx val="14"/>
          <c:order val="14"/>
          <c:tx>
            <c:strRef>
              <c:f>GRAFIK!$Q$24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GRAFIK!$Q$25</c:f>
              <c:numCache>
                <c:formatCode>_(* #,##0_);_(* \(#,##0\);_(* "-"_);_(@_)</c:formatCode>
                <c:ptCount val="1"/>
                <c:pt idx="0">
                  <c:v>16285.714285714286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1AB-4DD4-9979-511862315207}"/>
            </c:ext>
          </c:extLst>
        </c:ser>
        <c:ser>
          <c:idx val="15"/>
          <c:order val="15"/>
          <c:tx>
            <c:strRef>
              <c:f>GRAFIK!$R$24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GRAFIK!$R$25</c:f>
              <c:numCache>
                <c:formatCode>_(* #,##0_);_(* \(#,##0\);_(* "-"_);_(@_)</c:formatCode>
                <c:ptCount val="1"/>
                <c:pt idx="0">
                  <c:v>16285.714285714286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1AB-4DD4-9979-511862315207}"/>
            </c:ext>
          </c:extLst>
        </c:ser>
        <c:ser>
          <c:idx val="16"/>
          <c:order val="16"/>
          <c:tx>
            <c:strRef>
              <c:f>GRAFIK!$S$24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GRAFIK!$S$25</c:f>
              <c:numCache>
                <c:formatCode>_(* #,##0_);_(* \(#,##0\);_(* "-"_);_(@_)</c:formatCode>
                <c:ptCount val="1"/>
                <c:pt idx="0">
                  <c:v>16285.714285714286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1AB-4DD4-9979-511862315207}"/>
            </c:ext>
          </c:extLst>
        </c:ser>
        <c:ser>
          <c:idx val="17"/>
          <c:order val="17"/>
          <c:tx>
            <c:strRef>
              <c:f>GRAFIK!$T$24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GRAFIK!$T$25</c:f>
              <c:numCache>
                <c:formatCode>_(* #,##0_);_(* \(#,##0\);_(* "-"_);_(@_)</c:formatCode>
                <c:ptCount val="1"/>
                <c:pt idx="0">
                  <c:v>16285.714285714286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1AB-4DD4-9979-511862315207}"/>
            </c:ext>
          </c:extLst>
        </c:ser>
        <c:ser>
          <c:idx val="18"/>
          <c:order val="18"/>
          <c:tx>
            <c:strRef>
              <c:f>GRAFIK!$U$24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GRAFIK!$U$25</c:f>
              <c:numCache>
                <c:formatCode>_(* #,##0_);_(* \(#,##0\);_(* "-"_);_(@_)</c:formatCode>
                <c:ptCount val="1"/>
                <c:pt idx="0">
                  <c:v>16285.714285714286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1AB-4DD4-9979-511862315207}"/>
            </c:ext>
          </c:extLst>
        </c:ser>
        <c:ser>
          <c:idx val="19"/>
          <c:order val="19"/>
          <c:tx>
            <c:strRef>
              <c:f>GRAFIK!$V$24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GRAFIK!$V$25</c:f>
              <c:numCache>
                <c:formatCode>_(* #,##0_);_(* \(#,##0\);_(* "-"_);_(@_)</c:formatCode>
                <c:ptCount val="1"/>
                <c:pt idx="0">
                  <c:v>16428.571428571428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1AB-4DD4-9979-511862315207}"/>
            </c:ext>
          </c:extLst>
        </c:ser>
        <c:ser>
          <c:idx val="20"/>
          <c:order val="20"/>
          <c:tx>
            <c:strRef>
              <c:f>GRAFIK!$W$24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GRAFIK!$W$25</c:f>
              <c:numCache>
                <c:formatCode>_(* #,##0_);_(* \(#,##0\);_(* "-"_);_(@_)</c:formatCode>
                <c:ptCount val="1"/>
                <c:pt idx="0">
                  <c:v>16428.571428571428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1AB-4DD4-9979-511862315207}"/>
            </c:ext>
          </c:extLst>
        </c:ser>
        <c:ser>
          <c:idx val="21"/>
          <c:order val="21"/>
          <c:tx>
            <c:strRef>
              <c:f>GRAFIK!$X$24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GRAFIK!$X$25</c:f>
              <c:numCache>
                <c:formatCode>_(* #,##0_);_(* \(#,##0\);_(* "-"_);_(@_)</c:formatCode>
                <c:ptCount val="1"/>
                <c:pt idx="0">
                  <c:v>16428.571428571428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1AB-4DD4-9979-511862315207}"/>
            </c:ext>
          </c:extLst>
        </c:ser>
        <c:ser>
          <c:idx val="22"/>
          <c:order val="22"/>
          <c:tx>
            <c:strRef>
              <c:f>GRAFIK!$Y$24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GRAFIK!$Y$25</c:f>
              <c:numCache>
                <c:formatCode>_(* #,##0_);_(* \(#,##0\);_(* "-"_);_(@_)</c:formatCode>
                <c:ptCount val="1"/>
                <c:pt idx="0">
                  <c:v>16500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1AB-4DD4-9979-511862315207}"/>
            </c:ext>
          </c:extLst>
        </c:ser>
        <c:ser>
          <c:idx val="23"/>
          <c:order val="23"/>
          <c:tx>
            <c:strRef>
              <c:f>GRAFIK!$Z$24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GRAFIK!$Z$25</c:f>
              <c:numCache>
                <c:formatCode>_(* #,##0_);_(* \(#,##0\);_(* "-"_);_(@_)</c:formatCode>
                <c:ptCount val="1"/>
                <c:pt idx="0">
                  <c:v>16500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1AB-4DD4-9979-511862315207}"/>
            </c:ext>
          </c:extLst>
        </c:ser>
        <c:ser>
          <c:idx val="24"/>
          <c:order val="24"/>
          <c:tx>
            <c:strRef>
              <c:f>GRAFIK!$AA$24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GRAFIK!$AA$25</c:f>
              <c:numCache>
                <c:formatCode>_(* #,##0_);_(* \(#,##0\);_(* "-"_);_(@_)</c:formatCode>
                <c:ptCount val="1"/>
                <c:pt idx="0">
                  <c:v>16500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1AB-4DD4-9979-511862315207}"/>
            </c:ext>
          </c:extLst>
        </c:ser>
        <c:ser>
          <c:idx val="25"/>
          <c:order val="25"/>
          <c:tx>
            <c:strRef>
              <c:f>GRAFIK!$AB$24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GRAFIK!$AB$25</c:f>
              <c:numCache>
                <c:formatCode>_(* #,##0_);_(* \(#,##0\);_(* "-"_);_(@_)</c:formatCode>
                <c:ptCount val="1"/>
                <c:pt idx="0">
                  <c:v>16500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1AB-4DD4-9979-511862315207}"/>
            </c:ext>
          </c:extLst>
        </c:ser>
        <c:ser>
          <c:idx val="26"/>
          <c:order val="26"/>
          <c:tx>
            <c:strRef>
              <c:f>GRAFIK!$AC$24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GRAFIK!$AC$25</c:f>
              <c:numCache>
                <c:formatCode>_(* #,##0_);_(* \(#,##0\);_(* "-"_);_(@_)</c:formatCode>
                <c:ptCount val="1"/>
                <c:pt idx="0">
                  <c:v>16642.857142857141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1AB-4DD4-9979-511862315207}"/>
            </c:ext>
          </c:extLst>
        </c:ser>
        <c:ser>
          <c:idx val="27"/>
          <c:order val="27"/>
          <c:tx>
            <c:strRef>
              <c:f>GRAFIK!$AD$24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GRAFIK!$AD$25</c:f>
              <c:numCache>
                <c:formatCode>_(* #,##0_);_(* \(#,##0\);_(* "-"_);_(@_)</c:formatCode>
                <c:ptCount val="1"/>
                <c:pt idx="0">
                  <c:v>16642.857142857141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C1AB-4DD4-9979-511862315207}"/>
            </c:ext>
          </c:extLst>
        </c:ser>
        <c:ser>
          <c:idx val="28"/>
          <c:order val="28"/>
          <c:tx>
            <c:strRef>
              <c:f>GRAFIK!$AE$24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GRAFIK!$AE$25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C1AB-4DD4-9979-511862315207}"/>
            </c:ext>
          </c:extLst>
        </c:ser>
        <c:ser>
          <c:idx val="29"/>
          <c:order val="29"/>
          <c:tx>
            <c:strRef>
              <c:f>GRAFIK!$AF$24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GRAFIK!$AF$25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1AB-4DD4-9979-511862315207}"/>
            </c:ext>
          </c:extLst>
        </c:ser>
        <c:ser>
          <c:idx val="30"/>
          <c:order val="30"/>
          <c:tx>
            <c:strRef>
              <c:f>GRAFIK!$AG$24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GRAFIK!$A$25:$B$25</c:f>
              <c:strCache>
                <c:ptCount val="2"/>
                <c:pt idx="0">
                  <c:v>Gula Pasir Lokal Curah </c:v>
                </c:pt>
                <c:pt idx="1">
                  <c:v>Kg</c:v>
                </c:pt>
              </c:strCache>
            </c:strRef>
          </c:cat>
          <c:val>
            <c:numRef>
              <c:f>GRAFIK!$AG$25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1AB-4DD4-9979-511862315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812560"/>
        <c:axId val="517813840"/>
      </c:barChart>
      <c:catAx>
        <c:axId val="51781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17813840"/>
        <c:crosses val="autoZero"/>
        <c:auto val="1"/>
        <c:lblAlgn val="ctr"/>
        <c:lblOffset val="100"/>
        <c:noMultiLvlLbl val="0"/>
      </c:catAx>
      <c:valAx>
        <c:axId val="51781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1781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MINYAK GORENG CURAH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GRAFIK!$C$46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GRAFIK!$C$47</c:f>
              <c:numCache>
                <c:formatCode>_(* #,##0_);_(* \(#,##0\);_(* "-"_);_(@_)</c:formatCode>
                <c:ptCount val="1"/>
                <c:pt idx="0">
                  <c:v>15142.857142857143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D-40A2-9ECE-B91EEFC57482}"/>
            </c:ext>
          </c:extLst>
        </c:ser>
        <c:ser>
          <c:idx val="1"/>
          <c:order val="1"/>
          <c:tx>
            <c:strRef>
              <c:f>GRAFIK!$D$46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GRAFIK!$D$47</c:f>
              <c:numCache>
                <c:formatCode>_(* #,##0_);_(* \(#,##0\);_(* "-"_);_(@_)</c:formatCode>
                <c:ptCount val="1"/>
                <c:pt idx="0">
                  <c:v>15285.714285714286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9D-40A2-9ECE-B91EEFC57482}"/>
            </c:ext>
          </c:extLst>
        </c:ser>
        <c:ser>
          <c:idx val="2"/>
          <c:order val="2"/>
          <c:tx>
            <c:strRef>
              <c:f>GRAFIK!$E$46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GRAFIK!$E$47</c:f>
              <c:numCache>
                <c:formatCode>_(* #,##0_);_(* \(#,##0\);_(* "-"_);_(@_)</c:formatCode>
                <c:ptCount val="1"/>
                <c:pt idx="0">
                  <c:v>15285.714285714286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9D-40A2-9ECE-B91EEFC57482}"/>
            </c:ext>
          </c:extLst>
        </c:ser>
        <c:ser>
          <c:idx val="3"/>
          <c:order val="3"/>
          <c:tx>
            <c:strRef>
              <c:f>GRAFIK!$F$46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GRAFIK!$F$47</c:f>
              <c:numCache>
                <c:formatCode>_(* #,##0_);_(* \(#,##0\);_(* "-"_);_(@_)</c:formatCode>
                <c:ptCount val="1"/>
                <c:pt idx="0">
                  <c:v>15285.714285714286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9D-40A2-9ECE-B91EEFC57482}"/>
            </c:ext>
          </c:extLst>
        </c:ser>
        <c:ser>
          <c:idx val="4"/>
          <c:order val="4"/>
          <c:tx>
            <c:strRef>
              <c:f>GRAFIK!$G$46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GRAFIK!$G$47</c:f>
              <c:numCache>
                <c:formatCode>_(* #,##0_);_(* \(#,##0\);_(* "-"_);_(@_)</c:formatCode>
                <c:ptCount val="1"/>
                <c:pt idx="0">
                  <c:v>15285.714285714286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9D-40A2-9ECE-B91EEFC57482}"/>
            </c:ext>
          </c:extLst>
        </c:ser>
        <c:ser>
          <c:idx val="5"/>
          <c:order val="5"/>
          <c:tx>
            <c:strRef>
              <c:f>GRAFIK!$H$46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GRAFIK!$H$47</c:f>
              <c:numCache>
                <c:formatCode>_(* #,##0_);_(* \(#,##0\);_(* "-"_);_(@_)</c:formatCode>
                <c:ptCount val="1"/>
                <c:pt idx="0">
                  <c:v>15285.714285714286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9D-40A2-9ECE-B91EEFC57482}"/>
            </c:ext>
          </c:extLst>
        </c:ser>
        <c:ser>
          <c:idx val="6"/>
          <c:order val="6"/>
          <c:tx>
            <c:strRef>
              <c:f>GRAFIK!$I$46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GRAFIK!$I$47</c:f>
              <c:numCache>
                <c:formatCode>_(* #,##0_);_(* \(#,##0\);_(* "-"_);_(@_)</c:formatCode>
                <c:ptCount val="1"/>
                <c:pt idx="0">
                  <c:v>15285.714285714286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9D-40A2-9ECE-B91EEFC57482}"/>
            </c:ext>
          </c:extLst>
        </c:ser>
        <c:ser>
          <c:idx val="7"/>
          <c:order val="7"/>
          <c:tx>
            <c:strRef>
              <c:f>GRAFIK!$J$46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GRAFIK!$J$47</c:f>
              <c:numCache>
                <c:formatCode>_(* #,##0_);_(* \(#,##0\);_(* "-"_);_(@_)</c:formatCode>
                <c:ptCount val="1"/>
                <c:pt idx="0">
                  <c:v>15285.714285714286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59D-40A2-9ECE-B91EEFC57482}"/>
            </c:ext>
          </c:extLst>
        </c:ser>
        <c:ser>
          <c:idx val="8"/>
          <c:order val="8"/>
          <c:tx>
            <c:strRef>
              <c:f>GRAFIK!$K$46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GRAFIK!$K$47</c:f>
              <c:numCache>
                <c:formatCode>_(* #,##0_);_(* \(#,##0\);_(* "-"_);_(@_)</c:formatCode>
                <c:ptCount val="1"/>
                <c:pt idx="0">
                  <c:v>15285.714285714286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59D-40A2-9ECE-B91EEFC57482}"/>
            </c:ext>
          </c:extLst>
        </c:ser>
        <c:ser>
          <c:idx val="9"/>
          <c:order val="9"/>
          <c:tx>
            <c:strRef>
              <c:f>GRAFIK!$L$46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GRAFIK!$L$47</c:f>
              <c:numCache>
                <c:formatCode>_(* #,##0_);_(* \(#,##0\);_(* "-"_);_(@_)</c:formatCode>
                <c:ptCount val="1"/>
                <c:pt idx="0">
                  <c:v>15285.714285714286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59D-40A2-9ECE-B91EEFC57482}"/>
            </c:ext>
          </c:extLst>
        </c:ser>
        <c:ser>
          <c:idx val="10"/>
          <c:order val="10"/>
          <c:tx>
            <c:strRef>
              <c:f>GRAFIK!$M$46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GRAFIK!$M$47</c:f>
              <c:numCache>
                <c:formatCode>_(* #,##0_);_(* \(#,##0\);_(* "-"_);_(@_)</c:formatCode>
                <c:ptCount val="1"/>
                <c:pt idx="0">
                  <c:v>15285.714285714286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59D-40A2-9ECE-B91EEFC57482}"/>
            </c:ext>
          </c:extLst>
        </c:ser>
        <c:ser>
          <c:idx val="11"/>
          <c:order val="11"/>
          <c:tx>
            <c:strRef>
              <c:f>GRAFIK!$N$46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GRAFIK!$N$47</c:f>
              <c:numCache>
                <c:formatCode>_(* #,##0_);_(* \(#,##0\);_(* "-"_);_(@_)</c:formatCode>
                <c:ptCount val="1"/>
                <c:pt idx="0">
                  <c:v>15285.714285714286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59D-40A2-9ECE-B91EEFC57482}"/>
            </c:ext>
          </c:extLst>
        </c:ser>
        <c:ser>
          <c:idx val="12"/>
          <c:order val="12"/>
          <c:tx>
            <c:strRef>
              <c:f>GRAFIK!$O$46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GRAFIK!$O$47</c:f>
              <c:numCache>
                <c:formatCode>_(* #,##0_);_(* \(#,##0\);_(* "-"_);_(@_)</c:formatCode>
                <c:ptCount val="1"/>
                <c:pt idx="0">
                  <c:v>15285.714285714286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59D-40A2-9ECE-B91EEFC57482}"/>
            </c:ext>
          </c:extLst>
        </c:ser>
        <c:ser>
          <c:idx val="13"/>
          <c:order val="13"/>
          <c:tx>
            <c:strRef>
              <c:f>GRAFIK!$P$46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GRAFIK!$P$47</c:f>
              <c:numCache>
                <c:formatCode>_(* #,##0_);_(* \(#,##0\);_(* "-"_);_(@_)</c:formatCode>
                <c:ptCount val="1"/>
                <c:pt idx="0">
                  <c:v>15285.714285714286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59D-40A2-9ECE-B91EEFC57482}"/>
            </c:ext>
          </c:extLst>
        </c:ser>
        <c:ser>
          <c:idx val="14"/>
          <c:order val="14"/>
          <c:tx>
            <c:strRef>
              <c:f>GRAFIK!$Q$46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GRAFIK!$Q$47</c:f>
              <c:numCache>
                <c:formatCode>_(* #,##0_);_(* \(#,##0\);_(* "-"_);_(@_)</c:formatCode>
                <c:ptCount val="1"/>
                <c:pt idx="0">
                  <c:v>15285.714285714286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59D-40A2-9ECE-B91EEFC57482}"/>
            </c:ext>
          </c:extLst>
        </c:ser>
        <c:ser>
          <c:idx val="15"/>
          <c:order val="15"/>
          <c:tx>
            <c:strRef>
              <c:f>GRAFIK!$R$46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GRAFIK!$R$47</c:f>
              <c:numCache>
                <c:formatCode>_(* #,##0_);_(* \(#,##0\);_(* "-"_);_(@_)</c:formatCode>
                <c:ptCount val="1"/>
                <c:pt idx="0">
                  <c:v>15357.142857142857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59D-40A2-9ECE-B91EEFC57482}"/>
            </c:ext>
          </c:extLst>
        </c:ser>
        <c:ser>
          <c:idx val="16"/>
          <c:order val="16"/>
          <c:tx>
            <c:strRef>
              <c:f>GRAFIK!$S$46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GRAFIK!$S$47</c:f>
              <c:numCache>
                <c:formatCode>_(* #,##0_);_(* \(#,##0\);_(* "-"_);_(@_)</c:formatCode>
                <c:ptCount val="1"/>
                <c:pt idx="0">
                  <c:v>15357.142857142857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59D-40A2-9ECE-B91EEFC57482}"/>
            </c:ext>
          </c:extLst>
        </c:ser>
        <c:ser>
          <c:idx val="17"/>
          <c:order val="17"/>
          <c:tx>
            <c:strRef>
              <c:f>GRAFIK!$T$46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GRAFIK!$T$47</c:f>
              <c:numCache>
                <c:formatCode>_(* #,##0_);_(* \(#,##0\);_(* "-"_);_(@_)</c:formatCode>
                <c:ptCount val="1"/>
                <c:pt idx="0">
                  <c:v>15357.142857142857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59D-40A2-9ECE-B91EEFC57482}"/>
            </c:ext>
          </c:extLst>
        </c:ser>
        <c:ser>
          <c:idx val="18"/>
          <c:order val="18"/>
          <c:tx>
            <c:strRef>
              <c:f>GRAFIK!$U$46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GRAFIK!$U$47</c:f>
              <c:numCache>
                <c:formatCode>_(* #,##0_);_(* \(#,##0\);_(* "-"_);_(@_)</c:formatCode>
                <c:ptCount val="1"/>
                <c:pt idx="0">
                  <c:v>15285.714285714286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59D-40A2-9ECE-B91EEFC57482}"/>
            </c:ext>
          </c:extLst>
        </c:ser>
        <c:ser>
          <c:idx val="19"/>
          <c:order val="19"/>
          <c:tx>
            <c:strRef>
              <c:f>GRAFIK!$V$46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GRAFIK!$V$47</c:f>
              <c:numCache>
                <c:formatCode>_(* #,##0_);_(* \(#,##0\);_(* "-"_);_(@_)</c:formatCode>
                <c:ptCount val="1"/>
                <c:pt idx="0">
                  <c:v>15571.428571428571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59D-40A2-9ECE-B91EEFC57482}"/>
            </c:ext>
          </c:extLst>
        </c:ser>
        <c:ser>
          <c:idx val="20"/>
          <c:order val="20"/>
          <c:tx>
            <c:strRef>
              <c:f>GRAFIK!$W$46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GRAFIK!$W$47</c:f>
              <c:numCache>
                <c:formatCode>_(* #,##0_);_(* \(#,##0\);_(* "-"_);_(@_)</c:formatCode>
                <c:ptCount val="1"/>
                <c:pt idx="0">
                  <c:v>15571.428571428571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59D-40A2-9ECE-B91EEFC57482}"/>
            </c:ext>
          </c:extLst>
        </c:ser>
        <c:ser>
          <c:idx val="21"/>
          <c:order val="21"/>
          <c:tx>
            <c:strRef>
              <c:f>GRAFIK!$X$46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GRAFIK!$X$47</c:f>
              <c:numCache>
                <c:formatCode>_(* #,##0_);_(* \(#,##0\);_(* "-"_);_(@_)</c:formatCode>
                <c:ptCount val="1"/>
                <c:pt idx="0">
                  <c:v>15571.428571428571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59D-40A2-9ECE-B91EEFC57482}"/>
            </c:ext>
          </c:extLst>
        </c:ser>
        <c:ser>
          <c:idx val="22"/>
          <c:order val="22"/>
          <c:tx>
            <c:strRef>
              <c:f>GRAFIK!$Y$46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GRAFIK!$Y$47</c:f>
              <c:numCache>
                <c:formatCode>_(* #,##0_);_(* \(#,##0\);_(* "-"_);_(@_)</c:formatCode>
                <c:ptCount val="1"/>
                <c:pt idx="0">
                  <c:v>15642.857142857143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59D-40A2-9ECE-B91EEFC57482}"/>
            </c:ext>
          </c:extLst>
        </c:ser>
        <c:ser>
          <c:idx val="23"/>
          <c:order val="23"/>
          <c:tx>
            <c:strRef>
              <c:f>GRAFIK!$Z$46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GRAFIK!$Z$47</c:f>
              <c:numCache>
                <c:formatCode>_(* #,##0_);_(* \(#,##0\);_(* "-"_);_(@_)</c:formatCode>
                <c:ptCount val="1"/>
                <c:pt idx="0">
                  <c:v>15642.857142857143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59D-40A2-9ECE-B91EEFC57482}"/>
            </c:ext>
          </c:extLst>
        </c:ser>
        <c:ser>
          <c:idx val="24"/>
          <c:order val="24"/>
          <c:tx>
            <c:strRef>
              <c:f>GRAFIK!$AA$46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GRAFIK!$AA$47</c:f>
              <c:numCache>
                <c:formatCode>_(* #,##0_);_(* \(#,##0\);_(* "-"_);_(@_)</c:formatCode>
                <c:ptCount val="1"/>
                <c:pt idx="0">
                  <c:v>15642.857142857143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59D-40A2-9ECE-B91EEFC57482}"/>
            </c:ext>
          </c:extLst>
        </c:ser>
        <c:ser>
          <c:idx val="25"/>
          <c:order val="25"/>
          <c:tx>
            <c:strRef>
              <c:f>GRAFIK!$AB$46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GRAFIK!$AB$47</c:f>
              <c:numCache>
                <c:formatCode>_(* #,##0_);_(* \(#,##0\);_(* "-"_);_(@_)</c:formatCode>
                <c:ptCount val="1"/>
                <c:pt idx="0">
                  <c:v>15642.857142857143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59D-40A2-9ECE-B91EEFC57482}"/>
            </c:ext>
          </c:extLst>
        </c:ser>
        <c:ser>
          <c:idx val="26"/>
          <c:order val="26"/>
          <c:tx>
            <c:strRef>
              <c:f>GRAFIK!$AC$46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GRAFIK!$AC$47</c:f>
              <c:numCache>
                <c:formatCode>_(* #,##0_);_(* \(#,##0\);_(* "-"_);_(@_)</c:formatCode>
                <c:ptCount val="1"/>
                <c:pt idx="0">
                  <c:v>15642.857142857143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59D-40A2-9ECE-B91EEFC57482}"/>
            </c:ext>
          </c:extLst>
        </c:ser>
        <c:ser>
          <c:idx val="27"/>
          <c:order val="27"/>
          <c:tx>
            <c:strRef>
              <c:f>GRAFIK!$AD$46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GRAFIK!$AD$47</c:f>
              <c:numCache>
                <c:formatCode>_(* #,##0_);_(* \(#,##0\);_(* "-"_);_(@_)</c:formatCode>
                <c:ptCount val="1"/>
                <c:pt idx="0">
                  <c:v>15642.857142857143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59D-40A2-9ECE-B91EEFC57482}"/>
            </c:ext>
          </c:extLst>
        </c:ser>
        <c:ser>
          <c:idx val="28"/>
          <c:order val="28"/>
          <c:tx>
            <c:strRef>
              <c:f>GRAFIK!$AE$46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GRAFIK!$AE$47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59D-40A2-9ECE-B91EEFC57482}"/>
            </c:ext>
          </c:extLst>
        </c:ser>
        <c:ser>
          <c:idx val="29"/>
          <c:order val="29"/>
          <c:tx>
            <c:strRef>
              <c:f>GRAFIK!$AF$46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GRAFIK!$AF$47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59D-40A2-9ECE-B91EEFC57482}"/>
            </c:ext>
          </c:extLst>
        </c:ser>
        <c:ser>
          <c:idx val="30"/>
          <c:order val="30"/>
          <c:tx>
            <c:strRef>
              <c:f>GRAFIK!$AG$46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GRAFIK!$A$47:$B$47</c:f>
              <c:strCache>
                <c:ptCount val="2"/>
                <c:pt idx="0">
                  <c:v>- Minyak Goreng Curah (Bening)</c:v>
                </c:pt>
                <c:pt idx="1">
                  <c:v>Kg</c:v>
                </c:pt>
              </c:strCache>
            </c:strRef>
          </c:cat>
          <c:val>
            <c:numRef>
              <c:f>GRAFIK!$AG$47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59D-40A2-9ECE-B91EEFC57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4684280"/>
        <c:axId val="584683960"/>
      </c:barChart>
      <c:catAx>
        <c:axId val="584684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4683960"/>
        <c:crosses val="autoZero"/>
        <c:auto val="1"/>
        <c:lblAlgn val="ctr"/>
        <c:lblOffset val="100"/>
        <c:noMultiLvlLbl val="0"/>
      </c:catAx>
      <c:valAx>
        <c:axId val="584683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4684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DAGING AYAM BROILER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GRAFIK!$C$75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GRAFIK!$C$76</c:f>
              <c:numCache>
                <c:formatCode>_(* #,##0_);_(* \(#,##0\);_(* "-"_);_(@_)</c:formatCode>
                <c:ptCount val="1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2-4F8C-B515-46E844695707}"/>
            </c:ext>
          </c:extLst>
        </c:ser>
        <c:ser>
          <c:idx val="1"/>
          <c:order val="1"/>
          <c:tx>
            <c:strRef>
              <c:f>GRAFIK!$D$75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GRAFIK!$D$76</c:f>
              <c:numCache>
                <c:formatCode>_(* #,##0_);_(* \(#,##0\);_(* "-"_);_(@_)</c:formatCode>
                <c:ptCount val="1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32-4F8C-B515-46E844695707}"/>
            </c:ext>
          </c:extLst>
        </c:ser>
        <c:ser>
          <c:idx val="2"/>
          <c:order val="2"/>
          <c:tx>
            <c:strRef>
              <c:f>GRAFIK!$E$75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GRAFIK!$E$76</c:f>
              <c:numCache>
                <c:formatCode>_(* #,##0_);_(* \(#,##0\);_(* "-"_);_(@_)</c:formatCode>
                <c:ptCount val="1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32-4F8C-B515-46E844695707}"/>
            </c:ext>
          </c:extLst>
        </c:ser>
        <c:ser>
          <c:idx val="3"/>
          <c:order val="3"/>
          <c:tx>
            <c:strRef>
              <c:f>GRAFIK!$F$75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GRAFIK!$F$76</c:f>
              <c:numCache>
                <c:formatCode>_(* #,##0_);_(* \(#,##0\);_(* "-"_);_(@_)</c:formatCode>
                <c:ptCount val="1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32-4F8C-B515-46E844695707}"/>
            </c:ext>
          </c:extLst>
        </c:ser>
        <c:ser>
          <c:idx val="4"/>
          <c:order val="4"/>
          <c:tx>
            <c:strRef>
              <c:f>GRAFIK!$G$75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GRAFIK!$G$76</c:f>
              <c:numCache>
                <c:formatCode>_(* #,##0_);_(* \(#,##0\);_(* "-"_);_(@_)</c:formatCode>
                <c:ptCount val="1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32-4F8C-B515-46E844695707}"/>
            </c:ext>
          </c:extLst>
        </c:ser>
        <c:ser>
          <c:idx val="5"/>
          <c:order val="5"/>
          <c:tx>
            <c:strRef>
              <c:f>GRAFIK!$H$75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GRAFIK!$H$76</c:f>
              <c:numCache>
                <c:formatCode>_(* #,##0_);_(* \(#,##0\);_(* "-"_);_(@_)</c:formatCode>
                <c:ptCount val="1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32-4F8C-B515-46E844695707}"/>
            </c:ext>
          </c:extLst>
        </c:ser>
        <c:ser>
          <c:idx val="6"/>
          <c:order val="6"/>
          <c:tx>
            <c:strRef>
              <c:f>GRAFIK!$I$75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GRAFIK!$I$76</c:f>
              <c:numCache>
                <c:formatCode>_(* #,##0_);_(* \(#,##0\);_(* "-"_);_(@_)</c:formatCode>
                <c:ptCount val="1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32-4F8C-B515-46E844695707}"/>
            </c:ext>
          </c:extLst>
        </c:ser>
        <c:ser>
          <c:idx val="7"/>
          <c:order val="7"/>
          <c:tx>
            <c:strRef>
              <c:f>GRAFIK!$J$75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GRAFIK!$J$76</c:f>
              <c:numCache>
                <c:formatCode>_(* #,##0_);_(* \(#,##0\);_(* "-"_);_(@_)</c:formatCode>
                <c:ptCount val="1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C32-4F8C-B515-46E844695707}"/>
            </c:ext>
          </c:extLst>
        </c:ser>
        <c:ser>
          <c:idx val="8"/>
          <c:order val="8"/>
          <c:tx>
            <c:strRef>
              <c:f>GRAFIK!$K$75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GRAFIK!$K$76</c:f>
              <c:numCache>
                <c:formatCode>_(* #,##0_);_(* \(#,##0\);_(* "-"_);_(@_)</c:formatCode>
                <c:ptCount val="1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C32-4F8C-B515-46E844695707}"/>
            </c:ext>
          </c:extLst>
        </c:ser>
        <c:ser>
          <c:idx val="9"/>
          <c:order val="9"/>
          <c:tx>
            <c:strRef>
              <c:f>GRAFIK!$L$75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GRAFIK!$L$76</c:f>
              <c:numCache>
                <c:formatCode>_(* #,##0_);_(* \(#,##0\);_(* "-"_);_(@_)</c:formatCode>
                <c:ptCount val="1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C32-4F8C-B515-46E844695707}"/>
            </c:ext>
          </c:extLst>
        </c:ser>
        <c:ser>
          <c:idx val="10"/>
          <c:order val="10"/>
          <c:tx>
            <c:strRef>
              <c:f>GRAFIK!$M$75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GRAFIK!$M$76</c:f>
              <c:numCache>
                <c:formatCode>_(* #,##0_);_(* \(#,##0\);_(* "-"_);_(@_)</c:formatCode>
                <c:ptCount val="1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C32-4F8C-B515-46E844695707}"/>
            </c:ext>
          </c:extLst>
        </c:ser>
        <c:ser>
          <c:idx val="11"/>
          <c:order val="11"/>
          <c:tx>
            <c:strRef>
              <c:f>GRAFIK!$N$75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GRAFIK!$N$76</c:f>
              <c:numCache>
                <c:formatCode>_(* #,##0_);_(* \(#,##0\);_(* "-"_);_(@_)</c:formatCode>
                <c:ptCount val="1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C32-4F8C-B515-46E844695707}"/>
            </c:ext>
          </c:extLst>
        </c:ser>
        <c:ser>
          <c:idx val="12"/>
          <c:order val="12"/>
          <c:tx>
            <c:strRef>
              <c:f>GRAFIK!$O$75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GRAFIK!$O$76</c:f>
              <c:numCache>
                <c:formatCode>_(* #,##0_);_(* \(#,##0\);_(* "-"_);_(@_)</c:formatCode>
                <c:ptCount val="1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C32-4F8C-B515-46E844695707}"/>
            </c:ext>
          </c:extLst>
        </c:ser>
        <c:ser>
          <c:idx val="13"/>
          <c:order val="13"/>
          <c:tx>
            <c:strRef>
              <c:f>GRAFIK!$P$75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GRAFIK!$P$76</c:f>
              <c:numCache>
                <c:formatCode>_(* #,##0_);_(* \(#,##0\);_(* "-"_);_(@_)</c:formatCode>
                <c:ptCount val="1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C32-4F8C-B515-46E844695707}"/>
            </c:ext>
          </c:extLst>
        </c:ser>
        <c:ser>
          <c:idx val="14"/>
          <c:order val="14"/>
          <c:tx>
            <c:strRef>
              <c:f>GRAFIK!$Q$75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GRAFIK!$Q$76</c:f>
              <c:numCache>
                <c:formatCode>_(* #,##0_);_(* \(#,##0\);_(* "-"_);_(@_)</c:formatCode>
                <c:ptCount val="1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C32-4F8C-B515-46E844695707}"/>
            </c:ext>
          </c:extLst>
        </c:ser>
        <c:ser>
          <c:idx val="15"/>
          <c:order val="15"/>
          <c:tx>
            <c:strRef>
              <c:f>GRAFIK!$R$75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GRAFIK!$R$76</c:f>
              <c:numCache>
                <c:formatCode>_(* #,##0_);_(* \(#,##0\);_(* "-"_);_(@_)</c:formatCode>
                <c:ptCount val="1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C32-4F8C-B515-46E844695707}"/>
            </c:ext>
          </c:extLst>
        </c:ser>
        <c:ser>
          <c:idx val="16"/>
          <c:order val="16"/>
          <c:tx>
            <c:strRef>
              <c:f>GRAFIK!$S$75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GRAFIK!$S$76</c:f>
              <c:numCache>
                <c:formatCode>_(* #,##0_);_(* \(#,##0\);_(* "-"_);_(@_)</c:formatCode>
                <c:ptCount val="1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C32-4F8C-B515-46E844695707}"/>
            </c:ext>
          </c:extLst>
        </c:ser>
        <c:ser>
          <c:idx val="17"/>
          <c:order val="17"/>
          <c:tx>
            <c:strRef>
              <c:f>GRAFIK!$T$75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GRAFIK!$T$76</c:f>
              <c:numCache>
                <c:formatCode>_(* #,##0_);_(* \(#,##0\);_(* "-"_);_(@_)</c:formatCode>
                <c:ptCount val="1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C32-4F8C-B515-46E844695707}"/>
            </c:ext>
          </c:extLst>
        </c:ser>
        <c:ser>
          <c:idx val="18"/>
          <c:order val="18"/>
          <c:tx>
            <c:strRef>
              <c:f>GRAFIK!$U$75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GRAFIK!$U$76</c:f>
              <c:numCache>
                <c:formatCode>_(* #,##0_);_(* \(#,##0\);_(* "-"_);_(@_)</c:formatCode>
                <c:ptCount val="1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C32-4F8C-B515-46E844695707}"/>
            </c:ext>
          </c:extLst>
        </c:ser>
        <c:ser>
          <c:idx val="19"/>
          <c:order val="19"/>
          <c:tx>
            <c:strRef>
              <c:f>GRAFIK!$V$75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GRAFIK!$V$76</c:f>
              <c:numCache>
                <c:formatCode>_(* #,##0_);_(* \(#,##0\);_(* "-"_);_(@_)</c:formatCode>
                <c:ptCount val="1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C32-4F8C-B515-46E844695707}"/>
            </c:ext>
          </c:extLst>
        </c:ser>
        <c:ser>
          <c:idx val="20"/>
          <c:order val="20"/>
          <c:tx>
            <c:strRef>
              <c:f>GRAFIK!$W$75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GRAFIK!$W$76</c:f>
              <c:numCache>
                <c:formatCode>_(* #,##0_);_(* \(#,##0\);_(* "-"_);_(@_)</c:formatCode>
                <c:ptCount val="1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C32-4F8C-B515-46E844695707}"/>
            </c:ext>
          </c:extLst>
        </c:ser>
        <c:ser>
          <c:idx val="21"/>
          <c:order val="21"/>
          <c:tx>
            <c:strRef>
              <c:f>GRAFIK!$X$75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GRAFIK!$X$76</c:f>
              <c:numCache>
                <c:formatCode>_(* #,##0_);_(* \(#,##0\);_(* "-"_);_(@_)</c:formatCode>
                <c:ptCount val="1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C32-4F8C-B515-46E844695707}"/>
            </c:ext>
          </c:extLst>
        </c:ser>
        <c:ser>
          <c:idx val="22"/>
          <c:order val="22"/>
          <c:tx>
            <c:strRef>
              <c:f>GRAFIK!$Y$75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GRAFIK!$Y$76</c:f>
              <c:numCache>
                <c:formatCode>_(* #,##0_);_(* \(#,##0\);_(* "-"_);_(@_)</c:formatCode>
                <c:ptCount val="1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C32-4F8C-B515-46E844695707}"/>
            </c:ext>
          </c:extLst>
        </c:ser>
        <c:ser>
          <c:idx val="23"/>
          <c:order val="23"/>
          <c:tx>
            <c:strRef>
              <c:f>GRAFIK!$Z$75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GRAFIK!$Z$76</c:f>
              <c:numCache>
                <c:formatCode>_(* #,##0_);_(* \(#,##0\);_(* "-"_);_(@_)</c:formatCode>
                <c:ptCount val="1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C32-4F8C-B515-46E844695707}"/>
            </c:ext>
          </c:extLst>
        </c:ser>
        <c:ser>
          <c:idx val="24"/>
          <c:order val="24"/>
          <c:tx>
            <c:strRef>
              <c:f>GRAFIK!$AA$75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GRAFIK!$AA$76</c:f>
              <c:numCache>
                <c:formatCode>_(* #,##0_);_(* \(#,##0\);_(* "-"_);_(@_)</c:formatCode>
                <c:ptCount val="1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C32-4F8C-B515-46E844695707}"/>
            </c:ext>
          </c:extLst>
        </c:ser>
        <c:ser>
          <c:idx val="25"/>
          <c:order val="25"/>
          <c:tx>
            <c:strRef>
              <c:f>GRAFIK!$AB$75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GRAFIK!$AB$76</c:f>
              <c:numCache>
                <c:formatCode>_(* #,##0_);_(* \(#,##0\);_(* "-"_);_(@_)</c:formatCode>
                <c:ptCount val="1"/>
                <c:pt idx="0">
                  <c:v>101428.57142857143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C32-4F8C-B515-46E844695707}"/>
            </c:ext>
          </c:extLst>
        </c:ser>
        <c:ser>
          <c:idx val="26"/>
          <c:order val="26"/>
          <c:tx>
            <c:strRef>
              <c:f>GRAFIK!$AC$75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GRAFIK!$AC$76</c:f>
              <c:numCache>
                <c:formatCode>_(* #,##0_);_(* \(#,##0\);_(* "-"_);_(@_)</c:formatCode>
                <c:ptCount val="1"/>
                <c:pt idx="0">
                  <c:v>101428.57142857143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C32-4F8C-B515-46E844695707}"/>
            </c:ext>
          </c:extLst>
        </c:ser>
        <c:ser>
          <c:idx val="27"/>
          <c:order val="27"/>
          <c:tx>
            <c:strRef>
              <c:f>GRAFIK!$AD$75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GRAFIK!$AD$76</c:f>
              <c:numCache>
                <c:formatCode>_(* #,##0_);_(* \(#,##0\);_(* "-"_);_(@_)</c:formatCode>
                <c:ptCount val="1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7C32-4F8C-B515-46E844695707}"/>
            </c:ext>
          </c:extLst>
        </c:ser>
        <c:ser>
          <c:idx val="28"/>
          <c:order val="28"/>
          <c:tx>
            <c:strRef>
              <c:f>GRAFIK!$AE$75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GRAFIK!$AE$76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7C32-4F8C-B515-46E844695707}"/>
            </c:ext>
          </c:extLst>
        </c:ser>
        <c:ser>
          <c:idx val="29"/>
          <c:order val="29"/>
          <c:tx>
            <c:strRef>
              <c:f>GRAFIK!$AF$75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GRAFIK!$AF$76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C32-4F8C-B515-46E844695707}"/>
            </c:ext>
          </c:extLst>
        </c:ser>
        <c:ser>
          <c:idx val="30"/>
          <c:order val="30"/>
          <c:tx>
            <c:strRef>
              <c:f>GRAFIK!$AG$75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GRAFIK!$A$76:$B$76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cat>
          <c:val>
            <c:numRef>
              <c:f>GRAFIK!$AG$76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C32-4F8C-B515-46E844695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6329080"/>
        <c:axId val="526330680"/>
      </c:barChart>
      <c:catAx>
        <c:axId val="526329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26330680"/>
        <c:crosses val="autoZero"/>
        <c:auto val="1"/>
        <c:lblAlgn val="ctr"/>
        <c:lblOffset val="100"/>
        <c:noMultiLvlLbl val="0"/>
      </c:catAx>
      <c:valAx>
        <c:axId val="526330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26329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TELUR AYAM HORN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GRAFIK!$C$96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GRAFIK!$C$97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47-4D6C-A26F-B46659850E10}"/>
            </c:ext>
          </c:extLst>
        </c:ser>
        <c:ser>
          <c:idx val="1"/>
          <c:order val="1"/>
          <c:tx>
            <c:strRef>
              <c:f>GRAFIK!$D$96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GRAFIK!$D$97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47-4D6C-A26F-B46659850E10}"/>
            </c:ext>
          </c:extLst>
        </c:ser>
        <c:ser>
          <c:idx val="2"/>
          <c:order val="2"/>
          <c:tx>
            <c:strRef>
              <c:f>GRAFIK!$E$96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GRAFIK!$E$97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47-4D6C-A26F-B46659850E10}"/>
            </c:ext>
          </c:extLst>
        </c:ser>
        <c:ser>
          <c:idx val="3"/>
          <c:order val="3"/>
          <c:tx>
            <c:strRef>
              <c:f>GRAFIK!$F$96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GRAFIK!$F$97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47-4D6C-A26F-B46659850E10}"/>
            </c:ext>
          </c:extLst>
        </c:ser>
        <c:ser>
          <c:idx val="4"/>
          <c:order val="4"/>
          <c:tx>
            <c:strRef>
              <c:f>GRAFIK!$G$96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GRAFIK!$G$97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47-4D6C-A26F-B46659850E10}"/>
            </c:ext>
          </c:extLst>
        </c:ser>
        <c:ser>
          <c:idx val="5"/>
          <c:order val="5"/>
          <c:tx>
            <c:strRef>
              <c:f>GRAFIK!$H$96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GRAFIK!$H$97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A47-4D6C-A26F-B46659850E10}"/>
            </c:ext>
          </c:extLst>
        </c:ser>
        <c:ser>
          <c:idx val="6"/>
          <c:order val="6"/>
          <c:tx>
            <c:strRef>
              <c:f>GRAFIK!$I$96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GRAFIK!$I$97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47-4D6C-A26F-B46659850E10}"/>
            </c:ext>
          </c:extLst>
        </c:ser>
        <c:ser>
          <c:idx val="7"/>
          <c:order val="7"/>
          <c:tx>
            <c:strRef>
              <c:f>GRAFIK!$J$96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GRAFIK!$J$97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A47-4D6C-A26F-B46659850E10}"/>
            </c:ext>
          </c:extLst>
        </c:ser>
        <c:ser>
          <c:idx val="8"/>
          <c:order val="8"/>
          <c:tx>
            <c:strRef>
              <c:f>GRAFIK!$K$96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GRAFIK!$K$97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A47-4D6C-A26F-B46659850E10}"/>
            </c:ext>
          </c:extLst>
        </c:ser>
        <c:ser>
          <c:idx val="9"/>
          <c:order val="9"/>
          <c:tx>
            <c:strRef>
              <c:f>GRAFIK!$L$96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GRAFIK!$L$97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A47-4D6C-A26F-B46659850E10}"/>
            </c:ext>
          </c:extLst>
        </c:ser>
        <c:ser>
          <c:idx val="10"/>
          <c:order val="10"/>
          <c:tx>
            <c:strRef>
              <c:f>GRAFIK!$M$96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GRAFIK!$M$97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A47-4D6C-A26F-B46659850E10}"/>
            </c:ext>
          </c:extLst>
        </c:ser>
        <c:ser>
          <c:idx val="11"/>
          <c:order val="11"/>
          <c:tx>
            <c:strRef>
              <c:f>GRAFIK!$N$96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GRAFIK!$N$97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A47-4D6C-A26F-B46659850E10}"/>
            </c:ext>
          </c:extLst>
        </c:ser>
        <c:ser>
          <c:idx val="12"/>
          <c:order val="12"/>
          <c:tx>
            <c:strRef>
              <c:f>GRAFIK!$O$96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GRAFIK!$O$97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A47-4D6C-A26F-B46659850E10}"/>
            </c:ext>
          </c:extLst>
        </c:ser>
        <c:ser>
          <c:idx val="13"/>
          <c:order val="13"/>
          <c:tx>
            <c:strRef>
              <c:f>GRAFIK!$P$96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GRAFIK!$P$97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A47-4D6C-A26F-B46659850E10}"/>
            </c:ext>
          </c:extLst>
        </c:ser>
        <c:ser>
          <c:idx val="14"/>
          <c:order val="14"/>
          <c:tx>
            <c:strRef>
              <c:f>GRAFIK!$Q$96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GRAFIK!$Q$97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A47-4D6C-A26F-B46659850E10}"/>
            </c:ext>
          </c:extLst>
        </c:ser>
        <c:ser>
          <c:idx val="15"/>
          <c:order val="15"/>
          <c:tx>
            <c:strRef>
              <c:f>GRAFIK!$R$96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GRAFIK!$R$97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A47-4D6C-A26F-B46659850E10}"/>
            </c:ext>
          </c:extLst>
        </c:ser>
        <c:ser>
          <c:idx val="16"/>
          <c:order val="16"/>
          <c:tx>
            <c:strRef>
              <c:f>GRAFIK!$S$96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GRAFIK!$S$97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A47-4D6C-A26F-B46659850E10}"/>
            </c:ext>
          </c:extLst>
        </c:ser>
        <c:ser>
          <c:idx val="17"/>
          <c:order val="17"/>
          <c:tx>
            <c:strRef>
              <c:f>GRAFIK!$T$96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GRAFIK!$T$97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A47-4D6C-A26F-B46659850E10}"/>
            </c:ext>
          </c:extLst>
        </c:ser>
        <c:ser>
          <c:idx val="18"/>
          <c:order val="18"/>
          <c:tx>
            <c:strRef>
              <c:f>GRAFIK!$U$96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GRAFIK!$U$97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A47-4D6C-A26F-B46659850E10}"/>
            </c:ext>
          </c:extLst>
        </c:ser>
        <c:ser>
          <c:idx val="19"/>
          <c:order val="19"/>
          <c:tx>
            <c:strRef>
              <c:f>GRAFIK!$V$96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GRAFIK!$V$97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A47-4D6C-A26F-B46659850E10}"/>
            </c:ext>
          </c:extLst>
        </c:ser>
        <c:ser>
          <c:idx val="20"/>
          <c:order val="20"/>
          <c:tx>
            <c:strRef>
              <c:f>GRAFIK!$W$96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GRAFIK!$W$97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A47-4D6C-A26F-B46659850E10}"/>
            </c:ext>
          </c:extLst>
        </c:ser>
        <c:ser>
          <c:idx val="21"/>
          <c:order val="21"/>
          <c:tx>
            <c:strRef>
              <c:f>GRAFIK!$X$96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GRAFIK!$X$97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A47-4D6C-A26F-B46659850E10}"/>
            </c:ext>
          </c:extLst>
        </c:ser>
        <c:ser>
          <c:idx val="22"/>
          <c:order val="22"/>
          <c:tx>
            <c:strRef>
              <c:f>GRAFIK!$Y$96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GRAFIK!$Y$97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A47-4D6C-A26F-B46659850E10}"/>
            </c:ext>
          </c:extLst>
        </c:ser>
        <c:ser>
          <c:idx val="23"/>
          <c:order val="23"/>
          <c:tx>
            <c:strRef>
              <c:f>GRAFIK!$Z$96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GRAFIK!$Z$97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A47-4D6C-A26F-B46659850E10}"/>
            </c:ext>
          </c:extLst>
        </c:ser>
        <c:ser>
          <c:idx val="24"/>
          <c:order val="24"/>
          <c:tx>
            <c:strRef>
              <c:f>GRAFIK!$AA$96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GRAFIK!$AA$97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A47-4D6C-A26F-B46659850E10}"/>
            </c:ext>
          </c:extLst>
        </c:ser>
        <c:ser>
          <c:idx val="25"/>
          <c:order val="25"/>
          <c:tx>
            <c:strRef>
              <c:f>GRAFIK!$AB$96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GRAFIK!$AB$97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A47-4D6C-A26F-B46659850E10}"/>
            </c:ext>
          </c:extLst>
        </c:ser>
        <c:ser>
          <c:idx val="26"/>
          <c:order val="26"/>
          <c:tx>
            <c:strRef>
              <c:f>GRAFIK!$AC$96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GRAFIK!$AC$97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A47-4D6C-A26F-B46659850E10}"/>
            </c:ext>
          </c:extLst>
        </c:ser>
        <c:ser>
          <c:idx val="27"/>
          <c:order val="27"/>
          <c:tx>
            <c:strRef>
              <c:f>GRAFIK!$AD$96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GRAFIK!$AD$97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A47-4D6C-A26F-B46659850E10}"/>
            </c:ext>
          </c:extLst>
        </c:ser>
        <c:ser>
          <c:idx val="28"/>
          <c:order val="28"/>
          <c:tx>
            <c:strRef>
              <c:f>GRAFIK!$AE$96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GRAFIK!$AE$97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A47-4D6C-A26F-B46659850E10}"/>
            </c:ext>
          </c:extLst>
        </c:ser>
        <c:ser>
          <c:idx val="29"/>
          <c:order val="29"/>
          <c:tx>
            <c:strRef>
              <c:f>GRAFIK!$AF$96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GRAFIK!$AF$97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A47-4D6C-A26F-B46659850E10}"/>
            </c:ext>
          </c:extLst>
        </c:ser>
        <c:ser>
          <c:idx val="30"/>
          <c:order val="30"/>
          <c:tx>
            <c:strRef>
              <c:f>GRAFIK!$AG$96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GRAFIK!$A$97:$B$97</c:f>
              <c:strCache>
                <c:ptCount val="2"/>
                <c:pt idx="0">
                  <c:v>- Telur Ayam Horn</c:v>
                </c:pt>
                <c:pt idx="1">
                  <c:v>Kg</c:v>
                </c:pt>
              </c:strCache>
            </c:strRef>
          </c:cat>
          <c:val>
            <c:numRef>
              <c:f>GRAFIK!$AG$97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A47-4D6C-A26F-B46659850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4691320"/>
        <c:axId val="584691640"/>
      </c:barChart>
      <c:catAx>
        <c:axId val="58469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4691640"/>
        <c:crosses val="autoZero"/>
        <c:auto val="1"/>
        <c:lblAlgn val="ctr"/>
        <c:lblOffset val="100"/>
        <c:noMultiLvlLbl val="0"/>
      </c:catAx>
      <c:valAx>
        <c:axId val="584691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4691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GARAM HALUS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GRAFIK!$C$116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GRAFIK!$C$117</c:f>
              <c:numCache>
                <c:formatCode>_(* #,##0_);_(* \(#,##0\);_(* "-"_);_(@_)</c:formatCode>
                <c:ptCount val="1"/>
                <c:pt idx="0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2-4439-A729-5BF8040DD84C}"/>
            </c:ext>
          </c:extLst>
        </c:ser>
        <c:ser>
          <c:idx val="1"/>
          <c:order val="1"/>
          <c:tx>
            <c:strRef>
              <c:f>GRAFIK!$D$116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GRAFIK!$D$117</c:f>
              <c:numCache>
                <c:formatCode>_(* #,##0_);_(* \(#,##0\);_(* "-"_);_(@_)</c:formatCode>
                <c:ptCount val="1"/>
                <c:pt idx="0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F2-4439-A729-5BF8040DD84C}"/>
            </c:ext>
          </c:extLst>
        </c:ser>
        <c:ser>
          <c:idx val="2"/>
          <c:order val="2"/>
          <c:tx>
            <c:strRef>
              <c:f>GRAFIK!$E$116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GRAFIK!$E$117</c:f>
              <c:numCache>
                <c:formatCode>_(* #,##0_);_(* \(#,##0\);_(* "-"_);_(@_)</c:formatCode>
                <c:ptCount val="1"/>
                <c:pt idx="0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F2-4439-A729-5BF8040DD84C}"/>
            </c:ext>
          </c:extLst>
        </c:ser>
        <c:ser>
          <c:idx val="3"/>
          <c:order val="3"/>
          <c:tx>
            <c:strRef>
              <c:f>GRAFIK!$F$116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GRAFIK!$F$117</c:f>
              <c:numCache>
                <c:formatCode>_(* #,##0_);_(* \(#,##0\);_(* "-"_);_(@_)</c:formatCode>
                <c:ptCount val="1"/>
                <c:pt idx="0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F2-4439-A729-5BF8040DD84C}"/>
            </c:ext>
          </c:extLst>
        </c:ser>
        <c:ser>
          <c:idx val="4"/>
          <c:order val="4"/>
          <c:tx>
            <c:strRef>
              <c:f>GRAFIK!$G$116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GRAFIK!$G$117</c:f>
              <c:numCache>
                <c:formatCode>_(* #,##0_);_(* \(#,##0\);_(* "-"_);_(@_)</c:formatCode>
                <c:ptCount val="1"/>
                <c:pt idx="0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F2-4439-A729-5BF8040DD84C}"/>
            </c:ext>
          </c:extLst>
        </c:ser>
        <c:ser>
          <c:idx val="5"/>
          <c:order val="5"/>
          <c:tx>
            <c:strRef>
              <c:f>GRAFIK!$H$116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GRAFIK!$H$117</c:f>
              <c:numCache>
                <c:formatCode>_(* #,##0_);_(* \(#,##0\);_(* "-"_);_(@_)</c:formatCode>
                <c:ptCount val="1"/>
                <c:pt idx="0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F2-4439-A729-5BF8040DD84C}"/>
            </c:ext>
          </c:extLst>
        </c:ser>
        <c:ser>
          <c:idx val="6"/>
          <c:order val="6"/>
          <c:tx>
            <c:strRef>
              <c:f>GRAFIK!$I$116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GRAFIK!$I$117</c:f>
              <c:numCache>
                <c:formatCode>_(* #,##0_);_(* \(#,##0\);_(* "-"_);_(@_)</c:formatCode>
                <c:ptCount val="1"/>
                <c:pt idx="0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F2-4439-A729-5BF8040DD84C}"/>
            </c:ext>
          </c:extLst>
        </c:ser>
        <c:ser>
          <c:idx val="7"/>
          <c:order val="7"/>
          <c:tx>
            <c:strRef>
              <c:f>GRAFIK!$J$116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GRAFIK!$J$117</c:f>
              <c:numCache>
                <c:formatCode>_(* #,##0_);_(* \(#,##0\);_(* "-"_);_(@_)</c:formatCode>
                <c:ptCount val="1"/>
                <c:pt idx="0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0F2-4439-A729-5BF8040DD84C}"/>
            </c:ext>
          </c:extLst>
        </c:ser>
        <c:ser>
          <c:idx val="8"/>
          <c:order val="8"/>
          <c:tx>
            <c:strRef>
              <c:f>GRAFIK!$K$116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GRAFIK!$K$117</c:f>
              <c:numCache>
                <c:formatCode>_(* #,##0_);_(* \(#,##0\);_(* "-"_);_(@_)</c:formatCode>
                <c:ptCount val="1"/>
                <c:pt idx="0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0F2-4439-A729-5BF8040DD84C}"/>
            </c:ext>
          </c:extLst>
        </c:ser>
        <c:ser>
          <c:idx val="9"/>
          <c:order val="9"/>
          <c:tx>
            <c:strRef>
              <c:f>GRAFIK!$L$116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GRAFIK!$L$117</c:f>
              <c:numCache>
                <c:formatCode>_(* #,##0_);_(* \(#,##0\);_(* "-"_);_(@_)</c:formatCode>
                <c:ptCount val="1"/>
                <c:pt idx="0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0F2-4439-A729-5BF8040DD84C}"/>
            </c:ext>
          </c:extLst>
        </c:ser>
        <c:ser>
          <c:idx val="10"/>
          <c:order val="10"/>
          <c:tx>
            <c:strRef>
              <c:f>GRAFIK!$M$116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GRAFIK!$M$117</c:f>
              <c:numCache>
                <c:formatCode>_(* #,##0_);_(* \(#,##0\);_(* "-"_);_(@_)</c:formatCode>
                <c:ptCount val="1"/>
                <c:pt idx="0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0F2-4439-A729-5BF8040DD84C}"/>
            </c:ext>
          </c:extLst>
        </c:ser>
        <c:ser>
          <c:idx val="11"/>
          <c:order val="11"/>
          <c:tx>
            <c:strRef>
              <c:f>GRAFIK!$N$116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GRAFIK!$N$117</c:f>
              <c:numCache>
                <c:formatCode>_(* #,##0_);_(* \(#,##0\);_(* "-"_);_(@_)</c:formatCode>
                <c:ptCount val="1"/>
                <c:pt idx="0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0F2-4439-A729-5BF8040DD84C}"/>
            </c:ext>
          </c:extLst>
        </c:ser>
        <c:ser>
          <c:idx val="12"/>
          <c:order val="12"/>
          <c:tx>
            <c:strRef>
              <c:f>GRAFIK!$O$116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GRAFIK!$O$117</c:f>
              <c:numCache>
                <c:formatCode>_(* #,##0_);_(* \(#,##0\);_(* "-"_);_(@_)</c:formatCode>
                <c:ptCount val="1"/>
                <c:pt idx="0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0F2-4439-A729-5BF8040DD84C}"/>
            </c:ext>
          </c:extLst>
        </c:ser>
        <c:ser>
          <c:idx val="13"/>
          <c:order val="13"/>
          <c:tx>
            <c:strRef>
              <c:f>GRAFIK!$P$116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GRAFIK!$P$117</c:f>
              <c:numCache>
                <c:formatCode>_(* #,##0_);_(* \(#,##0\);_(* "-"_);_(@_)</c:formatCode>
                <c:ptCount val="1"/>
                <c:pt idx="0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0F2-4439-A729-5BF8040DD84C}"/>
            </c:ext>
          </c:extLst>
        </c:ser>
        <c:ser>
          <c:idx val="14"/>
          <c:order val="14"/>
          <c:tx>
            <c:strRef>
              <c:f>GRAFIK!$Q$116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GRAFIK!$Q$117</c:f>
              <c:numCache>
                <c:formatCode>_(* #,##0_);_(* \(#,##0\);_(* "-"_);_(@_)</c:formatCode>
                <c:ptCount val="1"/>
                <c:pt idx="0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0F2-4439-A729-5BF8040DD84C}"/>
            </c:ext>
          </c:extLst>
        </c:ser>
        <c:ser>
          <c:idx val="15"/>
          <c:order val="15"/>
          <c:tx>
            <c:strRef>
              <c:f>GRAFIK!$R$116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GRAFIK!$R$117</c:f>
              <c:numCache>
                <c:formatCode>_(* #,##0_);_(* \(#,##0\);_(* "-"_);_(@_)</c:formatCode>
                <c:ptCount val="1"/>
                <c:pt idx="0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0F2-4439-A729-5BF8040DD84C}"/>
            </c:ext>
          </c:extLst>
        </c:ser>
        <c:ser>
          <c:idx val="16"/>
          <c:order val="16"/>
          <c:tx>
            <c:strRef>
              <c:f>GRAFIK!$S$116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GRAFIK!$S$117</c:f>
              <c:numCache>
                <c:formatCode>_(* #,##0_);_(* \(#,##0\);_(* "-"_);_(@_)</c:formatCode>
                <c:ptCount val="1"/>
                <c:pt idx="0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0F2-4439-A729-5BF8040DD84C}"/>
            </c:ext>
          </c:extLst>
        </c:ser>
        <c:ser>
          <c:idx val="17"/>
          <c:order val="17"/>
          <c:tx>
            <c:strRef>
              <c:f>GRAFIK!$T$116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GRAFIK!$T$117</c:f>
              <c:numCache>
                <c:formatCode>_(* #,##0_);_(* \(#,##0\);_(* "-"_);_(@_)</c:formatCode>
                <c:ptCount val="1"/>
                <c:pt idx="0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0F2-4439-A729-5BF8040DD84C}"/>
            </c:ext>
          </c:extLst>
        </c:ser>
        <c:ser>
          <c:idx val="18"/>
          <c:order val="18"/>
          <c:tx>
            <c:strRef>
              <c:f>GRAFIK!$U$116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GRAFIK!$U$117</c:f>
              <c:numCache>
                <c:formatCode>_(* #,##0_);_(* \(#,##0\);_(* "-"_);_(@_)</c:formatCode>
                <c:ptCount val="1"/>
                <c:pt idx="0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0F2-4439-A729-5BF8040DD84C}"/>
            </c:ext>
          </c:extLst>
        </c:ser>
        <c:ser>
          <c:idx val="19"/>
          <c:order val="19"/>
          <c:tx>
            <c:strRef>
              <c:f>GRAFIK!$V$116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GRAFIK!$V$117</c:f>
              <c:numCache>
                <c:formatCode>_(* #,##0_);_(* \(#,##0\);_(* "-"_);_(@_)</c:formatCode>
                <c:ptCount val="1"/>
                <c:pt idx="0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0F2-4439-A729-5BF8040DD84C}"/>
            </c:ext>
          </c:extLst>
        </c:ser>
        <c:ser>
          <c:idx val="20"/>
          <c:order val="20"/>
          <c:tx>
            <c:strRef>
              <c:f>GRAFIK!$W$116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GRAFIK!$W$117</c:f>
              <c:numCache>
                <c:formatCode>_(* #,##0_);_(* \(#,##0\);_(* "-"_);_(@_)</c:formatCode>
                <c:ptCount val="1"/>
                <c:pt idx="0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0F2-4439-A729-5BF8040DD84C}"/>
            </c:ext>
          </c:extLst>
        </c:ser>
        <c:ser>
          <c:idx val="21"/>
          <c:order val="21"/>
          <c:tx>
            <c:strRef>
              <c:f>GRAFIK!$X$116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GRAFIK!$X$117</c:f>
              <c:numCache>
                <c:formatCode>_(* #,##0_);_(* \(#,##0\);_(* "-"_);_(@_)</c:formatCode>
                <c:ptCount val="1"/>
                <c:pt idx="0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0F2-4439-A729-5BF8040DD84C}"/>
            </c:ext>
          </c:extLst>
        </c:ser>
        <c:ser>
          <c:idx val="22"/>
          <c:order val="22"/>
          <c:tx>
            <c:strRef>
              <c:f>GRAFIK!$Y$116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GRAFIK!$Y$117</c:f>
              <c:numCache>
                <c:formatCode>_(* #,##0_);_(* \(#,##0\);_(* "-"_);_(@_)</c:formatCode>
                <c:ptCount val="1"/>
                <c:pt idx="0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0F2-4439-A729-5BF8040DD84C}"/>
            </c:ext>
          </c:extLst>
        </c:ser>
        <c:ser>
          <c:idx val="23"/>
          <c:order val="23"/>
          <c:tx>
            <c:strRef>
              <c:f>GRAFIK!$Z$116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GRAFIK!$Z$117</c:f>
              <c:numCache>
                <c:formatCode>_(* #,##0_);_(* \(#,##0\);_(* "-"_);_(@_)</c:formatCode>
                <c:ptCount val="1"/>
                <c:pt idx="0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0F2-4439-A729-5BF8040DD84C}"/>
            </c:ext>
          </c:extLst>
        </c:ser>
        <c:ser>
          <c:idx val="24"/>
          <c:order val="24"/>
          <c:tx>
            <c:strRef>
              <c:f>GRAFIK!$AA$116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GRAFIK!$AA$117</c:f>
              <c:numCache>
                <c:formatCode>_(* #,##0_);_(* \(#,##0\);_(* "-"_);_(@_)</c:formatCode>
                <c:ptCount val="1"/>
                <c:pt idx="0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0F2-4439-A729-5BF8040DD84C}"/>
            </c:ext>
          </c:extLst>
        </c:ser>
        <c:ser>
          <c:idx val="25"/>
          <c:order val="25"/>
          <c:tx>
            <c:strRef>
              <c:f>GRAFIK!$AB$116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GRAFIK!$AB$117</c:f>
              <c:numCache>
                <c:formatCode>_(* #,##0_);_(* \(#,##0\);_(* "-"_);_(@_)</c:formatCode>
                <c:ptCount val="1"/>
                <c:pt idx="0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30F2-4439-A729-5BF8040DD84C}"/>
            </c:ext>
          </c:extLst>
        </c:ser>
        <c:ser>
          <c:idx val="26"/>
          <c:order val="26"/>
          <c:tx>
            <c:strRef>
              <c:f>GRAFIK!$AC$116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GRAFIK!$AC$117</c:f>
              <c:numCache>
                <c:formatCode>_(* #,##0_);_(* \(#,##0\);_(* "-"_);_(@_)</c:formatCode>
                <c:ptCount val="1"/>
                <c:pt idx="0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0F2-4439-A729-5BF8040DD84C}"/>
            </c:ext>
          </c:extLst>
        </c:ser>
        <c:ser>
          <c:idx val="27"/>
          <c:order val="27"/>
          <c:tx>
            <c:strRef>
              <c:f>GRAFIK!$AD$116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GRAFIK!$AD$117</c:f>
              <c:numCache>
                <c:formatCode>_(* #,##0_);_(* \(#,##0\);_(* "-"_);_(@_)</c:formatCode>
                <c:ptCount val="1"/>
                <c:pt idx="0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30F2-4439-A729-5BF8040DD84C}"/>
            </c:ext>
          </c:extLst>
        </c:ser>
        <c:ser>
          <c:idx val="28"/>
          <c:order val="28"/>
          <c:tx>
            <c:strRef>
              <c:f>GRAFIK!$AE$116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GRAFIK!$AE$117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30F2-4439-A729-5BF8040DD84C}"/>
            </c:ext>
          </c:extLst>
        </c:ser>
        <c:ser>
          <c:idx val="29"/>
          <c:order val="29"/>
          <c:tx>
            <c:strRef>
              <c:f>GRAFIK!$AF$116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GRAFIK!$AF$117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30F2-4439-A729-5BF8040DD84C}"/>
            </c:ext>
          </c:extLst>
        </c:ser>
        <c:ser>
          <c:idx val="30"/>
          <c:order val="30"/>
          <c:tx>
            <c:strRef>
              <c:f>GRAFIK!$AG$116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GRAFIK!$A$117:$B$117</c:f>
              <c:strCache>
                <c:ptCount val="2"/>
                <c:pt idx="0">
                  <c:v>- Garam Halus (Cap Kapal)</c:v>
                </c:pt>
                <c:pt idx="1">
                  <c:v>250 Gr/Bngks</c:v>
                </c:pt>
              </c:strCache>
            </c:strRef>
          </c:cat>
          <c:val>
            <c:numRef>
              <c:f>GRAFIK!$AG$117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30F2-4439-A729-5BF8040DD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4690360"/>
        <c:axId val="584691000"/>
      </c:barChart>
      <c:catAx>
        <c:axId val="584690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4691000"/>
        <c:crosses val="autoZero"/>
        <c:auto val="1"/>
        <c:lblAlgn val="ctr"/>
        <c:lblOffset val="100"/>
        <c:noMultiLvlLbl val="0"/>
      </c:catAx>
      <c:valAx>
        <c:axId val="584691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4690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KACANG KEDELAI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GRAFIK!$C$149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GRAFIK!$C$150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35-4F65-ACE2-03E54AC25BBF}"/>
            </c:ext>
          </c:extLst>
        </c:ser>
        <c:ser>
          <c:idx val="1"/>
          <c:order val="1"/>
          <c:tx>
            <c:strRef>
              <c:f>GRAFIK!$D$149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GRAFIK!$D$150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35-4F65-ACE2-03E54AC25BBF}"/>
            </c:ext>
          </c:extLst>
        </c:ser>
        <c:ser>
          <c:idx val="2"/>
          <c:order val="2"/>
          <c:tx>
            <c:strRef>
              <c:f>GRAFIK!$E$149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GRAFIK!$E$150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35-4F65-ACE2-03E54AC25BBF}"/>
            </c:ext>
          </c:extLst>
        </c:ser>
        <c:ser>
          <c:idx val="3"/>
          <c:order val="3"/>
          <c:tx>
            <c:strRef>
              <c:f>GRAFIK!$F$149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GRAFIK!$F$150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35-4F65-ACE2-03E54AC25BBF}"/>
            </c:ext>
          </c:extLst>
        </c:ser>
        <c:ser>
          <c:idx val="4"/>
          <c:order val="4"/>
          <c:tx>
            <c:strRef>
              <c:f>GRAFIK!$G$149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GRAFIK!$G$150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35-4F65-ACE2-03E54AC25BBF}"/>
            </c:ext>
          </c:extLst>
        </c:ser>
        <c:ser>
          <c:idx val="5"/>
          <c:order val="5"/>
          <c:tx>
            <c:strRef>
              <c:f>GRAFIK!$H$149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GRAFIK!$H$150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E35-4F65-ACE2-03E54AC25BBF}"/>
            </c:ext>
          </c:extLst>
        </c:ser>
        <c:ser>
          <c:idx val="6"/>
          <c:order val="6"/>
          <c:tx>
            <c:strRef>
              <c:f>GRAFIK!$I$149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GRAFIK!$I$150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35-4F65-ACE2-03E54AC25BBF}"/>
            </c:ext>
          </c:extLst>
        </c:ser>
        <c:ser>
          <c:idx val="7"/>
          <c:order val="7"/>
          <c:tx>
            <c:strRef>
              <c:f>GRAFIK!$J$149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GRAFIK!$J$150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E35-4F65-ACE2-03E54AC25BBF}"/>
            </c:ext>
          </c:extLst>
        </c:ser>
        <c:ser>
          <c:idx val="8"/>
          <c:order val="8"/>
          <c:tx>
            <c:strRef>
              <c:f>GRAFIK!$K$149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GRAFIK!$K$150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E35-4F65-ACE2-03E54AC25BBF}"/>
            </c:ext>
          </c:extLst>
        </c:ser>
        <c:ser>
          <c:idx val="9"/>
          <c:order val="9"/>
          <c:tx>
            <c:strRef>
              <c:f>GRAFIK!$L$149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GRAFIK!$L$150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E35-4F65-ACE2-03E54AC25BBF}"/>
            </c:ext>
          </c:extLst>
        </c:ser>
        <c:ser>
          <c:idx val="10"/>
          <c:order val="10"/>
          <c:tx>
            <c:strRef>
              <c:f>GRAFIK!$M$149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GRAFIK!$M$150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E35-4F65-ACE2-03E54AC25BBF}"/>
            </c:ext>
          </c:extLst>
        </c:ser>
        <c:ser>
          <c:idx val="11"/>
          <c:order val="11"/>
          <c:tx>
            <c:strRef>
              <c:f>GRAFIK!$N$149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GRAFIK!$N$150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E35-4F65-ACE2-03E54AC25BBF}"/>
            </c:ext>
          </c:extLst>
        </c:ser>
        <c:ser>
          <c:idx val="12"/>
          <c:order val="12"/>
          <c:tx>
            <c:strRef>
              <c:f>GRAFIK!$O$149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GRAFIK!$O$150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E35-4F65-ACE2-03E54AC25BBF}"/>
            </c:ext>
          </c:extLst>
        </c:ser>
        <c:ser>
          <c:idx val="13"/>
          <c:order val="13"/>
          <c:tx>
            <c:strRef>
              <c:f>GRAFIK!$P$149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GRAFIK!$P$150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E35-4F65-ACE2-03E54AC25BBF}"/>
            </c:ext>
          </c:extLst>
        </c:ser>
        <c:ser>
          <c:idx val="14"/>
          <c:order val="14"/>
          <c:tx>
            <c:strRef>
              <c:f>GRAFIK!$Q$149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GRAFIK!$Q$150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E35-4F65-ACE2-03E54AC25BBF}"/>
            </c:ext>
          </c:extLst>
        </c:ser>
        <c:ser>
          <c:idx val="15"/>
          <c:order val="15"/>
          <c:tx>
            <c:strRef>
              <c:f>GRAFIK!$R$149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GRAFIK!$R$150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E35-4F65-ACE2-03E54AC25BBF}"/>
            </c:ext>
          </c:extLst>
        </c:ser>
        <c:ser>
          <c:idx val="16"/>
          <c:order val="16"/>
          <c:tx>
            <c:strRef>
              <c:f>GRAFIK!$S$149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GRAFIK!$S$150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E35-4F65-ACE2-03E54AC25BBF}"/>
            </c:ext>
          </c:extLst>
        </c:ser>
        <c:ser>
          <c:idx val="17"/>
          <c:order val="17"/>
          <c:tx>
            <c:strRef>
              <c:f>GRAFIK!$T$149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GRAFIK!$T$150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E35-4F65-ACE2-03E54AC25BBF}"/>
            </c:ext>
          </c:extLst>
        </c:ser>
        <c:ser>
          <c:idx val="18"/>
          <c:order val="18"/>
          <c:tx>
            <c:strRef>
              <c:f>GRAFIK!$U$149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GRAFIK!$U$150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E35-4F65-ACE2-03E54AC25BBF}"/>
            </c:ext>
          </c:extLst>
        </c:ser>
        <c:ser>
          <c:idx val="19"/>
          <c:order val="19"/>
          <c:tx>
            <c:strRef>
              <c:f>GRAFIK!$V$149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GRAFIK!$V$150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8E35-4F65-ACE2-03E54AC25BBF}"/>
            </c:ext>
          </c:extLst>
        </c:ser>
        <c:ser>
          <c:idx val="20"/>
          <c:order val="20"/>
          <c:tx>
            <c:strRef>
              <c:f>GRAFIK!$W$149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GRAFIK!$W$150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E35-4F65-ACE2-03E54AC25BBF}"/>
            </c:ext>
          </c:extLst>
        </c:ser>
        <c:ser>
          <c:idx val="21"/>
          <c:order val="21"/>
          <c:tx>
            <c:strRef>
              <c:f>GRAFIK!$X$149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GRAFIK!$X$150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E35-4F65-ACE2-03E54AC25BBF}"/>
            </c:ext>
          </c:extLst>
        </c:ser>
        <c:ser>
          <c:idx val="22"/>
          <c:order val="22"/>
          <c:tx>
            <c:strRef>
              <c:f>GRAFIK!$Y$149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GRAFIK!$Y$150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E35-4F65-ACE2-03E54AC25BBF}"/>
            </c:ext>
          </c:extLst>
        </c:ser>
        <c:ser>
          <c:idx val="23"/>
          <c:order val="23"/>
          <c:tx>
            <c:strRef>
              <c:f>GRAFIK!$Z$149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GRAFIK!$Z$150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8E35-4F65-ACE2-03E54AC25BBF}"/>
            </c:ext>
          </c:extLst>
        </c:ser>
        <c:ser>
          <c:idx val="24"/>
          <c:order val="24"/>
          <c:tx>
            <c:strRef>
              <c:f>GRAFIK!$AA$149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GRAFIK!$AA$150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E35-4F65-ACE2-03E54AC25BBF}"/>
            </c:ext>
          </c:extLst>
        </c:ser>
        <c:ser>
          <c:idx val="25"/>
          <c:order val="25"/>
          <c:tx>
            <c:strRef>
              <c:f>GRAFIK!$AB$149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GRAFIK!$AB$150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8E35-4F65-ACE2-03E54AC25BBF}"/>
            </c:ext>
          </c:extLst>
        </c:ser>
        <c:ser>
          <c:idx val="26"/>
          <c:order val="26"/>
          <c:tx>
            <c:strRef>
              <c:f>GRAFIK!$AC$149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GRAFIK!$AC$150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8E35-4F65-ACE2-03E54AC25BBF}"/>
            </c:ext>
          </c:extLst>
        </c:ser>
        <c:ser>
          <c:idx val="27"/>
          <c:order val="27"/>
          <c:tx>
            <c:strRef>
              <c:f>GRAFIK!$AD$149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GRAFIK!$AD$150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8E35-4F65-ACE2-03E54AC25BBF}"/>
            </c:ext>
          </c:extLst>
        </c:ser>
        <c:ser>
          <c:idx val="28"/>
          <c:order val="28"/>
          <c:tx>
            <c:strRef>
              <c:f>GRAFIK!$AE$149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GRAFIK!$AE$150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8E35-4F65-ACE2-03E54AC25BBF}"/>
            </c:ext>
          </c:extLst>
        </c:ser>
        <c:ser>
          <c:idx val="29"/>
          <c:order val="29"/>
          <c:tx>
            <c:strRef>
              <c:f>GRAFIK!$AF$149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GRAFIK!$AF$150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E35-4F65-ACE2-03E54AC25BBF}"/>
            </c:ext>
          </c:extLst>
        </c:ser>
        <c:ser>
          <c:idx val="30"/>
          <c:order val="30"/>
          <c:tx>
            <c:strRef>
              <c:f>GRAFIK!$AG$149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GRAFIK!$A$150:$B$150</c:f>
              <c:strCache>
                <c:ptCount val="2"/>
                <c:pt idx="0">
                  <c:v>- Kacang Kedelai (Kualitas Import)</c:v>
                </c:pt>
                <c:pt idx="1">
                  <c:v>Kg</c:v>
                </c:pt>
              </c:strCache>
            </c:strRef>
          </c:cat>
          <c:val>
            <c:numRef>
              <c:f>GRAFIK!$AG$150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8E35-4F65-ACE2-03E54AC25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818640"/>
        <c:axId val="517820880"/>
      </c:barChart>
      <c:catAx>
        <c:axId val="51781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17820880"/>
        <c:crosses val="autoZero"/>
        <c:auto val="1"/>
        <c:lblAlgn val="ctr"/>
        <c:lblOffset val="100"/>
        <c:noMultiLvlLbl val="0"/>
      </c:catAx>
      <c:valAx>
        <c:axId val="51782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1781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CABE MERAH BESAR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GRAFIK!$C$169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GRAFIK!$C$170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3-42AC-9A67-E57EFA1BF1AA}"/>
            </c:ext>
          </c:extLst>
        </c:ser>
        <c:ser>
          <c:idx val="1"/>
          <c:order val="1"/>
          <c:tx>
            <c:strRef>
              <c:f>GRAFIK!$D$169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GRAFIK!$D$170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A3-42AC-9A67-E57EFA1BF1AA}"/>
            </c:ext>
          </c:extLst>
        </c:ser>
        <c:ser>
          <c:idx val="2"/>
          <c:order val="2"/>
          <c:tx>
            <c:strRef>
              <c:f>GRAFIK!$E$169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GRAFIK!$E$170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A3-42AC-9A67-E57EFA1BF1AA}"/>
            </c:ext>
          </c:extLst>
        </c:ser>
        <c:ser>
          <c:idx val="3"/>
          <c:order val="3"/>
          <c:tx>
            <c:strRef>
              <c:f>GRAFIK!$F$169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GRAFIK!$F$170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A3-42AC-9A67-E57EFA1BF1AA}"/>
            </c:ext>
          </c:extLst>
        </c:ser>
        <c:ser>
          <c:idx val="4"/>
          <c:order val="4"/>
          <c:tx>
            <c:strRef>
              <c:f>GRAFIK!$G$169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GRAFIK!$G$170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A3-42AC-9A67-E57EFA1BF1AA}"/>
            </c:ext>
          </c:extLst>
        </c:ser>
        <c:ser>
          <c:idx val="5"/>
          <c:order val="5"/>
          <c:tx>
            <c:strRef>
              <c:f>GRAFIK!$H$169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GRAFIK!$H$170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A3-42AC-9A67-E57EFA1BF1AA}"/>
            </c:ext>
          </c:extLst>
        </c:ser>
        <c:ser>
          <c:idx val="6"/>
          <c:order val="6"/>
          <c:tx>
            <c:strRef>
              <c:f>GRAFIK!$I$169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GRAFIK!$I$170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A3-42AC-9A67-E57EFA1BF1AA}"/>
            </c:ext>
          </c:extLst>
        </c:ser>
        <c:ser>
          <c:idx val="7"/>
          <c:order val="7"/>
          <c:tx>
            <c:strRef>
              <c:f>GRAFIK!$J$169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GRAFIK!$J$170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5A3-42AC-9A67-E57EFA1BF1AA}"/>
            </c:ext>
          </c:extLst>
        </c:ser>
        <c:ser>
          <c:idx val="8"/>
          <c:order val="8"/>
          <c:tx>
            <c:strRef>
              <c:f>GRAFIK!$K$169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GRAFIK!$K$170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5A3-42AC-9A67-E57EFA1BF1AA}"/>
            </c:ext>
          </c:extLst>
        </c:ser>
        <c:ser>
          <c:idx val="9"/>
          <c:order val="9"/>
          <c:tx>
            <c:strRef>
              <c:f>GRAFIK!$L$169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GRAFIK!$L$170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5A3-42AC-9A67-E57EFA1BF1AA}"/>
            </c:ext>
          </c:extLst>
        </c:ser>
        <c:ser>
          <c:idx val="10"/>
          <c:order val="10"/>
          <c:tx>
            <c:strRef>
              <c:f>GRAFIK!$M$169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GRAFIK!$M$170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5A3-42AC-9A67-E57EFA1BF1AA}"/>
            </c:ext>
          </c:extLst>
        </c:ser>
        <c:ser>
          <c:idx val="11"/>
          <c:order val="11"/>
          <c:tx>
            <c:strRef>
              <c:f>GRAFIK!$N$169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GRAFIK!$N$170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5A3-42AC-9A67-E57EFA1BF1AA}"/>
            </c:ext>
          </c:extLst>
        </c:ser>
        <c:ser>
          <c:idx val="12"/>
          <c:order val="12"/>
          <c:tx>
            <c:strRef>
              <c:f>GRAFIK!$O$169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GRAFIK!$O$170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5A3-42AC-9A67-E57EFA1BF1AA}"/>
            </c:ext>
          </c:extLst>
        </c:ser>
        <c:ser>
          <c:idx val="13"/>
          <c:order val="13"/>
          <c:tx>
            <c:strRef>
              <c:f>GRAFIK!$P$169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GRAFIK!$P$170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5A3-42AC-9A67-E57EFA1BF1AA}"/>
            </c:ext>
          </c:extLst>
        </c:ser>
        <c:ser>
          <c:idx val="14"/>
          <c:order val="14"/>
          <c:tx>
            <c:strRef>
              <c:f>GRAFIK!$Q$169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GRAFIK!$Q$170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5A3-42AC-9A67-E57EFA1BF1AA}"/>
            </c:ext>
          </c:extLst>
        </c:ser>
        <c:ser>
          <c:idx val="15"/>
          <c:order val="15"/>
          <c:tx>
            <c:strRef>
              <c:f>GRAFIK!$R$169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GRAFIK!$R$170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5A3-42AC-9A67-E57EFA1BF1AA}"/>
            </c:ext>
          </c:extLst>
        </c:ser>
        <c:ser>
          <c:idx val="16"/>
          <c:order val="16"/>
          <c:tx>
            <c:strRef>
              <c:f>GRAFIK!$S$169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GRAFIK!$S$170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5A3-42AC-9A67-E57EFA1BF1AA}"/>
            </c:ext>
          </c:extLst>
        </c:ser>
        <c:ser>
          <c:idx val="17"/>
          <c:order val="17"/>
          <c:tx>
            <c:strRef>
              <c:f>GRAFIK!$T$169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GRAFIK!$T$170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5A3-42AC-9A67-E57EFA1BF1AA}"/>
            </c:ext>
          </c:extLst>
        </c:ser>
        <c:ser>
          <c:idx val="18"/>
          <c:order val="18"/>
          <c:tx>
            <c:strRef>
              <c:f>GRAFIK!$U$169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GRAFIK!$U$170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5A3-42AC-9A67-E57EFA1BF1AA}"/>
            </c:ext>
          </c:extLst>
        </c:ser>
        <c:ser>
          <c:idx val="19"/>
          <c:order val="19"/>
          <c:tx>
            <c:strRef>
              <c:f>GRAFIK!$V$169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GRAFIK!$V$170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5A3-42AC-9A67-E57EFA1BF1AA}"/>
            </c:ext>
          </c:extLst>
        </c:ser>
        <c:ser>
          <c:idx val="20"/>
          <c:order val="20"/>
          <c:tx>
            <c:strRef>
              <c:f>GRAFIK!$W$169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GRAFIK!$W$170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5A3-42AC-9A67-E57EFA1BF1AA}"/>
            </c:ext>
          </c:extLst>
        </c:ser>
        <c:ser>
          <c:idx val="21"/>
          <c:order val="21"/>
          <c:tx>
            <c:strRef>
              <c:f>GRAFIK!$X$169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GRAFIK!$X$170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5A3-42AC-9A67-E57EFA1BF1AA}"/>
            </c:ext>
          </c:extLst>
        </c:ser>
        <c:ser>
          <c:idx val="22"/>
          <c:order val="22"/>
          <c:tx>
            <c:strRef>
              <c:f>GRAFIK!$Y$169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GRAFIK!$Y$170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5A3-42AC-9A67-E57EFA1BF1AA}"/>
            </c:ext>
          </c:extLst>
        </c:ser>
        <c:ser>
          <c:idx val="23"/>
          <c:order val="23"/>
          <c:tx>
            <c:strRef>
              <c:f>GRAFIK!$Z$169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GRAFIK!$Z$170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5A3-42AC-9A67-E57EFA1BF1AA}"/>
            </c:ext>
          </c:extLst>
        </c:ser>
        <c:ser>
          <c:idx val="24"/>
          <c:order val="24"/>
          <c:tx>
            <c:strRef>
              <c:f>GRAFIK!$AA$169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GRAFIK!$AA$170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A3-42AC-9A67-E57EFA1BF1AA}"/>
            </c:ext>
          </c:extLst>
        </c:ser>
        <c:ser>
          <c:idx val="25"/>
          <c:order val="25"/>
          <c:tx>
            <c:strRef>
              <c:f>GRAFIK!$AB$169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GRAFIK!$AB$170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5A3-42AC-9A67-E57EFA1BF1AA}"/>
            </c:ext>
          </c:extLst>
        </c:ser>
        <c:ser>
          <c:idx val="26"/>
          <c:order val="26"/>
          <c:tx>
            <c:strRef>
              <c:f>GRAFIK!$AC$169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GRAFIK!$AC$170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5A3-42AC-9A67-E57EFA1BF1AA}"/>
            </c:ext>
          </c:extLst>
        </c:ser>
        <c:ser>
          <c:idx val="27"/>
          <c:order val="27"/>
          <c:tx>
            <c:strRef>
              <c:f>GRAFIK!$AD$169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GRAFIK!$AD$170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5A3-42AC-9A67-E57EFA1BF1AA}"/>
            </c:ext>
          </c:extLst>
        </c:ser>
        <c:ser>
          <c:idx val="28"/>
          <c:order val="28"/>
          <c:tx>
            <c:strRef>
              <c:f>GRAFIK!$AE$169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GRAFIK!$AE$170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5A3-42AC-9A67-E57EFA1BF1AA}"/>
            </c:ext>
          </c:extLst>
        </c:ser>
        <c:ser>
          <c:idx val="29"/>
          <c:order val="29"/>
          <c:tx>
            <c:strRef>
              <c:f>GRAFIK!$AF$169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GRAFIK!$AF$170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5A3-42AC-9A67-E57EFA1BF1AA}"/>
            </c:ext>
          </c:extLst>
        </c:ser>
        <c:ser>
          <c:idx val="30"/>
          <c:order val="30"/>
          <c:tx>
            <c:strRef>
              <c:f>GRAFIK!$AG$169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GRAFIK!$A$170:$B$170</c:f>
              <c:strCache>
                <c:ptCount val="2"/>
                <c:pt idx="0">
                  <c:v>- Cabe Merah Besar</c:v>
                </c:pt>
                <c:pt idx="1">
                  <c:v>Kg</c:v>
                </c:pt>
              </c:strCache>
            </c:strRef>
          </c:cat>
          <c:val>
            <c:numRef>
              <c:f>GRAFIK!$AG$170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5A3-42AC-9A67-E57EFA1BF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2343288"/>
        <c:axId val="592342968"/>
      </c:barChart>
      <c:catAx>
        <c:axId val="592343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92342968"/>
        <c:crosses val="autoZero"/>
        <c:auto val="1"/>
        <c:lblAlgn val="ctr"/>
        <c:lblOffset val="100"/>
        <c:noMultiLvlLbl val="0"/>
      </c:catAx>
      <c:valAx>
        <c:axId val="59234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92343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CABE MERAH KERITING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GRAFIK!$C$169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GRAFIK!$C$171</c:f>
              <c:numCache>
                <c:formatCode>_(* #,##0_);_(* \(#,##0\);_(* "-"_);_(@_)</c:formatCode>
                <c:ptCount val="1"/>
                <c:pt idx="0">
                  <c:v>13916.666666666666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2A-4472-8DB4-57A2CDC5256D}"/>
            </c:ext>
          </c:extLst>
        </c:ser>
        <c:ser>
          <c:idx val="1"/>
          <c:order val="1"/>
          <c:tx>
            <c:strRef>
              <c:f>GRAFIK!$D$169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GRAFIK!$D$171</c:f>
              <c:numCache>
                <c:formatCode>_(* #,##0_);_(* \(#,##0\);_(* "-"_);_(@_)</c:formatCode>
                <c:ptCount val="1"/>
                <c:pt idx="0">
                  <c:v>13916.666666666666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2A-4472-8DB4-57A2CDC5256D}"/>
            </c:ext>
          </c:extLst>
        </c:ser>
        <c:ser>
          <c:idx val="2"/>
          <c:order val="2"/>
          <c:tx>
            <c:strRef>
              <c:f>GRAFIK!$E$169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GRAFIK!$E$171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2A-4472-8DB4-57A2CDC5256D}"/>
            </c:ext>
          </c:extLst>
        </c:ser>
        <c:ser>
          <c:idx val="3"/>
          <c:order val="3"/>
          <c:tx>
            <c:strRef>
              <c:f>GRAFIK!$F$169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GRAFIK!$F$171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2A-4472-8DB4-57A2CDC5256D}"/>
            </c:ext>
          </c:extLst>
        </c:ser>
        <c:ser>
          <c:idx val="4"/>
          <c:order val="4"/>
          <c:tx>
            <c:strRef>
              <c:f>GRAFIK!$G$169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GRAFIK!$G$171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2A-4472-8DB4-57A2CDC5256D}"/>
            </c:ext>
          </c:extLst>
        </c:ser>
        <c:ser>
          <c:idx val="5"/>
          <c:order val="5"/>
          <c:tx>
            <c:strRef>
              <c:f>GRAFIK!$H$169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GRAFIK!$H$171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2A-4472-8DB4-57A2CDC5256D}"/>
            </c:ext>
          </c:extLst>
        </c:ser>
        <c:ser>
          <c:idx val="6"/>
          <c:order val="6"/>
          <c:tx>
            <c:strRef>
              <c:f>GRAFIK!$I$169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GRAFIK!$I$171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2A-4472-8DB4-57A2CDC5256D}"/>
            </c:ext>
          </c:extLst>
        </c:ser>
        <c:ser>
          <c:idx val="7"/>
          <c:order val="7"/>
          <c:tx>
            <c:strRef>
              <c:f>GRAFIK!$J$169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GRAFIK!$J$171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12A-4472-8DB4-57A2CDC5256D}"/>
            </c:ext>
          </c:extLst>
        </c:ser>
        <c:ser>
          <c:idx val="8"/>
          <c:order val="8"/>
          <c:tx>
            <c:strRef>
              <c:f>GRAFIK!$K$169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GRAFIK!$K$171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12A-4472-8DB4-57A2CDC5256D}"/>
            </c:ext>
          </c:extLst>
        </c:ser>
        <c:ser>
          <c:idx val="9"/>
          <c:order val="9"/>
          <c:tx>
            <c:strRef>
              <c:f>GRAFIK!$L$169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GRAFIK!$L$171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12A-4472-8DB4-57A2CDC5256D}"/>
            </c:ext>
          </c:extLst>
        </c:ser>
        <c:ser>
          <c:idx val="10"/>
          <c:order val="10"/>
          <c:tx>
            <c:strRef>
              <c:f>GRAFIK!$M$169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GRAFIK!$M$171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12A-4472-8DB4-57A2CDC5256D}"/>
            </c:ext>
          </c:extLst>
        </c:ser>
        <c:ser>
          <c:idx val="11"/>
          <c:order val="11"/>
          <c:tx>
            <c:strRef>
              <c:f>GRAFIK!$N$169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GRAFIK!$N$171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12A-4472-8DB4-57A2CDC5256D}"/>
            </c:ext>
          </c:extLst>
        </c:ser>
        <c:ser>
          <c:idx val="12"/>
          <c:order val="12"/>
          <c:tx>
            <c:strRef>
              <c:f>GRAFIK!$O$169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GRAFIK!$O$171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12A-4472-8DB4-57A2CDC5256D}"/>
            </c:ext>
          </c:extLst>
        </c:ser>
        <c:ser>
          <c:idx val="13"/>
          <c:order val="13"/>
          <c:tx>
            <c:strRef>
              <c:f>GRAFIK!$P$169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GRAFIK!$P$171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12A-4472-8DB4-57A2CDC5256D}"/>
            </c:ext>
          </c:extLst>
        </c:ser>
        <c:ser>
          <c:idx val="14"/>
          <c:order val="14"/>
          <c:tx>
            <c:strRef>
              <c:f>GRAFIK!$Q$169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GRAFIK!$Q$171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12A-4472-8DB4-57A2CDC5256D}"/>
            </c:ext>
          </c:extLst>
        </c:ser>
        <c:ser>
          <c:idx val="15"/>
          <c:order val="15"/>
          <c:tx>
            <c:strRef>
              <c:f>GRAFIK!$R$169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GRAFIK!$R$171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12A-4472-8DB4-57A2CDC5256D}"/>
            </c:ext>
          </c:extLst>
        </c:ser>
        <c:ser>
          <c:idx val="16"/>
          <c:order val="16"/>
          <c:tx>
            <c:strRef>
              <c:f>GRAFIK!$S$169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GRAFIK!$S$171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12A-4472-8DB4-57A2CDC5256D}"/>
            </c:ext>
          </c:extLst>
        </c:ser>
        <c:ser>
          <c:idx val="17"/>
          <c:order val="17"/>
          <c:tx>
            <c:strRef>
              <c:f>GRAFIK!$T$169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GRAFIK!$T$171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12A-4472-8DB4-57A2CDC5256D}"/>
            </c:ext>
          </c:extLst>
        </c:ser>
        <c:ser>
          <c:idx val="18"/>
          <c:order val="18"/>
          <c:tx>
            <c:strRef>
              <c:f>GRAFIK!$U$169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GRAFIK!$U$171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12A-4472-8DB4-57A2CDC5256D}"/>
            </c:ext>
          </c:extLst>
        </c:ser>
        <c:ser>
          <c:idx val="19"/>
          <c:order val="19"/>
          <c:tx>
            <c:strRef>
              <c:f>GRAFIK!$V$169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GRAFIK!$V$171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12A-4472-8DB4-57A2CDC5256D}"/>
            </c:ext>
          </c:extLst>
        </c:ser>
        <c:ser>
          <c:idx val="20"/>
          <c:order val="20"/>
          <c:tx>
            <c:strRef>
              <c:f>GRAFIK!$W$169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GRAFIK!$W$171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12A-4472-8DB4-57A2CDC5256D}"/>
            </c:ext>
          </c:extLst>
        </c:ser>
        <c:ser>
          <c:idx val="21"/>
          <c:order val="21"/>
          <c:tx>
            <c:strRef>
              <c:f>GRAFIK!$X$169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GRAFIK!$X$171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12A-4472-8DB4-57A2CDC5256D}"/>
            </c:ext>
          </c:extLst>
        </c:ser>
        <c:ser>
          <c:idx val="22"/>
          <c:order val="22"/>
          <c:tx>
            <c:strRef>
              <c:f>GRAFIK!$Y$169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GRAFIK!$Y$171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12A-4472-8DB4-57A2CDC5256D}"/>
            </c:ext>
          </c:extLst>
        </c:ser>
        <c:ser>
          <c:idx val="23"/>
          <c:order val="23"/>
          <c:tx>
            <c:strRef>
              <c:f>GRAFIK!$Z$169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GRAFIK!$Z$171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12A-4472-8DB4-57A2CDC5256D}"/>
            </c:ext>
          </c:extLst>
        </c:ser>
        <c:ser>
          <c:idx val="24"/>
          <c:order val="24"/>
          <c:tx>
            <c:strRef>
              <c:f>GRAFIK!$AA$169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GRAFIK!$AA$171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12A-4472-8DB4-57A2CDC5256D}"/>
            </c:ext>
          </c:extLst>
        </c:ser>
        <c:ser>
          <c:idx val="25"/>
          <c:order val="25"/>
          <c:tx>
            <c:strRef>
              <c:f>GRAFIK!$AB$169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GRAFIK!$AB$171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12A-4472-8DB4-57A2CDC5256D}"/>
            </c:ext>
          </c:extLst>
        </c:ser>
        <c:ser>
          <c:idx val="26"/>
          <c:order val="26"/>
          <c:tx>
            <c:strRef>
              <c:f>GRAFIK!$AC$169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GRAFIK!$AC$171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12A-4472-8DB4-57A2CDC5256D}"/>
            </c:ext>
          </c:extLst>
        </c:ser>
        <c:ser>
          <c:idx val="27"/>
          <c:order val="27"/>
          <c:tx>
            <c:strRef>
              <c:f>GRAFIK!$AD$169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GRAFIK!$AD$171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912A-4472-8DB4-57A2CDC5256D}"/>
            </c:ext>
          </c:extLst>
        </c:ser>
        <c:ser>
          <c:idx val="28"/>
          <c:order val="28"/>
          <c:tx>
            <c:strRef>
              <c:f>GRAFIK!$AE$169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GRAFIK!$AE$171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12A-4472-8DB4-57A2CDC5256D}"/>
            </c:ext>
          </c:extLst>
        </c:ser>
        <c:ser>
          <c:idx val="29"/>
          <c:order val="29"/>
          <c:tx>
            <c:strRef>
              <c:f>GRAFIK!$AF$169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GRAFIK!$AF$171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12A-4472-8DB4-57A2CDC5256D}"/>
            </c:ext>
          </c:extLst>
        </c:ser>
        <c:ser>
          <c:idx val="30"/>
          <c:order val="30"/>
          <c:tx>
            <c:strRef>
              <c:f>GRAFIK!$AG$169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GRAFIK!$A$171:$B$171</c:f>
              <c:strCache>
                <c:ptCount val="2"/>
                <c:pt idx="0">
                  <c:v>- Cabe Merah Kriting</c:v>
                </c:pt>
                <c:pt idx="1">
                  <c:v>Kg</c:v>
                </c:pt>
              </c:strCache>
            </c:strRef>
          </c:cat>
          <c:val>
            <c:numRef>
              <c:f>GRAFIK!$AG$171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912A-4472-8DB4-57A2CDC52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360712"/>
        <c:axId val="581358792"/>
      </c:barChart>
      <c:catAx>
        <c:axId val="581360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1358792"/>
        <c:crosses val="autoZero"/>
        <c:auto val="1"/>
        <c:lblAlgn val="ctr"/>
        <c:lblOffset val="100"/>
        <c:noMultiLvlLbl val="0"/>
      </c:catAx>
      <c:valAx>
        <c:axId val="581358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1360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CABE RAWIT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GRAFIK!$C$169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GRAFIK!$C$172</c:f>
              <c:numCache>
                <c:formatCode>_(* #,##0_);_(* \(#,##0\);_(* "-"_);_(@_)</c:formatCode>
                <c:ptCount val="1"/>
                <c:pt idx="0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A-47BB-826D-736297E9AEC6}"/>
            </c:ext>
          </c:extLst>
        </c:ser>
        <c:ser>
          <c:idx val="1"/>
          <c:order val="1"/>
          <c:tx>
            <c:strRef>
              <c:f>GRAFIK!$D$169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GRAFIK!$D$172</c:f>
              <c:numCache>
                <c:formatCode>_(* #,##0_);_(* \(#,##0\);_(* "-"_);_(@_)</c:formatCode>
                <c:ptCount val="1"/>
                <c:pt idx="0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3A-47BB-826D-736297E9AEC6}"/>
            </c:ext>
          </c:extLst>
        </c:ser>
        <c:ser>
          <c:idx val="2"/>
          <c:order val="2"/>
          <c:tx>
            <c:strRef>
              <c:f>GRAFIK!$E$169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GRAFIK!$E$172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3A-47BB-826D-736297E9AEC6}"/>
            </c:ext>
          </c:extLst>
        </c:ser>
        <c:ser>
          <c:idx val="3"/>
          <c:order val="3"/>
          <c:tx>
            <c:strRef>
              <c:f>GRAFIK!$F$169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GRAFIK!$F$172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3A-47BB-826D-736297E9AEC6}"/>
            </c:ext>
          </c:extLst>
        </c:ser>
        <c:ser>
          <c:idx val="4"/>
          <c:order val="4"/>
          <c:tx>
            <c:strRef>
              <c:f>GRAFIK!$G$169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GRAFIK!$G$172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3A-47BB-826D-736297E9AEC6}"/>
            </c:ext>
          </c:extLst>
        </c:ser>
        <c:ser>
          <c:idx val="5"/>
          <c:order val="5"/>
          <c:tx>
            <c:strRef>
              <c:f>GRAFIK!$H$169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GRAFIK!$H$172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3A-47BB-826D-736297E9AEC6}"/>
            </c:ext>
          </c:extLst>
        </c:ser>
        <c:ser>
          <c:idx val="6"/>
          <c:order val="6"/>
          <c:tx>
            <c:strRef>
              <c:f>GRAFIK!$I$169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GRAFIK!$I$172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3A-47BB-826D-736297E9AEC6}"/>
            </c:ext>
          </c:extLst>
        </c:ser>
        <c:ser>
          <c:idx val="7"/>
          <c:order val="7"/>
          <c:tx>
            <c:strRef>
              <c:f>GRAFIK!$J$169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GRAFIK!$J$172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43A-47BB-826D-736297E9AEC6}"/>
            </c:ext>
          </c:extLst>
        </c:ser>
        <c:ser>
          <c:idx val="8"/>
          <c:order val="8"/>
          <c:tx>
            <c:strRef>
              <c:f>GRAFIK!$K$169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GRAFIK!$K$172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43A-47BB-826D-736297E9AEC6}"/>
            </c:ext>
          </c:extLst>
        </c:ser>
        <c:ser>
          <c:idx val="9"/>
          <c:order val="9"/>
          <c:tx>
            <c:strRef>
              <c:f>GRAFIK!$L$169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GRAFIK!$L$172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43A-47BB-826D-736297E9AEC6}"/>
            </c:ext>
          </c:extLst>
        </c:ser>
        <c:ser>
          <c:idx val="10"/>
          <c:order val="10"/>
          <c:tx>
            <c:strRef>
              <c:f>GRAFIK!$M$169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GRAFIK!$M$172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43A-47BB-826D-736297E9AEC6}"/>
            </c:ext>
          </c:extLst>
        </c:ser>
        <c:ser>
          <c:idx val="11"/>
          <c:order val="11"/>
          <c:tx>
            <c:strRef>
              <c:f>GRAFIK!$N$169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GRAFIK!$N$172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43A-47BB-826D-736297E9AEC6}"/>
            </c:ext>
          </c:extLst>
        </c:ser>
        <c:ser>
          <c:idx val="12"/>
          <c:order val="12"/>
          <c:tx>
            <c:strRef>
              <c:f>GRAFIK!$O$169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GRAFIK!$O$172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43A-47BB-826D-736297E9AEC6}"/>
            </c:ext>
          </c:extLst>
        </c:ser>
        <c:ser>
          <c:idx val="13"/>
          <c:order val="13"/>
          <c:tx>
            <c:strRef>
              <c:f>GRAFIK!$P$169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GRAFIK!$P$172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43A-47BB-826D-736297E9AEC6}"/>
            </c:ext>
          </c:extLst>
        </c:ser>
        <c:ser>
          <c:idx val="14"/>
          <c:order val="14"/>
          <c:tx>
            <c:strRef>
              <c:f>GRAFIK!$Q$169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GRAFIK!$Q$172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43A-47BB-826D-736297E9AEC6}"/>
            </c:ext>
          </c:extLst>
        </c:ser>
        <c:ser>
          <c:idx val="15"/>
          <c:order val="15"/>
          <c:tx>
            <c:strRef>
              <c:f>GRAFIK!$R$169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GRAFIK!$R$172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43A-47BB-826D-736297E9AEC6}"/>
            </c:ext>
          </c:extLst>
        </c:ser>
        <c:ser>
          <c:idx val="16"/>
          <c:order val="16"/>
          <c:tx>
            <c:strRef>
              <c:f>GRAFIK!$S$169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GRAFIK!$S$172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43A-47BB-826D-736297E9AEC6}"/>
            </c:ext>
          </c:extLst>
        </c:ser>
        <c:ser>
          <c:idx val="17"/>
          <c:order val="17"/>
          <c:tx>
            <c:strRef>
              <c:f>GRAFIK!$T$169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GRAFIK!$T$172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43A-47BB-826D-736297E9AEC6}"/>
            </c:ext>
          </c:extLst>
        </c:ser>
        <c:ser>
          <c:idx val="18"/>
          <c:order val="18"/>
          <c:tx>
            <c:strRef>
              <c:f>GRAFIK!$U$169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GRAFIK!$U$172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43A-47BB-826D-736297E9AEC6}"/>
            </c:ext>
          </c:extLst>
        </c:ser>
        <c:ser>
          <c:idx val="19"/>
          <c:order val="19"/>
          <c:tx>
            <c:strRef>
              <c:f>GRAFIK!$V$169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GRAFIK!$V$172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43A-47BB-826D-736297E9AEC6}"/>
            </c:ext>
          </c:extLst>
        </c:ser>
        <c:ser>
          <c:idx val="20"/>
          <c:order val="20"/>
          <c:tx>
            <c:strRef>
              <c:f>GRAFIK!$W$169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GRAFIK!$W$172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43A-47BB-826D-736297E9AEC6}"/>
            </c:ext>
          </c:extLst>
        </c:ser>
        <c:ser>
          <c:idx val="21"/>
          <c:order val="21"/>
          <c:tx>
            <c:strRef>
              <c:f>GRAFIK!$X$169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GRAFIK!$X$172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43A-47BB-826D-736297E9AEC6}"/>
            </c:ext>
          </c:extLst>
        </c:ser>
        <c:ser>
          <c:idx val="22"/>
          <c:order val="22"/>
          <c:tx>
            <c:strRef>
              <c:f>GRAFIK!$Y$169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GRAFIK!$Y$172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43A-47BB-826D-736297E9AEC6}"/>
            </c:ext>
          </c:extLst>
        </c:ser>
        <c:ser>
          <c:idx val="23"/>
          <c:order val="23"/>
          <c:tx>
            <c:strRef>
              <c:f>GRAFIK!$Z$169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GRAFIK!$Z$172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43A-47BB-826D-736297E9AEC6}"/>
            </c:ext>
          </c:extLst>
        </c:ser>
        <c:ser>
          <c:idx val="24"/>
          <c:order val="24"/>
          <c:tx>
            <c:strRef>
              <c:f>GRAFIK!$AA$169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GRAFIK!$AA$172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43A-47BB-826D-736297E9AEC6}"/>
            </c:ext>
          </c:extLst>
        </c:ser>
        <c:ser>
          <c:idx val="25"/>
          <c:order val="25"/>
          <c:tx>
            <c:strRef>
              <c:f>GRAFIK!$AB$169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GRAFIK!$AB$172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43A-47BB-826D-736297E9AEC6}"/>
            </c:ext>
          </c:extLst>
        </c:ser>
        <c:ser>
          <c:idx val="26"/>
          <c:order val="26"/>
          <c:tx>
            <c:strRef>
              <c:f>GRAFIK!$AC$169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GRAFIK!$AC$172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43A-47BB-826D-736297E9AEC6}"/>
            </c:ext>
          </c:extLst>
        </c:ser>
        <c:ser>
          <c:idx val="27"/>
          <c:order val="27"/>
          <c:tx>
            <c:strRef>
              <c:f>GRAFIK!$AD$169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GRAFIK!$AD$172</c:f>
              <c:numCache>
                <c:formatCode>_(* #,##0_);_(* \(#,##0\);_(* "-"_);_(@_)</c:formatCode>
                <c:ptCount val="1"/>
                <c:pt idx="0">
                  <c:v>14250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943A-47BB-826D-736297E9AEC6}"/>
            </c:ext>
          </c:extLst>
        </c:ser>
        <c:ser>
          <c:idx val="28"/>
          <c:order val="28"/>
          <c:tx>
            <c:strRef>
              <c:f>GRAFIK!$AE$169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GRAFIK!$AE$172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43A-47BB-826D-736297E9AEC6}"/>
            </c:ext>
          </c:extLst>
        </c:ser>
        <c:ser>
          <c:idx val="29"/>
          <c:order val="29"/>
          <c:tx>
            <c:strRef>
              <c:f>GRAFIK!$AF$169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GRAFIK!$AF$172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43A-47BB-826D-736297E9AEC6}"/>
            </c:ext>
          </c:extLst>
        </c:ser>
        <c:ser>
          <c:idx val="30"/>
          <c:order val="30"/>
          <c:tx>
            <c:strRef>
              <c:f>GRAFIK!$AG$169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GRAFIK!$A$172:$B$172</c:f>
              <c:strCache>
                <c:ptCount val="2"/>
                <c:pt idx="0">
                  <c:v>- Cabe Merah Kecil-Rawit</c:v>
                </c:pt>
                <c:pt idx="1">
                  <c:v>Kg</c:v>
                </c:pt>
              </c:strCache>
            </c:strRef>
          </c:cat>
          <c:val>
            <c:numRef>
              <c:f>GRAFIK!$AG$172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943A-47BB-826D-736297E9A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354952"/>
        <c:axId val="581355912"/>
      </c:barChart>
      <c:catAx>
        <c:axId val="581354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1355912"/>
        <c:crosses val="autoZero"/>
        <c:auto val="1"/>
        <c:lblAlgn val="ctr"/>
        <c:lblOffset val="100"/>
        <c:noMultiLvlLbl val="0"/>
      </c:catAx>
      <c:valAx>
        <c:axId val="58135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1354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BAWANG PUTIH KATING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GRAFIK!$C$193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GRAFIK!$C$194</c:f>
              <c:numCache>
                <c:formatCode>_(* #,##0_);_(* \(#,##0\);_(* "-"_);_(@_)</c:formatCode>
                <c:ptCount val="1"/>
                <c:pt idx="0">
                  <c:v>3116.6666666666665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20-4732-A6F4-F56EEFA85435}"/>
            </c:ext>
          </c:extLst>
        </c:ser>
        <c:ser>
          <c:idx val="1"/>
          <c:order val="1"/>
          <c:tx>
            <c:strRef>
              <c:f>GRAFIK!$D$193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GRAFIK!$D$194</c:f>
              <c:numCache>
                <c:formatCode>_(* #,##0_);_(* \(#,##0\);_(* "-"_);_(@_)</c:formatCode>
                <c:ptCount val="1"/>
                <c:pt idx="0">
                  <c:v>3116.6666666666665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20-4732-A6F4-F56EEFA85435}"/>
            </c:ext>
          </c:extLst>
        </c:ser>
        <c:ser>
          <c:idx val="2"/>
          <c:order val="2"/>
          <c:tx>
            <c:strRef>
              <c:f>GRAFIK!$E$193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GRAFIK!$E$194</c:f>
              <c:numCache>
                <c:formatCode>_(* #,##0_);_(* \(#,##0\);_(* "-"_);_(@_)</c:formatCode>
                <c:ptCount val="1"/>
                <c:pt idx="0">
                  <c:v>3116.6666666666665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20-4732-A6F4-F56EEFA85435}"/>
            </c:ext>
          </c:extLst>
        </c:ser>
        <c:ser>
          <c:idx val="3"/>
          <c:order val="3"/>
          <c:tx>
            <c:strRef>
              <c:f>GRAFIK!$F$193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GRAFIK!$F$194</c:f>
              <c:numCache>
                <c:formatCode>_(* #,##0_);_(* \(#,##0\);_(* "-"_);_(@_)</c:formatCode>
                <c:ptCount val="1"/>
                <c:pt idx="0">
                  <c:v>3116.6666666666665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20-4732-A6F4-F56EEFA85435}"/>
            </c:ext>
          </c:extLst>
        </c:ser>
        <c:ser>
          <c:idx val="4"/>
          <c:order val="4"/>
          <c:tx>
            <c:strRef>
              <c:f>GRAFIK!$G$193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GRAFIK!$G$194</c:f>
              <c:numCache>
                <c:formatCode>_(* #,##0_);_(* \(#,##0\);_(* "-"_);_(@_)</c:formatCode>
                <c:ptCount val="1"/>
                <c:pt idx="0">
                  <c:v>3116.6666666666665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20-4732-A6F4-F56EEFA85435}"/>
            </c:ext>
          </c:extLst>
        </c:ser>
        <c:ser>
          <c:idx val="5"/>
          <c:order val="5"/>
          <c:tx>
            <c:strRef>
              <c:f>GRAFIK!$H$193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GRAFIK!$H$194</c:f>
              <c:numCache>
                <c:formatCode>_(* #,##0_);_(* \(#,##0\);_(* "-"_);_(@_)</c:formatCode>
                <c:ptCount val="1"/>
                <c:pt idx="0">
                  <c:v>3116.6666666666665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20-4732-A6F4-F56EEFA85435}"/>
            </c:ext>
          </c:extLst>
        </c:ser>
        <c:ser>
          <c:idx val="6"/>
          <c:order val="6"/>
          <c:tx>
            <c:strRef>
              <c:f>GRAFIK!$I$193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GRAFIK!$I$194</c:f>
              <c:numCache>
                <c:formatCode>_(* #,##0_);_(* \(#,##0\);_(* "-"_);_(@_)</c:formatCode>
                <c:ptCount val="1"/>
                <c:pt idx="0">
                  <c:v>3116.6666666666665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20-4732-A6F4-F56EEFA85435}"/>
            </c:ext>
          </c:extLst>
        </c:ser>
        <c:ser>
          <c:idx val="7"/>
          <c:order val="7"/>
          <c:tx>
            <c:strRef>
              <c:f>GRAFIK!$J$193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GRAFIK!$J$194</c:f>
              <c:numCache>
                <c:formatCode>_(* #,##0_);_(* \(#,##0\);_(* "-"_);_(@_)</c:formatCode>
                <c:ptCount val="1"/>
                <c:pt idx="0">
                  <c:v>3116.6666666666665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020-4732-A6F4-F56EEFA85435}"/>
            </c:ext>
          </c:extLst>
        </c:ser>
        <c:ser>
          <c:idx val="8"/>
          <c:order val="8"/>
          <c:tx>
            <c:strRef>
              <c:f>GRAFIK!$K$193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GRAFIK!$K$194</c:f>
              <c:numCache>
                <c:formatCode>_(* #,##0_);_(* \(#,##0\);_(* "-"_);_(@_)</c:formatCode>
                <c:ptCount val="1"/>
                <c:pt idx="0">
                  <c:v>3116.6666666666665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20-4732-A6F4-F56EEFA85435}"/>
            </c:ext>
          </c:extLst>
        </c:ser>
        <c:ser>
          <c:idx val="9"/>
          <c:order val="9"/>
          <c:tx>
            <c:strRef>
              <c:f>GRAFIK!$L$193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GRAFIK!$L$194</c:f>
              <c:numCache>
                <c:formatCode>_(* #,##0_);_(* \(#,##0\);_(* "-"_);_(@_)</c:formatCode>
                <c:ptCount val="1"/>
                <c:pt idx="0">
                  <c:v>3116.6666666666665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020-4732-A6F4-F56EEFA85435}"/>
            </c:ext>
          </c:extLst>
        </c:ser>
        <c:ser>
          <c:idx val="10"/>
          <c:order val="10"/>
          <c:tx>
            <c:strRef>
              <c:f>GRAFIK!$M$193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GRAFIK!$M$194</c:f>
              <c:numCache>
                <c:formatCode>_(* #,##0_);_(* \(#,##0\);_(* "-"_);_(@_)</c:formatCode>
                <c:ptCount val="1"/>
                <c:pt idx="0">
                  <c:v>3116.6666666666665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020-4732-A6F4-F56EEFA85435}"/>
            </c:ext>
          </c:extLst>
        </c:ser>
        <c:ser>
          <c:idx val="11"/>
          <c:order val="11"/>
          <c:tx>
            <c:strRef>
              <c:f>GRAFIK!$N$193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GRAFIK!$N$194</c:f>
              <c:numCache>
                <c:formatCode>_(* #,##0_);_(* \(#,##0\);_(* "-"_);_(@_)</c:formatCode>
                <c:ptCount val="1"/>
                <c:pt idx="0">
                  <c:v>3116.6666666666665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020-4732-A6F4-F56EEFA85435}"/>
            </c:ext>
          </c:extLst>
        </c:ser>
        <c:ser>
          <c:idx val="12"/>
          <c:order val="12"/>
          <c:tx>
            <c:strRef>
              <c:f>GRAFIK!$O$193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GRAFIK!$O$194</c:f>
              <c:numCache>
                <c:formatCode>_(* #,##0_);_(* \(#,##0\);_(* "-"_);_(@_)</c:formatCode>
                <c:ptCount val="1"/>
                <c:pt idx="0">
                  <c:v>3116.6666666666665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20-4732-A6F4-F56EEFA85435}"/>
            </c:ext>
          </c:extLst>
        </c:ser>
        <c:ser>
          <c:idx val="13"/>
          <c:order val="13"/>
          <c:tx>
            <c:strRef>
              <c:f>GRAFIK!$P$193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GRAFIK!$P$194</c:f>
              <c:numCache>
                <c:formatCode>_(* #,##0_);_(* \(#,##0\);_(* "-"_);_(@_)</c:formatCode>
                <c:ptCount val="1"/>
                <c:pt idx="0">
                  <c:v>3116.6666666666665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020-4732-A6F4-F56EEFA85435}"/>
            </c:ext>
          </c:extLst>
        </c:ser>
        <c:ser>
          <c:idx val="14"/>
          <c:order val="14"/>
          <c:tx>
            <c:strRef>
              <c:f>GRAFIK!$Q$193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GRAFIK!$Q$194</c:f>
              <c:numCache>
                <c:formatCode>_(* #,##0_);_(* \(#,##0\);_(* "-"_);_(@_)</c:formatCode>
                <c:ptCount val="1"/>
                <c:pt idx="0">
                  <c:v>3116.6666666666665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020-4732-A6F4-F56EEFA85435}"/>
            </c:ext>
          </c:extLst>
        </c:ser>
        <c:ser>
          <c:idx val="15"/>
          <c:order val="15"/>
          <c:tx>
            <c:strRef>
              <c:f>GRAFIK!$R$193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GRAFIK!$R$194</c:f>
              <c:numCache>
                <c:formatCode>_(* #,##0_);_(* \(#,##0\);_(* "-"_);_(@_)</c:formatCode>
                <c:ptCount val="1"/>
                <c:pt idx="0">
                  <c:v>3116.6666666666665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020-4732-A6F4-F56EEFA85435}"/>
            </c:ext>
          </c:extLst>
        </c:ser>
        <c:ser>
          <c:idx val="16"/>
          <c:order val="16"/>
          <c:tx>
            <c:strRef>
              <c:f>GRAFIK!$S$193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GRAFIK!$S$194</c:f>
              <c:numCache>
                <c:formatCode>_(* #,##0_);_(* \(#,##0\);_(* "-"_);_(@_)</c:formatCode>
                <c:ptCount val="1"/>
                <c:pt idx="0">
                  <c:v>3116.6666666666665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020-4732-A6F4-F56EEFA85435}"/>
            </c:ext>
          </c:extLst>
        </c:ser>
        <c:ser>
          <c:idx val="17"/>
          <c:order val="17"/>
          <c:tx>
            <c:strRef>
              <c:f>GRAFIK!$T$193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GRAFIK!$T$194</c:f>
              <c:numCache>
                <c:formatCode>_(* #,##0_);_(* \(#,##0\);_(* "-"_);_(@_)</c:formatCode>
                <c:ptCount val="1"/>
                <c:pt idx="0">
                  <c:v>3116.6666666666665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020-4732-A6F4-F56EEFA85435}"/>
            </c:ext>
          </c:extLst>
        </c:ser>
        <c:ser>
          <c:idx val="18"/>
          <c:order val="18"/>
          <c:tx>
            <c:strRef>
              <c:f>GRAFIK!$U$193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GRAFIK!$U$194</c:f>
              <c:numCache>
                <c:formatCode>_(* #,##0_);_(* \(#,##0\);_(* "-"_);_(@_)</c:formatCode>
                <c:ptCount val="1"/>
                <c:pt idx="0">
                  <c:v>3116.6666666666665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020-4732-A6F4-F56EEFA85435}"/>
            </c:ext>
          </c:extLst>
        </c:ser>
        <c:ser>
          <c:idx val="19"/>
          <c:order val="19"/>
          <c:tx>
            <c:strRef>
              <c:f>GRAFIK!$V$193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GRAFIK!$V$194</c:f>
              <c:numCache>
                <c:formatCode>_(* #,##0_);_(* \(#,##0\);_(* "-"_);_(@_)</c:formatCode>
                <c:ptCount val="1"/>
                <c:pt idx="0">
                  <c:v>3116.6666666666665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020-4732-A6F4-F56EEFA85435}"/>
            </c:ext>
          </c:extLst>
        </c:ser>
        <c:ser>
          <c:idx val="20"/>
          <c:order val="20"/>
          <c:tx>
            <c:strRef>
              <c:f>GRAFIK!$W$193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GRAFIK!$W$194</c:f>
              <c:numCache>
                <c:formatCode>_(* #,##0_);_(* \(#,##0\);_(* "-"_);_(@_)</c:formatCode>
                <c:ptCount val="1"/>
                <c:pt idx="0">
                  <c:v>3116.6666666666665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020-4732-A6F4-F56EEFA85435}"/>
            </c:ext>
          </c:extLst>
        </c:ser>
        <c:ser>
          <c:idx val="21"/>
          <c:order val="21"/>
          <c:tx>
            <c:strRef>
              <c:f>GRAFIK!$X$193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GRAFIK!$X$194</c:f>
              <c:numCache>
                <c:formatCode>_(* #,##0_);_(* \(#,##0\);_(* "-"_);_(@_)</c:formatCode>
                <c:ptCount val="1"/>
                <c:pt idx="0">
                  <c:v>3116.6666666666665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020-4732-A6F4-F56EEFA85435}"/>
            </c:ext>
          </c:extLst>
        </c:ser>
        <c:ser>
          <c:idx val="22"/>
          <c:order val="22"/>
          <c:tx>
            <c:strRef>
              <c:f>GRAFIK!$Y$193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GRAFIK!$Y$194</c:f>
              <c:numCache>
                <c:formatCode>_(* #,##0_);_(* \(#,##0\);_(* "-"_);_(@_)</c:formatCode>
                <c:ptCount val="1"/>
                <c:pt idx="0">
                  <c:v>3116.6666666666665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020-4732-A6F4-F56EEFA85435}"/>
            </c:ext>
          </c:extLst>
        </c:ser>
        <c:ser>
          <c:idx val="23"/>
          <c:order val="23"/>
          <c:tx>
            <c:strRef>
              <c:f>GRAFIK!$Z$193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GRAFIK!$Z$194</c:f>
              <c:numCache>
                <c:formatCode>_(* #,##0_);_(* \(#,##0\);_(* "-"_);_(@_)</c:formatCode>
                <c:ptCount val="1"/>
                <c:pt idx="0">
                  <c:v>3116.6666666666665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020-4732-A6F4-F56EEFA85435}"/>
            </c:ext>
          </c:extLst>
        </c:ser>
        <c:ser>
          <c:idx val="24"/>
          <c:order val="24"/>
          <c:tx>
            <c:strRef>
              <c:f>GRAFIK!$AA$193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GRAFIK!$AA$194</c:f>
              <c:numCache>
                <c:formatCode>_(* #,##0_);_(* \(#,##0\);_(* "-"_);_(@_)</c:formatCode>
                <c:ptCount val="1"/>
                <c:pt idx="0">
                  <c:v>3116.6666666666665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020-4732-A6F4-F56EEFA85435}"/>
            </c:ext>
          </c:extLst>
        </c:ser>
        <c:ser>
          <c:idx val="25"/>
          <c:order val="25"/>
          <c:tx>
            <c:strRef>
              <c:f>GRAFIK!$AB$193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GRAFIK!$AB$194</c:f>
              <c:numCache>
                <c:formatCode>_(* #,##0_);_(* \(#,##0\);_(* "-"_);_(@_)</c:formatCode>
                <c:ptCount val="1"/>
                <c:pt idx="0">
                  <c:v>3116.6666666666665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020-4732-A6F4-F56EEFA85435}"/>
            </c:ext>
          </c:extLst>
        </c:ser>
        <c:ser>
          <c:idx val="26"/>
          <c:order val="26"/>
          <c:tx>
            <c:strRef>
              <c:f>GRAFIK!$AC$193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GRAFIK!$AC$194</c:f>
              <c:numCache>
                <c:formatCode>_(* #,##0_);_(* \(#,##0\);_(* "-"_);_(@_)</c:formatCode>
                <c:ptCount val="1"/>
                <c:pt idx="0">
                  <c:v>3116.6666666666665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020-4732-A6F4-F56EEFA85435}"/>
            </c:ext>
          </c:extLst>
        </c:ser>
        <c:ser>
          <c:idx val="27"/>
          <c:order val="27"/>
          <c:tx>
            <c:strRef>
              <c:f>GRAFIK!$AD$193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GRAFIK!$AD$194</c:f>
              <c:numCache>
                <c:formatCode>_(* #,##0_);_(* \(#,##0\);_(* "-"_);_(@_)</c:formatCode>
                <c:ptCount val="1"/>
                <c:pt idx="0">
                  <c:v>3116.6666666666665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020-4732-A6F4-F56EEFA85435}"/>
            </c:ext>
          </c:extLst>
        </c:ser>
        <c:ser>
          <c:idx val="28"/>
          <c:order val="28"/>
          <c:tx>
            <c:strRef>
              <c:f>GRAFIK!$AE$193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GRAFIK!$AE$194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020-4732-A6F4-F56EEFA85435}"/>
            </c:ext>
          </c:extLst>
        </c:ser>
        <c:ser>
          <c:idx val="29"/>
          <c:order val="29"/>
          <c:tx>
            <c:strRef>
              <c:f>GRAFIK!$AF$193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GRAFIK!$AF$194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020-4732-A6F4-F56EEFA85435}"/>
            </c:ext>
          </c:extLst>
        </c:ser>
        <c:ser>
          <c:idx val="30"/>
          <c:order val="30"/>
          <c:tx>
            <c:strRef>
              <c:f>GRAFIK!$AG$193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GRAFIK!$A$194:$B$194</c:f>
              <c:strCache>
                <c:ptCount val="2"/>
                <c:pt idx="0">
                  <c:v>- Bawang Putih (Jenis Kating)</c:v>
                </c:pt>
                <c:pt idx="1">
                  <c:v>Kg</c:v>
                </c:pt>
              </c:strCache>
            </c:strRef>
          </c:cat>
          <c:val>
            <c:numRef>
              <c:f>GRAFIK!$AG$194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020-4732-A6F4-F56EEFA85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4698680"/>
        <c:axId val="584695800"/>
      </c:barChart>
      <c:catAx>
        <c:axId val="584698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4695800"/>
        <c:crosses val="autoZero"/>
        <c:auto val="1"/>
        <c:lblAlgn val="ctr"/>
        <c:lblOffset val="100"/>
        <c:noMultiLvlLbl val="0"/>
      </c:catAx>
      <c:valAx>
        <c:axId val="58469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4698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BAWANG PUTIH SINCO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GRAFIK!$C$193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GRAFIK!$C$195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B7-47B2-B72A-02475FFC3FEA}"/>
            </c:ext>
          </c:extLst>
        </c:ser>
        <c:ser>
          <c:idx val="1"/>
          <c:order val="1"/>
          <c:tx>
            <c:strRef>
              <c:f>GRAFIK!$D$193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GRAFIK!$D$195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B7-47B2-B72A-02475FFC3FEA}"/>
            </c:ext>
          </c:extLst>
        </c:ser>
        <c:ser>
          <c:idx val="2"/>
          <c:order val="2"/>
          <c:tx>
            <c:strRef>
              <c:f>GRAFIK!$E$193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GRAFIK!$E$195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B7-47B2-B72A-02475FFC3FEA}"/>
            </c:ext>
          </c:extLst>
        </c:ser>
        <c:ser>
          <c:idx val="3"/>
          <c:order val="3"/>
          <c:tx>
            <c:strRef>
              <c:f>GRAFIK!$F$193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GRAFIK!$F$195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B7-47B2-B72A-02475FFC3FEA}"/>
            </c:ext>
          </c:extLst>
        </c:ser>
        <c:ser>
          <c:idx val="4"/>
          <c:order val="4"/>
          <c:tx>
            <c:strRef>
              <c:f>GRAFIK!$G$193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GRAFIK!$G$195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B7-47B2-B72A-02475FFC3FEA}"/>
            </c:ext>
          </c:extLst>
        </c:ser>
        <c:ser>
          <c:idx val="5"/>
          <c:order val="5"/>
          <c:tx>
            <c:strRef>
              <c:f>GRAFIK!$H$193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GRAFIK!$H$195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2B7-47B2-B72A-02475FFC3FEA}"/>
            </c:ext>
          </c:extLst>
        </c:ser>
        <c:ser>
          <c:idx val="6"/>
          <c:order val="6"/>
          <c:tx>
            <c:strRef>
              <c:f>GRAFIK!$I$193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GRAFIK!$I$195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B7-47B2-B72A-02475FFC3FEA}"/>
            </c:ext>
          </c:extLst>
        </c:ser>
        <c:ser>
          <c:idx val="7"/>
          <c:order val="7"/>
          <c:tx>
            <c:strRef>
              <c:f>GRAFIK!$J$193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GRAFIK!$J$195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2B7-47B2-B72A-02475FFC3FEA}"/>
            </c:ext>
          </c:extLst>
        </c:ser>
        <c:ser>
          <c:idx val="8"/>
          <c:order val="8"/>
          <c:tx>
            <c:strRef>
              <c:f>GRAFIK!$K$193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GRAFIK!$K$195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2B7-47B2-B72A-02475FFC3FEA}"/>
            </c:ext>
          </c:extLst>
        </c:ser>
        <c:ser>
          <c:idx val="9"/>
          <c:order val="9"/>
          <c:tx>
            <c:strRef>
              <c:f>GRAFIK!$L$193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GRAFIK!$L$195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2B7-47B2-B72A-02475FFC3FEA}"/>
            </c:ext>
          </c:extLst>
        </c:ser>
        <c:ser>
          <c:idx val="10"/>
          <c:order val="10"/>
          <c:tx>
            <c:strRef>
              <c:f>GRAFIK!$M$193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GRAFIK!$M$195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2B7-47B2-B72A-02475FFC3FEA}"/>
            </c:ext>
          </c:extLst>
        </c:ser>
        <c:ser>
          <c:idx val="11"/>
          <c:order val="11"/>
          <c:tx>
            <c:strRef>
              <c:f>GRAFIK!$N$193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GRAFIK!$N$195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2B7-47B2-B72A-02475FFC3FEA}"/>
            </c:ext>
          </c:extLst>
        </c:ser>
        <c:ser>
          <c:idx val="12"/>
          <c:order val="12"/>
          <c:tx>
            <c:strRef>
              <c:f>GRAFIK!$O$193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GRAFIK!$O$195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2B7-47B2-B72A-02475FFC3FEA}"/>
            </c:ext>
          </c:extLst>
        </c:ser>
        <c:ser>
          <c:idx val="13"/>
          <c:order val="13"/>
          <c:tx>
            <c:strRef>
              <c:f>GRAFIK!$P$193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GRAFIK!$P$195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2B7-47B2-B72A-02475FFC3FEA}"/>
            </c:ext>
          </c:extLst>
        </c:ser>
        <c:ser>
          <c:idx val="14"/>
          <c:order val="14"/>
          <c:tx>
            <c:strRef>
              <c:f>GRAFIK!$Q$193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GRAFIK!$Q$195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2B7-47B2-B72A-02475FFC3FEA}"/>
            </c:ext>
          </c:extLst>
        </c:ser>
        <c:ser>
          <c:idx val="15"/>
          <c:order val="15"/>
          <c:tx>
            <c:strRef>
              <c:f>GRAFIK!$R$193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GRAFIK!$R$195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2B7-47B2-B72A-02475FFC3FEA}"/>
            </c:ext>
          </c:extLst>
        </c:ser>
        <c:ser>
          <c:idx val="16"/>
          <c:order val="16"/>
          <c:tx>
            <c:strRef>
              <c:f>GRAFIK!$S$193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GRAFIK!$S$195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2B7-47B2-B72A-02475FFC3FEA}"/>
            </c:ext>
          </c:extLst>
        </c:ser>
        <c:ser>
          <c:idx val="17"/>
          <c:order val="17"/>
          <c:tx>
            <c:strRef>
              <c:f>GRAFIK!$T$193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GRAFIK!$T$195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2B7-47B2-B72A-02475FFC3FEA}"/>
            </c:ext>
          </c:extLst>
        </c:ser>
        <c:ser>
          <c:idx val="18"/>
          <c:order val="18"/>
          <c:tx>
            <c:strRef>
              <c:f>GRAFIK!$U$193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GRAFIK!$U$195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2B7-47B2-B72A-02475FFC3FEA}"/>
            </c:ext>
          </c:extLst>
        </c:ser>
        <c:ser>
          <c:idx val="19"/>
          <c:order val="19"/>
          <c:tx>
            <c:strRef>
              <c:f>GRAFIK!$V$193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GRAFIK!$V$195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2B7-47B2-B72A-02475FFC3FEA}"/>
            </c:ext>
          </c:extLst>
        </c:ser>
        <c:ser>
          <c:idx val="20"/>
          <c:order val="20"/>
          <c:tx>
            <c:strRef>
              <c:f>GRAFIK!$W$193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GRAFIK!$W$195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2B7-47B2-B72A-02475FFC3FEA}"/>
            </c:ext>
          </c:extLst>
        </c:ser>
        <c:ser>
          <c:idx val="21"/>
          <c:order val="21"/>
          <c:tx>
            <c:strRef>
              <c:f>GRAFIK!$X$193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GRAFIK!$X$195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2B7-47B2-B72A-02475FFC3FEA}"/>
            </c:ext>
          </c:extLst>
        </c:ser>
        <c:ser>
          <c:idx val="22"/>
          <c:order val="22"/>
          <c:tx>
            <c:strRef>
              <c:f>GRAFIK!$Y$193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GRAFIK!$Y$195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2B7-47B2-B72A-02475FFC3FEA}"/>
            </c:ext>
          </c:extLst>
        </c:ser>
        <c:ser>
          <c:idx val="23"/>
          <c:order val="23"/>
          <c:tx>
            <c:strRef>
              <c:f>GRAFIK!$Z$193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GRAFIK!$Z$195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2B7-47B2-B72A-02475FFC3FEA}"/>
            </c:ext>
          </c:extLst>
        </c:ser>
        <c:ser>
          <c:idx val="24"/>
          <c:order val="24"/>
          <c:tx>
            <c:strRef>
              <c:f>GRAFIK!$AA$193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GRAFIK!$AA$195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2B7-47B2-B72A-02475FFC3FEA}"/>
            </c:ext>
          </c:extLst>
        </c:ser>
        <c:ser>
          <c:idx val="25"/>
          <c:order val="25"/>
          <c:tx>
            <c:strRef>
              <c:f>GRAFIK!$AB$193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GRAFIK!$AB$195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42B7-47B2-B72A-02475FFC3FEA}"/>
            </c:ext>
          </c:extLst>
        </c:ser>
        <c:ser>
          <c:idx val="26"/>
          <c:order val="26"/>
          <c:tx>
            <c:strRef>
              <c:f>GRAFIK!$AC$193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GRAFIK!$AC$195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2B7-47B2-B72A-02475FFC3FEA}"/>
            </c:ext>
          </c:extLst>
        </c:ser>
        <c:ser>
          <c:idx val="27"/>
          <c:order val="27"/>
          <c:tx>
            <c:strRef>
              <c:f>GRAFIK!$AD$193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GRAFIK!$AD$195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42B7-47B2-B72A-02475FFC3FEA}"/>
            </c:ext>
          </c:extLst>
        </c:ser>
        <c:ser>
          <c:idx val="28"/>
          <c:order val="28"/>
          <c:tx>
            <c:strRef>
              <c:f>GRAFIK!$AE$193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GRAFIK!$AE$195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42B7-47B2-B72A-02475FFC3FEA}"/>
            </c:ext>
          </c:extLst>
        </c:ser>
        <c:ser>
          <c:idx val="29"/>
          <c:order val="29"/>
          <c:tx>
            <c:strRef>
              <c:f>GRAFIK!$AF$193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GRAFIK!$AF$195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42B7-47B2-B72A-02475FFC3FEA}"/>
            </c:ext>
          </c:extLst>
        </c:ser>
        <c:ser>
          <c:idx val="30"/>
          <c:order val="30"/>
          <c:tx>
            <c:strRef>
              <c:f>GRAFIK!$AG$193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GRAFIK!$A$195:$B$195</c:f>
              <c:strCache>
                <c:ptCount val="2"/>
                <c:pt idx="0">
                  <c:v>- Bawang Putih (Jenis Sinco)</c:v>
                </c:pt>
                <c:pt idx="1">
                  <c:v>Kg</c:v>
                </c:pt>
              </c:strCache>
            </c:strRef>
          </c:cat>
          <c:val>
            <c:numRef>
              <c:f>GRAFIK!$AG$195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42B7-47B2-B72A-02475FFC3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406152"/>
        <c:axId val="581405512"/>
      </c:barChart>
      <c:catAx>
        <c:axId val="581406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1405512"/>
        <c:crosses val="autoZero"/>
        <c:auto val="1"/>
        <c:lblAlgn val="ctr"/>
        <c:lblOffset val="100"/>
        <c:noMultiLvlLbl val="0"/>
      </c:catAx>
      <c:valAx>
        <c:axId val="581405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1406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BAWANG MERAH / BRAMBANG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GRAFIK!$C$193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GRAFIK!$C$196</c:f>
              <c:numCache>
                <c:formatCode>_(* #,##0_);_(* \(#,##0\);_(* "-"_);_(@_)</c:formatCode>
                <c:ptCount val="1"/>
                <c:pt idx="0">
                  <c:v>63285.714285714283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4A-4B1F-94C3-A0867390FD08}"/>
            </c:ext>
          </c:extLst>
        </c:ser>
        <c:ser>
          <c:idx val="1"/>
          <c:order val="1"/>
          <c:tx>
            <c:strRef>
              <c:f>GRAFIK!$D$193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GRAFIK!$D$196</c:f>
              <c:numCache>
                <c:formatCode>_(* #,##0_);_(* \(#,##0\);_(* "-"_);_(@_)</c:formatCode>
                <c:ptCount val="1"/>
                <c:pt idx="0">
                  <c:v>62571.428571428572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4A-4B1F-94C3-A0867390FD08}"/>
            </c:ext>
          </c:extLst>
        </c:ser>
        <c:ser>
          <c:idx val="2"/>
          <c:order val="2"/>
          <c:tx>
            <c:strRef>
              <c:f>GRAFIK!$E$193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GRAFIK!$E$196</c:f>
              <c:numCache>
                <c:formatCode>_(* #,##0_);_(* \(#,##0\);_(* "-"_);_(@_)</c:formatCode>
                <c:ptCount val="1"/>
                <c:pt idx="0">
                  <c:v>65571.428571428565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4A-4B1F-94C3-A0867390FD08}"/>
            </c:ext>
          </c:extLst>
        </c:ser>
        <c:ser>
          <c:idx val="3"/>
          <c:order val="3"/>
          <c:tx>
            <c:strRef>
              <c:f>GRAFIK!$F$193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GRAFIK!$F$196</c:f>
              <c:numCache>
                <c:formatCode>_(* #,##0_);_(* \(#,##0\);_(* "-"_);_(@_)</c:formatCode>
                <c:ptCount val="1"/>
                <c:pt idx="0">
                  <c:v>66571.428571428565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4A-4B1F-94C3-A0867390FD08}"/>
            </c:ext>
          </c:extLst>
        </c:ser>
        <c:ser>
          <c:idx val="4"/>
          <c:order val="4"/>
          <c:tx>
            <c:strRef>
              <c:f>GRAFIK!$G$193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GRAFIK!$G$196</c:f>
              <c:numCache>
                <c:formatCode>_(* #,##0_);_(* \(#,##0\);_(* "-"_);_(@_)</c:formatCode>
                <c:ptCount val="1"/>
                <c:pt idx="0">
                  <c:v>68714.28571428571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4A-4B1F-94C3-A0867390FD08}"/>
            </c:ext>
          </c:extLst>
        </c:ser>
        <c:ser>
          <c:idx val="5"/>
          <c:order val="5"/>
          <c:tx>
            <c:strRef>
              <c:f>GRAFIK!$H$193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GRAFIK!$H$196</c:f>
              <c:numCache>
                <c:formatCode>_(* #,##0_);_(* \(#,##0\);_(* "-"_);_(@_)</c:formatCode>
                <c:ptCount val="1"/>
                <c:pt idx="0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04A-4B1F-94C3-A0867390FD08}"/>
            </c:ext>
          </c:extLst>
        </c:ser>
        <c:ser>
          <c:idx val="6"/>
          <c:order val="6"/>
          <c:tx>
            <c:strRef>
              <c:f>GRAFIK!$I$193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GRAFIK!$I$196</c:f>
              <c:numCache>
                <c:formatCode>_(* #,##0_);_(* \(#,##0\);_(* "-"_);_(@_)</c:formatCode>
                <c:ptCount val="1"/>
                <c:pt idx="0">
                  <c:v>65285.714285714283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4A-4B1F-94C3-A0867390FD08}"/>
            </c:ext>
          </c:extLst>
        </c:ser>
        <c:ser>
          <c:idx val="7"/>
          <c:order val="7"/>
          <c:tx>
            <c:strRef>
              <c:f>GRAFIK!$J$193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GRAFIK!$J$196</c:f>
              <c:numCache>
                <c:formatCode>_(* #,##0_);_(* \(#,##0\);_(* "-"_);_(@_)</c:formatCode>
                <c:ptCount val="1"/>
                <c:pt idx="0">
                  <c:v>64571.428571428572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04A-4B1F-94C3-A0867390FD08}"/>
            </c:ext>
          </c:extLst>
        </c:ser>
        <c:ser>
          <c:idx val="8"/>
          <c:order val="8"/>
          <c:tx>
            <c:strRef>
              <c:f>GRAFIK!$K$193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GRAFIK!$K$196</c:f>
              <c:numCache>
                <c:formatCode>_(* #,##0_);_(* \(#,##0\);_(* "-"_);_(@_)</c:formatCode>
                <c:ptCount val="1"/>
                <c:pt idx="0">
                  <c:v>62857.142857142855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04A-4B1F-94C3-A0867390FD08}"/>
            </c:ext>
          </c:extLst>
        </c:ser>
        <c:ser>
          <c:idx val="9"/>
          <c:order val="9"/>
          <c:tx>
            <c:strRef>
              <c:f>GRAFIK!$L$193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GRAFIK!$L$196</c:f>
              <c:numCache>
                <c:formatCode>_(* #,##0_);_(* \(#,##0\);_(* "-"_);_(@_)</c:formatCode>
                <c:ptCount val="1"/>
                <c:pt idx="0">
                  <c:v>67000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04A-4B1F-94C3-A0867390FD08}"/>
            </c:ext>
          </c:extLst>
        </c:ser>
        <c:ser>
          <c:idx val="10"/>
          <c:order val="10"/>
          <c:tx>
            <c:strRef>
              <c:f>GRAFIK!$M$193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GRAFIK!$M$196</c:f>
              <c:numCache>
                <c:formatCode>_(* #,##0_);_(* \(#,##0\);_(* "-"_);_(@_)</c:formatCode>
                <c:ptCount val="1"/>
                <c:pt idx="0">
                  <c:v>66428.571428571435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04A-4B1F-94C3-A0867390FD08}"/>
            </c:ext>
          </c:extLst>
        </c:ser>
        <c:ser>
          <c:idx val="11"/>
          <c:order val="11"/>
          <c:tx>
            <c:strRef>
              <c:f>GRAFIK!$N$193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GRAFIK!$N$196</c:f>
              <c:numCache>
                <c:formatCode>_(* #,##0_);_(* \(#,##0\);_(* "-"_);_(@_)</c:formatCode>
                <c:ptCount val="1"/>
                <c:pt idx="0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04A-4B1F-94C3-A0867390FD08}"/>
            </c:ext>
          </c:extLst>
        </c:ser>
        <c:ser>
          <c:idx val="12"/>
          <c:order val="12"/>
          <c:tx>
            <c:strRef>
              <c:f>GRAFIK!$O$193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GRAFIK!$O$196</c:f>
              <c:numCache>
                <c:formatCode>_(* #,##0_);_(* \(#,##0\);_(* "-"_);_(@_)</c:formatCode>
                <c:ptCount val="1"/>
                <c:pt idx="0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04A-4B1F-94C3-A0867390FD08}"/>
            </c:ext>
          </c:extLst>
        </c:ser>
        <c:ser>
          <c:idx val="13"/>
          <c:order val="13"/>
          <c:tx>
            <c:strRef>
              <c:f>GRAFIK!$P$193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GRAFIK!$P$196</c:f>
              <c:numCache>
                <c:formatCode>_(* #,##0_);_(* \(#,##0\);_(* "-"_);_(@_)</c:formatCode>
                <c:ptCount val="1"/>
                <c:pt idx="0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04A-4B1F-94C3-A0867390FD08}"/>
            </c:ext>
          </c:extLst>
        </c:ser>
        <c:ser>
          <c:idx val="14"/>
          <c:order val="14"/>
          <c:tx>
            <c:strRef>
              <c:f>GRAFIK!$Q$193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GRAFIK!$Q$196</c:f>
              <c:numCache>
                <c:formatCode>_(* #,##0_);_(* \(#,##0\);_(* "-"_);_(@_)</c:formatCode>
                <c:ptCount val="1"/>
                <c:pt idx="0">
                  <c:v>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04A-4B1F-94C3-A0867390FD08}"/>
            </c:ext>
          </c:extLst>
        </c:ser>
        <c:ser>
          <c:idx val="15"/>
          <c:order val="15"/>
          <c:tx>
            <c:strRef>
              <c:f>GRAFIK!$R$193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GRAFIK!$R$196</c:f>
              <c:numCache>
                <c:formatCode>_(* #,##0_);_(* \(#,##0\);_(* "-"_);_(@_)</c:formatCode>
                <c:ptCount val="1"/>
                <c:pt idx="0">
                  <c:v>71000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04A-4B1F-94C3-A0867390FD08}"/>
            </c:ext>
          </c:extLst>
        </c:ser>
        <c:ser>
          <c:idx val="16"/>
          <c:order val="16"/>
          <c:tx>
            <c:strRef>
              <c:f>GRAFIK!$S$193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GRAFIK!$S$196</c:f>
              <c:numCache>
                <c:formatCode>_(* #,##0_);_(* \(#,##0\);_(* "-"_);_(@_)</c:formatCode>
                <c:ptCount val="1"/>
                <c:pt idx="0">
                  <c:v>71714.28571428571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04A-4B1F-94C3-A0867390FD08}"/>
            </c:ext>
          </c:extLst>
        </c:ser>
        <c:ser>
          <c:idx val="17"/>
          <c:order val="17"/>
          <c:tx>
            <c:strRef>
              <c:f>GRAFIK!$T$193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GRAFIK!$T$196</c:f>
              <c:numCache>
                <c:formatCode>_(* #,##0_);_(* \(#,##0\);_(* "-"_);_(@_)</c:formatCode>
                <c:ptCount val="1"/>
                <c:pt idx="0">
                  <c:v>71714.28571428571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04A-4B1F-94C3-A0867390FD08}"/>
            </c:ext>
          </c:extLst>
        </c:ser>
        <c:ser>
          <c:idx val="18"/>
          <c:order val="18"/>
          <c:tx>
            <c:strRef>
              <c:f>GRAFIK!$U$193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GRAFIK!$U$196</c:f>
              <c:numCache>
                <c:formatCode>_(* #,##0_);_(* \(#,##0\);_(* "-"_);_(@_)</c:formatCode>
                <c:ptCount val="1"/>
                <c:pt idx="0">
                  <c:v>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04A-4B1F-94C3-A0867390FD08}"/>
            </c:ext>
          </c:extLst>
        </c:ser>
        <c:ser>
          <c:idx val="19"/>
          <c:order val="19"/>
          <c:tx>
            <c:strRef>
              <c:f>GRAFIK!$V$193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GRAFIK!$V$196</c:f>
              <c:numCache>
                <c:formatCode>_(* #,##0_);_(* \(#,##0\);_(* "-"_);_(@_)</c:formatCode>
                <c:ptCount val="1"/>
                <c:pt idx="0">
                  <c:v>75714.28571428571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04A-4B1F-94C3-A0867390FD08}"/>
            </c:ext>
          </c:extLst>
        </c:ser>
        <c:ser>
          <c:idx val="20"/>
          <c:order val="20"/>
          <c:tx>
            <c:strRef>
              <c:f>GRAFIK!$W$193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GRAFIK!$W$196</c:f>
              <c:numCache>
                <c:formatCode>_(* #,##0_);_(* \(#,##0\);_(* "-"_);_(@_)</c:formatCode>
                <c:ptCount val="1"/>
                <c:pt idx="0">
                  <c:v>77142.857142857145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04A-4B1F-94C3-A0867390FD08}"/>
            </c:ext>
          </c:extLst>
        </c:ser>
        <c:ser>
          <c:idx val="21"/>
          <c:order val="21"/>
          <c:tx>
            <c:strRef>
              <c:f>GRAFIK!$X$193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GRAFIK!$X$196</c:f>
              <c:numCache>
                <c:formatCode>_(* #,##0_);_(* \(#,##0\);_(* "-"_);_(@_)</c:formatCode>
                <c:ptCount val="1"/>
                <c:pt idx="0">
                  <c:v>82142.857142857145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04A-4B1F-94C3-A0867390FD08}"/>
            </c:ext>
          </c:extLst>
        </c:ser>
        <c:ser>
          <c:idx val="22"/>
          <c:order val="22"/>
          <c:tx>
            <c:strRef>
              <c:f>GRAFIK!$Y$193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GRAFIK!$Y$196</c:f>
              <c:numCache>
                <c:formatCode>_(* #,##0_);_(* \(#,##0\);_(* "-"_);_(@_)</c:formatCode>
                <c:ptCount val="1"/>
                <c:pt idx="0">
                  <c:v>81714.28571428571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04A-4B1F-94C3-A0867390FD08}"/>
            </c:ext>
          </c:extLst>
        </c:ser>
        <c:ser>
          <c:idx val="23"/>
          <c:order val="23"/>
          <c:tx>
            <c:strRef>
              <c:f>GRAFIK!$Z$193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GRAFIK!$Z$196</c:f>
              <c:numCache>
                <c:formatCode>_(* #,##0_);_(* \(#,##0\);_(* "-"_);_(@_)</c:formatCode>
                <c:ptCount val="1"/>
                <c:pt idx="0">
                  <c:v>80285.71428571429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04A-4B1F-94C3-A0867390FD08}"/>
            </c:ext>
          </c:extLst>
        </c:ser>
        <c:ser>
          <c:idx val="24"/>
          <c:order val="24"/>
          <c:tx>
            <c:strRef>
              <c:f>GRAFIK!$AA$193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GRAFIK!$AA$196</c:f>
              <c:numCache>
                <c:formatCode>_(* #,##0_);_(* \(#,##0\);_(* "-"_);_(@_)</c:formatCode>
                <c:ptCount val="1"/>
                <c:pt idx="0">
                  <c:v>81000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04A-4B1F-94C3-A0867390FD08}"/>
            </c:ext>
          </c:extLst>
        </c:ser>
        <c:ser>
          <c:idx val="25"/>
          <c:order val="25"/>
          <c:tx>
            <c:strRef>
              <c:f>GRAFIK!$AB$193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GRAFIK!$AB$196</c:f>
              <c:numCache>
                <c:formatCode>_(* #,##0_);_(* \(#,##0\);_(* "-"_);_(@_)</c:formatCode>
                <c:ptCount val="1"/>
                <c:pt idx="0">
                  <c:v>81000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04A-4B1F-94C3-A0867390FD08}"/>
            </c:ext>
          </c:extLst>
        </c:ser>
        <c:ser>
          <c:idx val="26"/>
          <c:order val="26"/>
          <c:tx>
            <c:strRef>
              <c:f>GRAFIK!$AC$193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GRAFIK!$AC$196</c:f>
              <c:numCache>
                <c:formatCode>_(* #,##0_);_(* \(#,##0\);_(* "-"_);_(@_)</c:formatCode>
                <c:ptCount val="1"/>
                <c:pt idx="0">
                  <c:v>78857.142857142855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04A-4B1F-94C3-A0867390FD08}"/>
            </c:ext>
          </c:extLst>
        </c:ser>
        <c:ser>
          <c:idx val="27"/>
          <c:order val="27"/>
          <c:tx>
            <c:strRef>
              <c:f>GRAFIK!$AD$193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GRAFIK!$AD$196</c:f>
              <c:numCache>
                <c:formatCode>_(* #,##0_);_(* \(#,##0\);_(* "-"_);_(@_)</c:formatCode>
                <c:ptCount val="1"/>
                <c:pt idx="0">
                  <c:v>79714.28571428571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004A-4B1F-94C3-A0867390FD08}"/>
            </c:ext>
          </c:extLst>
        </c:ser>
        <c:ser>
          <c:idx val="28"/>
          <c:order val="28"/>
          <c:tx>
            <c:strRef>
              <c:f>GRAFIK!$AE$193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GRAFIK!$AE$196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004A-4B1F-94C3-A0867390FD08}"/>
            </c:ext>
          </c:extLst>
        </c:ser>
        <c:ser>
          <c:idx val="29"/>
          <c:order val="29"/>
          <c:tx>
            <c:strRef>
              <c:f>GRAFIK!$AF$193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GRAFIK!$AF$196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04A-4B1F-94C3-A0867390FD08}"/>
            </c:ext>
          </c:extLst>
        </c:ser>
        <c:ser>
          <c:idx val="30"/>
          <c:order val="30"/>
          <c:tx>
            <c:strRef>
              <c:f>GRAFIK!$AG$193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GRAFIK!$A$196:$B$196</c:f>
              <c:strCache>
                <c:ptCount val="2"/>
                <c:pt idx="0">
                  <c:v>- Bawang Merah (Kualitas Lokal)</c:v>
                </c:pt>
                <c:pt idx="1">
                  <c:v>Kg</c:v>
                </c:pt>
              </c:strCache>
            </c:strRef>
          </c:cat>
          <c:val>
            <c:numRef>
              <c:f>GRAFIK!$AG$196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004A-4B1F-94C3-A0867390F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375752"/>
        <c:axId val="581375112"/>
      </c:barChart>
      <c:catAx>
        <c:axId val="581375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1375112"/>
        <c:crosses val="autoZero"/>
        <c:auto val="1"/>
        <c:lblAlgn val="ctr"/>
        <c:lblOffset val="100"/>
        <c:noMultiLvlLbl val="0"/>
      </c:catAx>
      <c:valAx>
        <c:axId val="581375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1375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BOMBAI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GRAFIK!$C$193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GRAFIK!$C$197</c:f>
              <c:numCache>
                <c:formatCode>_(* #,##0_);_(* \(#,##0\);_(* "-"_);_(@_)</c:formatCode>
                <c:ptCount val="1"/>
                <c:pt idx="0">
                  <c:v>50428.571428571428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2C-4B45-B4EB-E18C24C61FBD}"/>
            </c:ext>
          </c:extLst>
        </c:ser>
        <c:ser>
          <c:idx val="1"/>
          <c:order val="1"/>
          <c:tx>
            <c:strRef>
              <c:f>GRAFIK!$D$193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GRAFIK!$D$197</c:f>
              <c:numCache>
                <c:formatCode>_(* #,##0_);_(* \(#,##0\);_(* "-"_);_(@_)</c:formatCode>
                <c:ptCount val="1"/>
                <c:pt idx="0">
                  <c:v>47857.142857142855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2C-4B45-B4EB-E18C24C61FBD}"/>
            </c:ext>
          </c:extLst>
        </c:ser>
        <c:ser>
          <c:idx val="2"/>
          <c:order val="2"/>
          <c:tx>
            <c:strRef>
              <c:f>GRAFIK!$E$193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GRAFIK!$E$197</c:f>
              <c:numCache>
                <c:formatCode>_(* #,##0_);_(* \(#,##0\);_(* "-"_);_(@_)</c:formatCode>
                <c:ptCount val="1"/>
                <c:pt idx="0">
                  <c:v>51000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2C-4B45-B4EB-E18C24C61FBD}"/>
            </c:ext>
          </c:extLst>
        </c:ser>
        <c:ser>
          <c:idx val="3"/>
          <c:order val="3"/>
          <c:tx>
            <c:strRef>
              <c:f>GRAFIK!$F$193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GRAFIK!$F$197</c:f>
              <c:numCache>
                <c:formatCode>_(* #,##0_);_(* \(#,##0\);_(* "-"_);_(@_)</c:formatCode>
                <c:ptCount val="1"/>
                <c:pt idx="0">
                  <c:v>52857.142857142855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2C-4B45-B4EB-E18C24C61FBD}"/>
            </c:ext>
          </c:extLst>
        </c:ser>
        <c:ser>
          <c:idx val="4"/>
          <c:order val="4"/>
          <c:tx>
            <c:strRef>
              <c:f>GRAFIK!$G$193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GRAFIK!$G$197</c:f>
              <c:numCache>
                <c:formatCode>_(* #,##0_);_(* \(#,##0\);_(* "-"_);_(@_)</c:formatCode>
                <c:ptCount val="1"/>
                <c:pt idx="0">
                  <c:v>52857.142857142855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2C-4B45-B4EB-E18C24C61FBD}"/>
            </c:ext>
          </c:extLst>
        </c:ser>
        <c:ser>
          <c:idx val="5"/>
          <c:order val="5"/>
          <c:tx>
            <c:strRef>
              <c:f>GRAFIK!$H$193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GRAFIK!$H$197</c:f>
              <c:numCache>
                <c:formatCode>_(* #,##0_);_(* \(#,##0\);_(* "-"_);_(@_)</c:formatCode>
                <c:ptCount val="1"/>
                <c:pt idx="0">
                  <c:v>54000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2C-4B45-B4EB-E18C24C61FBD}"/>
            </c:ext>
          </c:extLst>
        </c:ser>
        <c:ser>
          <c:idx val="6"/>
          <c:order val="6"/>
          <c:tx>
            <c:strRef>
              <c:f>GRAFIK!$I$193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GRAFIK!$I$197</c:f>
              <c:numCache>
                <c:formatCode>_(* #,##0_);_(* \(#,##0\);_(* "-"_);_(@_)</c:formatCode>
                <c:ptCount val="1"/>
                <c:pt idx="0">
                  <c:v>56142.857142857145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2C-4B45-B4EB-E18C24C61FBD}"/>
            </c:ext>
          </c:extLst>
        </c:ser>
        <c:ser>
          <c:idx val="7"/>
          <c:order val="7"/>
          <c:tx>
            <c:strRef>
              <c:f>GRAFIK!$J$193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GRAFIK!$J$197</c:f>
              <c:numCache>
                <c:formatCode>_(* #,##0_);_(* \(#,##0\);_(* "-"_);_(@_)</c:formatCode>
                <c:ptCount val="1"/>
                <c:pt idx="0">
                  <c:v>56000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A2C-4B45-B4EB-E18C24C61FBD}"/>
            </c:ext>
          </c:extLst>
        </c:ser>
        <c:ser>
          <c:idx val="8"/>
          <c:order val="8"/>
          <c:tx>
            <c:strRef>
              <c:f>GRAFIK!$K$193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GRAFIK!$K$197</c:f>
              <c:numCache>
                <c:formatCode>_(* #,##0_);_(* \(#,##0\);_(* "-"_);_(@_)</c:formatCode>
                <c:ptCount val="1"/>
                <c:pt idx="0">
                  <c:v>55714.285714285717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A2C-4B45-B4EB-E18C24C61FBD}"/>
            </c:ext>
          </c:extLst>
        </c:ser>
        <c:ser>
          <c:idx val="9"/>
          <c:order val="9"/>
          <c:tx>
            <c:strRef>
              <c:f>GRAFIK!$L$193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GRAFIK!$L$197</c:f>
              <c:numCache>
                <c:formatCode>_(* #,##0_);_(* \(#,##0\);_(* "-"_);_(@_)</c:formatCode>
                <c:ptCount val="1"/>
                <c:pt idx="0">
                  <c:v>55285.714285714283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A2C-4B45-B4EB-E18C24C61FBD}"/>
            </c:ext>
          </c:extLst>
        </c:ser>
        <c:ser>
          <c:idx val="10"/>
          <c:order val="10"/>
          <c:tx>
            <c:strRef>
              <c:f>GRAFIK!$M$193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GRAFIK!$M$197</c:f>
              <c:numCache>
                <c:formatCode>_(* #,##0_);_(* \(#,##0\);_(* "-"_);_(@_)</c:formatCode>
                <c:ptCount val="1"/>
                <c:pt idx="0">
                  <c:v>56714.285714285717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A2C-4B45-B4EB-E18C24C61FBD}"/>
            </c:ext>
          </c:extLst>
        </c:ser>
        <c:ser>
          <c:idx val="11"/>
          <c:order val="11"/>
          <c:tx>
            <c:strRef>
              <c:f>GRAFIK!$N$193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GRAFIK!$N$197</c:f>
              <c:numCache>
                <c:formatCode>_(* #,##0_);_(* \(#,##0\);_(* "-"_);_(@_)</c:formatCode>
                <c:ptCount val="1"/>
                <c:pt idx="0">
                  <c:v>56857.142857142855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A2C-4B45-B4EB-E18C24C61FBD}"/>
            </c:ext>
          </c:extLst>
        </c:ser>
        <c:ser>
          <c:idx val="12"/>
          <c:order val="12"/>
          <c:tx>
            <c:strRef>
              <c:f>GRAFIK!$O$193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GRAFIK!$O$197</c:f>
              <c:numCache>
                <c:formatCode>_(* #,##0_);_(* \(#,##0\);_(* "-"_);_(@_)</c:formatCode>
                <c:ptCount val="1"/>
                <c:pt idx="0">
                  <c:v>58571.428571428572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A2C-4B45-B4EB-E18C24C61FBD}"/>
            </c:ext>
          </c:extLst>
        </c:ser>
        <c:ser>
          <c:idx val="13"/>
          <c:order val="13"/>
          <c:tx>
            <c:strRef>
              <c:f>GRAFIK!$P$193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GRAFIK!$P$197</c:f>
              <c:numCache>
                <c:formatCode>_(* #,##0_);_(* \(#,##0\);_(* "-"_);_(@_)</c:formatCode>
                <c:ptCount val="1"/>
                <c:pt idx="0">
                  <c:v>57857.142857142855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A2C-4B45-B4EB-E18C24C61FBD}"/>
            </c:ext>
          </c:extLst>
        </c:ser>
        <c:ser>
          <c:idx val="14"/>
          <c:order val="14"/>
          <c:tx>
            <c:strRef>
              <c:f>GRAFIK!$Q$193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GRAFIK!$Q$197</c:f>
              <c:numCache>
                <c:formatCode>_(* #,##0_);_(* \(#,##0\);_(* "-"_);_(@_)</c:formatCode>
                <c:ptCount val="1"/>
                <c:pt idx="0">
                  <c:v>62142.857142857145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A2C-4B45-B4EB-E18C24C61FBD}"/>
            </c:ext>
          </c:extLst>
        </c:ser>
        <c:ser>
          <c:idx val="15"/>
          <c:order val="15"/>
          <c:tx>
            <c:strRef>
              <c:f>GRAFIK!$R$193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GRAFIK!$R$197</c:f>
              <c:numCache>
                <c:formatCode>_(* #,##0_);_(* \(#,##0\);_(* "-"_);_(@_)</c:formatCode>
                <c:ptCount val="1"/>
                <c:pt idx="0">
                  <c:v>66714.28571428571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2C-4B45-B4EB-E18C24C61FBD}"/>
            </c:ext>
          </c:extLst>
        </c:ser>
        <c:ser>
          <c:idx val="16"/>
          <c:order val="16"/>
          <c:tx>
            <c:strRef>
              <c:f>GRAFIK!$S$193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GRAFIK!$S$197</c:f>
              <c:numCache>
                <c:formatCode>_(* #,##0_);_(* \(#,##0\);_(* "-"_);_(@_)</c:formatCode>
                <c:ptCount val="1"/>
                <c:pt idx="0">
                  <c:v>67428.571428571435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A2C-4B45-B4EB-E18C24C61FBD}"/>
            </c:ext>
          </c:extLst>
        </c:ser>
        <c:ser>
          <c:idx val="17"/>
          <c:order val="17"/>
          <c:tx>
            <c:strRef>
              <c:f>GRAFIK!$T$193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GRAFIK!$T$197</c:f>
              <c:numCache>
                <c:formatCode>_(* #,##0_);_(* \(#,##0\);_(* "-"_);_(@_)</c:formatCode>
                <c:ptCount val="1"/>
                <c:pt idx="0">
                  <c:v>66714.28571428571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A2C-4B45-B4EB-E18C24C61FBD}"/>
            </c:ext>
          </c:extLst>
        </c:ser>
        <c:ser>
          <c:idx val="18"/>
          <c:order val="18"/>
          <c:tx>
            <c:strRef>
              <c:f>GRAFIK!$U$193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GRAFIK!$U$197</c:f>
              <c:numCache>
                <c:formatCode>_(* #,##0_);_(* \(#,##0\);_(* "-"_);_(@_)</c:formatCode>
                <c:ptCount val="1"/>
                <c:pt idx="0">
                  <c:v>64857.142857142855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A2C-4B45-B4EB-E18C24C61FBD}"/>
            </c:ext>
          </c:extLst>
        </c:ser>
        <c:ser>
          <c:idx val="19"/>
          <c:order val="19"/>
          <c:tx>
            <c:strRef>
              <c:f>GRAFIK!$V$193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GRAFIK!$V$197</c:f>
              <c:numCache>
                <c:formatCode>_(* #,##0_);_(* \(#,##0\);_(* "-"_);_(@_)</c:formatCode>
                <c:ptCount val="1"/>
                <c:pt idx="0">
                  <c:v>67857.142857142855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A2C-4B45-B4EB-E18C24C61FBD}"/>
            </c:ext>
          </c:extLst>
        </c:ser>
        <c:ser>
          <c:idx val="20"/>
          <c:order val="20"/>
          <c:tx>
            <c:strRef>
              <c:f>GRAFIK!$W$193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GRAFIK!$W$197</c:f>
              <c:numCache>
                <c:formatCode>_(* #,##0_);_(* \(#,##0\);_(* "-"_);_(@_)</c:formatCode>
                <c:ptCount val="1"/>
                <c:pt idx="0">
                  <c:v>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A2C-4B45-B4EB-E18C24C61FBD}"/>
            </c:ext>
          </c:extLst>
        </c:ser>
        <c:ser>
          <c:idx val="21"/>
          <c:order val="21"/>
          <c:tx>
            <c:strRef>
              <c:f>GRAFIK!$X$193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GRAFIK!$X$197</c:f>
              <c:numCache>
                <c:formatCode>_(* #,##0_);_(* \(#,##0\);_(* "-"_);_(@_)</c:formatCode>
                <c:ptCount val="1"/>
                <c:pt idx="0">
                  <c:v>73571.428571428565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A2C-4B45-B4EB-E18C24C61FBD}"/>
            </c:ext>
          </c:extLst>
        </c:ser>
        <c:ser>
          <c:idx val="22"/>
          <c:order val="22"/>
          <c:tx>
            <c:strRef>
              <c:f>GRAFIK!$Y$193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GRAFIK!$Y$197</c:f>
              <c:numCache>
                <c:formatCode>_(* #,##0_);_(* \(#,##0\);_(* "-"_);_(@_)</c:formatCode>
                <c:ptCount val="1"/>
                <c:pt idx="0">
                  <c:v>78142.857142857145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A2C-4B45-B4EB-E18C24C61FBD}"/>
            </c:ext>
          </c:extLst>
        </c:ser>
        <c:ser>
          <c:idx val="23"/>
          <c:order val="23"/>
          <c:tx>
            <c:strRef>
              <c:f>GRAFIK!$Z$193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GRAFIK!$Z$197</c:f>
              <c:numCache>
                <c:formatCode>_(* #,##0_);_(* \(#,##0\);_(* "-"_);_(@_)</c:formatCode>
                <c:ptCount val="1"/>
                <c:pt idx="0">
                  <c:v>76714.28571428571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A2C-4B45-B4EB-E18C24C61FBD}"/>
            </c:ext>
          </c:extLst>
        </c:ser>
        <c:ser>
          <c:idx val="24"/>
          <c:order val="24"/>
          <c:tx>
            <c:strRef>
              <c:f>GRAFIK!$AA$193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GRAFIK!$AA$197</c:f>
              <c:numCache>
                <c:formatCode>_(* #,##0_);_(* \(#,##0\);_(* "-"_);_(@_)</c:formatCode>
                <c:ptCount val="1"/>
                <c:pt idx="0">
                  <c:v>78142.857142857145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A2C-4B45-B4EB-E18C24C61FBD}"/>
            </c:ext>
          </c:extLst>
        </c:ser>
        <c:ser>
          <c:idx val="25"/>
          <c:order val="25"/>
          <c:tx>
            <c:strRef>
              <c:f>GRAFIK!$AB$193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GRAFIK!$AB$197</c:f>
              <c:numCache>
                <c:formatCode>_(* #,##0_);_(* \(#,##0\);_(* "-"_);_(@_)</c:formatCode>
                <c:ptCount val="1"/>
                <c:pt idx="0">
                  <c:v>72428.571428571435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A2C-4B45-B4EB-E18C24C61FBD}"/>
            </c:ext>
          </c:extLst>
        </c:ser>
        <c:ser>
          <c:idx val="26"/>
          <c:order val="26"/>
          <c:tx>
            <c:strRef>
              <c:f>GRAFIK!$AC$193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GRAFIK!$AC$197</c:f>
              <c:numCache>
                <c:formatCode>_(* #,##0_);_(* \(#,##0\);_(* "-"_);_(@_)</c:formatCode>
                <c:ptCount val="1"/>
                <c:pt idx="0">
                  <c:v>69571.428571428565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A2C-4B45-B4EB-E18C24C61FBD}"/>
            </c:ext>
          </c:extLst>
        </c:ser>
        <c:ser>
          <c:idx val="27"/>
          <c:order val="27"/>
          <c:tx>
            <c:strRef>
              <c:f>GRAFIK!$AD$193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GRAFIK!$AD$197</c:f>
              <c:numCache>
                <c:formatCode>_(* #,##0_);_(* \(#,##0\);_(* "-"_);_(@_)</c:formatCode>
                <c:ptCount val="1"/>
                <c:pt idx="0">
                  <c:v>65285.714285714283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9A2C-4B45-B4EB-E18C24C61FBD}"/>
            </c:ext>
          </c:extLst>
        </c:ser>
        <c:ser>
          <c:idx val="28"/>
          <c:order val="28"/>
          <c:tx>
            <c:strRef>
              <c:f>GRAFIK!$AE$193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GRAFIK!$AE$197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A2C-4B45-B4EB-E18C24C61FBD}"/>
            </c:ext>
          </c:extLst>
        </c:ser>
        <c:ser>
          <c:idx val="29"/>
          <c:order val="29"/>
          <c:tx>
            <c:strRef>
              <c:f>GRAFIK!$AF$193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GRAFIK!$AF$197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A2C-4B45-B4EB-E18C24C61FBD}"/>
            </c:ext>
          </c:extLst>
        </c:ser>
        <c:ser>
          <c:idx val="30"/>
          <c:order val="30"/>
          <c:tx>
            <c:strRef>
              <c:f>GRAFIK!$AG$193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GRAFIK!$A$197:$B$197</c:f>
              <c:strCache>
                <c:ptCount val="2"/>
                <c:pt idx="0">
                  <c:v>- Bawang Bombay</c:v>
                </c:pt>
                <c:pt idx="1">
                  <c:v>Kg</c:v>
                </c:pt>
              </c:strCache>
            </c:strRef>
          </c:cat>
          <c:val>
            <c:numRef>
              <c:f>GRAFIK!$AG$197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9A2C-4B45-B4EB-E18C24C61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366472"/>
        <c:axId val="581401032"/>
      </c:barChart>
      <c:catAx>
        <c:axId val="581366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1401032"/>
        <c:crosses val="autoZero"/>
        <c:auto val="1"/>
        <c:lblAlgn val="ctr"/>
        <c:lblOffset val="100"/>
        <c:noMultiLvlLbl val="0"/>
      </c:catAx>
      <c:valAx>
        <c:axId val="581401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81366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6</xdr:row>
      <xdr:rowOff>61912</xdr:rowOff>
    </xdr:from>
    <xdr:to>
      <xdr:col>5</xdr:col>
      <xdr:colOff>66675</xdr:colOff>
      <xdr:row>20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9CBB9F-C457-E36C-AEDF-23E08B34C6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133350</xdr:colOff>
      <xdr:row>6</xdr:row>
      <xdr:rowOff>71437</xdr:rowOff>
    </xdr:from>
    <xdr:to>
      <xdr:col>13</xdr:col>
      <xdr:colOff>438150</xdr:colOff>
      <xdr:row>20</xdr:row>
      <xdr:rowOff>147637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36D6DC-D48E-DCD5-2668-004103358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57150</xdr:colOff>
      <xdr:row>6</xdr:row>
      <xdr:rowOff>100012</xdr:rowOff>
    </xdr:from>
    <xdr:to>
      <xdr:col>22</xdr:col>
      <xdr:colOff>495300</xdr:colOff>
      <xdr:row>20</xdr:row>
      <xdr:rowOff>176212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82AC86-83ED-B54C-149E-AB3CAEDF33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466725</xdr:colOff>
      <xdr:row>26</xdr:row>
      <xdr:rowOff>109537</xdr:rowOff>
    </xdr:from>
    <xdr:to>
      <xdr:col>8</xdr:col>
      <xdr:colOff>495300</xdr:colOff>
      <xdr:row>40</xdr:row>
      <xdr:rowOff>185737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736C6CE-DA31-7C70-8675-F2107D4F6A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533400</xdr:colOff>
      <xdr:row>48</xdr:row>
      <xdr:rowOff>4762</xdr:rowOff>
    </xdr:from>
    <xdr:to>
      <xdr:col>8</xdr:col>
      <xdr:colOff>447675</xdr:colOff>
      <xdr:row>62</xdr:row>
      <xdr:rowOff>80962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C8058CD-F6BA-780D-18A2-A755D396D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466725</xdr:colOff>
      <xdr:row>77</xdr:row>
      <xdr:rowOff>128587</xdr:rowOff>
    </xdr:from>
    <xdr:to>
      <xdr:col>9</xdr:col>
      <xdr:colOff>95250</xdr:colOff>
      <xdr:row>92</xdr:row>
      <xdr:rowOff>14287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2D1960A-C71A-D9CB-F08F-AAC4C95B6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542925</xdr:colOff>
      <xdr:row>98</xdr:row>
      <xdr:rowOff>109537</xdr:rowOff>
    </xdr:from>
    <xdr:to>
      <xdr:col>9</xdr:col>
      <xdr:colOff>133350</xdr:colOff>
      <xdr:row>112</xdr:row>
      <xdr:rowOff>185737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22AE28D-B178-9C8D-8689-06EF5B57AA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571499</xdr:colOff>
      <xdr:row>118</xdr:row>
      <xdr:rowOff>100012</xdr:rowOff>
    </xdr:from>
    <xdr:to>
      <xdr:col>9</xdr:col>
      <xdr:colOff>152399</xdr:colOff>
      <xdr:row>132</xdr:row>
      <xdr:rowOff>176212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6B33042-F8ED-490E-A05C-22DD8C2BB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676274</xdr:colOff>
      <xdr:row>151</xdr:row>
      <xdr:rowOff>80962</xdr:rowOff>
    </xdr:from>
    <xdr:to>
      <xdr:col>9</xdr:col>
      <xdr:colOff>276224</xdr:colOff>
      <xdr:row>165</xdr:row>
      <xdr:rowOff>157162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A880DEB-4243-A0CE-E9EB-524D9FA49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257174</xdr:colOff>
      <xdr:row>173</xdr:row>
      <xdr:rowOff>90487</xdr:rowOff>
    </xdr:from>
    <xdr:to>
      <xdr:col>6</xdr:col>
      <xdr:colOff>142874</xdr:colOff>
      <xdr:row>187</xdr:row>
      <xdr:rowOff>166687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6AF920B-DE84-508D-DB78-70EDF70D05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123824</xdr:colOff>
      <xdr:row>173</xdr:row>
      <xdr:rowOff>100012</xdr:rowOff>
    </xdr:from>
    <xdr:to>
      <xdr:col>17</xdr:col>
      <xdr:colOff>380999</xdr:colOff>
      <xdr:row>187</xdr:row>
      <xdr:rowOff>176212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F9F28D8-A467-9E45-B2D7-7C0737DD97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504824</xdr:colOff>
      <xdr:row>173</xdr:row>
      <xdr:rowOff>157162</xdr:rowOff>
    </xdr:from>
    <xdr:to>
      <xdr:col>29</xdr:col>
      <xdr:colOff>323849</xdr:colOff>
      <xdr:row>188</xdr:row>
      <xdr:rowOff>42862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9D173BF-32EE-23B1-742E-A07C6FB7F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314325</xdr:colOff>
      <xdr:row>198</xdr:row>
      <xdr:rowOff>100012</xdr:rowOff>
    </xdr:from>
    <xdr:to>
      <xdr:col>5</xdr:col>
      <xdr:colOff>38100</xdr:colOff>
      <xdr:row>212</xdr:row>
      <xdr:rowOff>176212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128FD17-320C-B786-CB08-FFC5FE9A3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333374</xdr:colOff>
      <xdr:row>198</xdr:row>
      <xdr:rowOff>128587</xdr:rowOff>
    </xdr:from>
    <xdr:to>
      <xdr:col>13</xdr:col>
      <xdr:colOff>323849</xdr:colOff>
      <xdr:row>213</xdr:row>
      <xdr:rowOff>14287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33315EF-05CA-E005-5717-0F9FD7A47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47624</xdr:colOff>
      <xdr:row>198</xdr:row>
      <xdr:rowOff>119062</xdr:rowOff>
    </xdr:from>
    <xdr:to>
      <xdr:col>22</xdr:col>
      <xdr:colOff>304799</xdr:colOff>
      <xdr:row>213</xdr:row>
      <xdr:rowOff>4762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42BC84A-60AB-0BE1-05B0-69D32213E4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304800</xdr:colOff>
      <xdr:row>198</xdr:row>
      <xdr:rowOff>128587</xdr:rowOff>
    </xdr:from>
    <xdr:to>
      <xdr:col>32</xdr:col>
      <xdr:colOff>247650</xdr:colOff>
      <xdr:row>213</xdr:row>
      <xdr:rowOff>14287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1AA1B23-83E1-7E75-E11D-B81D257704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43E34D0-396A-4A3D-8ACA-91D6E6A5496E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86EE480-B570-45BC-864B-4D80029B50E4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A95DC56-8999-4A23-BA17-61DC4300CF19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D3ED18E-A56E-42D8-9DBB-09D4024A775C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F8DE13B-0A98-459A-BEA0-9CB890B300F8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590D85E-9C51-487C-8452-22B534ACD31F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1D897BE-5407-4798-BE6E-ADCEED5271D7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2BB0439-2683-4009-9A5A-479DBD27E0EC}"/>
            </a:ext>
          </a:extLst>
        </xdr:cNvPr>
        <xdr:cNvSpPr txBox="1"/>
      </xdr:nvSpPr>
      <xdr:spPr>
        <a:xfrm>
          <a:off x="4629883" y="140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3C9723-F68C-41BC-B8E6-36DD47D3DD16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F39526B-2547-40F3-AFC7-74F93DCE105A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197A9CE-08E9-4187-A003-48A702BAE034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6411BF9-A655-4645-A34C-7903B6BA9706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775FAE7-B4DF-4EA9-A8A6-63F32E2AF736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483178A-46EC-41DF-BDF3-7142DAD618F0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7CD6A84-237F-43EF-8D0A-F33B155C5F39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8452C6C-E98C-4926-A4EB-0702559DB518}"/>
            </a:ext>
          </a:extLst>
        </xdr:cNvPr>
        <xdr:cNvSpPr txBox="1"/>
      </xdr:nvSpPr>
      <xdr:spPr>
        <a:xfrm>
          <a:off x="4629883" y="140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C5B0A3-7DB4-4F9F-979F-5050A867B5A4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D9E39FC-2F6F-411A-BA9C-B9A83593E966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256242-8FB6-4F5A-AA01-8691E0F025F5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5138F2D-3E76-4E4A-AED0-D05D661EDA6E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D41F9F0-F90D-4B12-A594-3170CDD7137B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959E53F-3991-4D40-8126-D31E221D607C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F512425-3743-4558-9E0A-35ADB1A2ECD2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DE3A040-A813-430E-8DCB-65BE68E3D094}"/>
            </a:ext>
          </a:extLst>
        </xdr:cNvPr>
        <xdr:cNvSpPr txBox="1"/>
      </xdr:nvSpPr>
      <xdr:spPr>
        <a:xfrm>
          <a:off x="4629883" y="140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153133</xdr:colOff>
      <xdr:row>4</xdr:row>
      <xdr:rowOff>151667</xdr:rowOff>
    </xdr:from>
    <xdr:ext cx="187971" cy="2743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7CA2B1-E157-49A1-80C7-D3ED30433030}"/>
            </a:ext>
          </a:extLst>
        </xdr:cNvPr>
        <xdr:cNvSpPr txBox="1"/>
      </xdr:nvSpPr>
      <xdr:spPr>
        <a:xfrm>
          <a:off x="3344008" y="932717"/>
          <a:ext cx="187971" cy="2743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9CB4D9-48C6-4BA0-902C-410BB05657DE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9A824D5-E11C-4151-AD84-5E32E2C566DA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73A8D5F-62FD-4D80-B9BE-624F11F48972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B2AA6248-5811-4424-BE19-8116364BB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4DD5C6B-0D01-46C2-BF32-772C0A5E7380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49EE8698-00AA-4CCC-8141-AD2D68B73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BBC7FF2-79DF-418E-858B-A9497B01439C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8CDCD64C-BA0C-4040-9D3F-E53C17FEF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4A5CA1C-D58A-4D6E-B854-729CE418DAB1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2" name="Picture 2" descr="Logo PD Pasar">
          <a:extLst>
            <a:ext uri="{FF2B5EF4-FFF2-40B4-BE49-F238E27FC236}">
              <a16:creationId xmlns:a16="http://schemas.microsoft.com/office/drawing/2014/main" id="{1DAA99B7-5026-4FA1-A519-870ABE540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3404AED-5E3C-49BC-9B32-0C432A03712A}"/>
            </a:ext>
          </a:extLst>
        </xdr:cNvPr>
        <xdr:cNvSpPr txBox="1"/>
      </xdr:nvSpPr>
      <xdr:spPr>
        <a:xfrm>
          <a:off x="4629883" y="140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7349FEE-4F7E-4B4E-BA41-9905EC083841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A9C16F-C8B2-465E-B1F5-F7B6E2D703F8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EA46095-DE2A-4852-A06A-C6E56CB22210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5F10B98-76DC-4AA9-8E55-E93CA9AEA6FF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7F83B9BD-3417-4258-897D-336B5AAF8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EDF2CF9-A296-4401-8792-A1DC448010B3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701B7691-14FD-4BC7-B8FA-F0086F376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7277835-CB8E-4247-9207-B74F84155057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82FBF7AB-F7A8-48DC-A34D-467898A48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30BF98F-C23E-49F9-944C-41F42861787B}"/>
            </a:ext>
          </a:extLst>
        </xdr:cNvPr>
        <xdr:cNvSpPr txBox="1"/>
      </xdr:nvSpPr>
      <xdr:spPr>
        <a:xfrm>
          <a:off x="4629883" y="140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F0EB7BB-AC53-454C-8243-722C3BC6C3A0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1FE8990-0A4D-4291-9B14-1B12310A9468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BCCBC9-13CF-4278-AC55-DE793C95F7ED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FB2F970-A012-4F3E-BB06-D548C5ED7689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651DCA2E-8DC7-41F9-9296-D0FF96D2E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7BBB1E0-D79E-4A3D-8D00-9A0681B30F68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8B6CB1D8-9FDA-4AAE-A0FB-0FEE4DF91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A7BABBE-2ECE-4438-8EC0-7415E9E78B0E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C4BF3514-1CED-420A-8A17-DA3D55F5F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13EE438-CC5E-4048-B694-C512455556C0}"/>
            </a:ext>
          </a:extLst>
        </xdr:cNvPr>
        <xdr:cNvSpPr txBox="1"/>
      </xdr:nvSpPr>
      <xdr:spPr>
        <a:xfrm>
          <a:off x="4629883" y="140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3352E4-3AE5-4991-BF15-EB49255E8F1D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AA9F745-FFA5-44FD-AC99-CB0C2F9D572C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F46F698-1DBD-4762-A1AF-142E2F5BF6A8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21CDD09-8DD6-4A12-B2F4-5654976B395A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68AFCFAF-467F-44D0-BAB9-C5FA456F0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0F64257-3D7E-40C2-8EB7-03DA0E74E2A4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0AB5CBFA-847B-4974-BF3F-32DC79D20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22A10FD-482B-4E53-835B-65C3F761F6A1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1B0D6884-AF42-4BBD-AB75-CB944C0C8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6ED8F32-58D2-4814-8B4C-466BD8B7FF24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2" name="Picture 2" descr="Logo PD Pasar">
          <a:extLst>
            <a:ext uri="{FF2B5EF4-FFF2-40B4-BE49-F238E27FC236}">
              <a16:creationId xmlns:a16="http://schemas.microsoft.com/office/drawing/2014/main" id="{3DEB36F7-E0DC-4911-B8BB-6DFC031D4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1B6685-73F5-465C-9C07-61C1D88C7897}"/>
            </a:ext>
          </a:extLst>
        </xdr:cNvPr>
        <xdr:cNvSpPr txBox="1"/>
      </xdr:nvSpPr>
      <xdr:spPr>
        <a:xfrm>
          <a:off x="4629883" y="140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65BCD48-2B85-4A8C-9729-869FCBED1160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2D33300-D2DC-42E9-8E1C-15DDDACAC517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ADB95D8-2C99-4AF7-9D83-3522F6213077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7D74BE0-25BD-4E45-BB8D-72FD4DE974F9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33EF8245-DA2B-4184-845B-641BD4ED4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7D92DDD-D99F-42A2-B581-BAF6106AC110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7AD0A692-0580-4817-BFF3-051C2806C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4440BFD-5C8F-48E8-A64D-B9195CF550E9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8D0CFF25-8F99-4E2C-9E7F-485E1BC87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496FB32-6D8C-4A1E-B17B-A5B6E9D4F460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2" name="Picture 2" descr="Logo PD Pasar">
          <a:extLst>
            <a:ext uri="{FF2B5EF4-FFF2-40B4-BE49-F238E27FC236}">
              <a16:creationId xmlns:a16="http://schemas.microsoft.com/office/drawing/2014/main" id="{650DE381-763D-429C-A6F5-67585F007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24DBDA9-A4CC-4113-9456-8CB740AF43A1}"/>
            </a:ext>
          </a:extLst>
        </xdr:cNvPr>
        <xdr:cNvSpPr txBox="1"/>
      </xdr:nvSpPr>
      <xdr:spPr>
        <a:xfrm>
          <a:off x="4629883" y="159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24263D-5A42-4ADD-96E2-60E196DEF165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32E497-2A9A-46BA-AF12-8AE5C43A8A79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7CD8F89-DB36-4C9A-8CAC-426B04538640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B4D56FA-0F68-4FF9-865F-F24D34595FCD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386F14BF-3655-431A-A067-72B7BDBAE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BE617FC-B85D-4CF6-BA16-805EFA98012D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BDC92090-9906-467E-A20A-D233664D5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2EAC947-1ACC-400B-9655-1364D0B45D8A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E58EE312-5AEA-4E6A-A119-149D14AFC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8280262-CAAC-4D6F-83ED-E9C050348C82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2" name="Picture 2" descr="Logo PD Pasar">
          <a:extLst>
            <a:ext uri="{FF2B5EF4-FFF2-40B4-BE49-F238E27FC236}">
              <a16:creationId xmlns:a16="http://schemas.microsoft.com/office/drawing/2014/main" id="{AAB0E28D-4A2E-451A-B2B8-67D41AD0C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2203EE7-4B7F-4774-8316-F2D8A2701702}"/>
            </a:ext>
          </a:extLst>
        </xdr:cNvPr>
        <xdr:cNvSpPr txBox="1"/>
      </xdr:nvSpPr>
      <xdr:spPr>
        <a:xfrm>
          <a:off x="4629883" y="159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A8234BF-3549-48F1-97B9-6D11E6DED2E8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C96E06-ACE7-4EB4-8CC8-62BFB84187E6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8B89809-E5E5-4054-977A-9CE69239041C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ED0B976-E53A-4874-AE72-822CFBD482A1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589D31E4-3EE9-48C4-8F54-633901BB0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4BAEFA9-B979-4E0D-B231-FE9627F70DAF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75CA4EFF-D3BF-4038-8E83-F746EFD28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7797BF1-6B85-4827-A79D-3D69683EF344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73E41BC7-FDC0-4C79-AF7A-C66932305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BE7683A-D367-4C5F-BB74-CF2C3ACD0684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2" name="Picture 2" descr="Logo PD Pasar">
          <a:extLst>
            <a:ext uri="{FF2B5EF4-FFF2-40B4-BE49-F238E27FC236}">
              <a16:creationId xmlns:a16="http://schemas.microsoft.com/office/drawing/2014/main" id="{8AAC83AA-464A-49D5-9FD1-B458B7F1F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B2D9A14-D91A-43F0-AFD9-35AC063F663A}"/>
            </a:ext>
          </a:extLst>
        </xdr:cNvPr>
        <xdr:cNvSpPr txBox="1"/>
      </xdr:nvSpPr>
      <xdr:spPr>
        <a:xfrm>
          <a:off x="4629883" y="159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73F19F-3736-47E4-A26F-F5A127C6A56D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C4D7F0A-AE84-4AD5-BD34-D374E27A916A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C8905B8-AC08-4AC1-9659-0013F19E2892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2707939-0E46-4CBF-A43D-4DC3E7FF168B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15EE4689-4586-46A0-AC27-DE52BD3A6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4A351E9-3E48-4D64-AD1E-31ABC81F018D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C9BDEAF9-1AFA-4719-A3D2-6C2D9CFE0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3CD1BEA-92C3-4272-9E34-8A29C7381093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4EAE8919-40F0-4F5F-82E6-323F6F499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71EFB6C-5232-4DE0-9C24-A1CC7016088B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2" name="Picture 2" descr="Logo PD Pasar">
          <a:extLst>
            <a:ext uri="{FF2B5EF4-FFF2-40B4-BE49-F238E27FC236}">
              <a16:creationId xmlns:a16="http://schemas.microsoft.com/office/drawing/2014/main" id="{423FA13B-1011-457C-BDE8-A421523E5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113F4E8-B185-4E49-AFA0-467C8A7535A2}"/>
            </a:ext>
          </a:extLst>
        </xdr:cNvPr>
        <xdr:cNvSpPr txBox="1"/>
      </xdr:nvSpPr>
      <xdr:spPr>
        <a:xfrm>
          <a:off x="4629883" y="159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94453" cy="27400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1DF54D0-1B60-4080-8027-63B4F9656F85}"/>
            </a:ext>
          </a:extLst>
        </xdr:cNvPr>
        <xdr:cNvSpPr txBox="1"/>
      </xdr:nvSpPr>
      <xdr:spPr>
        <a:xfrm>
          <a:off x="3363058" y="1066067"/>
          <a:ext cx="194453" cy="274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D7744A-DC8F-4A0F-97E2-61B77B48752A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C6738C3-5A93-43BE-9955-3514741E01F9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A55729D-4175-429B-9670-C54120E4E3DC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622CFA3D-7F83-48C9-8429-538EFF17F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7F26AB7-DDB4-4E05-B6B2-E78145C6B256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F0E5F23F-5F85-4A19-A50C-F560A6904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132178</xdr:colOff>
      <xdr:row>4</xdr:row>
      <xdr:rowOff>151667</xdr:rowOff>
    </xdr:from>
    <xdr:ext cx="191948" cy="28716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C2226CD-B9CE-4AE5-B8F9-9101DA265E1E}"/>
            </a:ext>
          </a:extLst>
        </xdr:cNvPr>
        <xdr:cNvSpPr txBox="1"/>
      </xdr:nvSpPr>
      <xdr:spPr>
        <a:xfrm>
          <a:off x="3323053" y="1589942"/>
          <a:ext cx="191948" cy="287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217EFD68-D129-4B98-8C10-5AF568D51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8EFD7DE-0B8A-43C0-BFC3-A3BF5E59FBC2}"/>
            </a:ext>
          </a:extLst>
        </xdr:cNvPr>
        <xdr:cNvSpPr txBox="1"/>
      </xdr:nvSpPr>
      <xdr:spPr>
        <a:xfrm>
          <a:off x="4629883" y="140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94453" cy="27400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75DE31-39BD-4277-94C4-052858509197}"/>
            </a:ext>
          </a:extLst>
        </xdr:cNvPr>
        <xdr:cNvSpPr txBox="1"/>
      </xdr:nvSpPr>
      <xdr:spPr>
        <a:xfrm>
          <a:off x="3363058" y="1066067"/>
          <a:ext cx="194453" cy="274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616166C-9533-42DC-B32B-EA5FF4B4EA28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71A61B7-D59A-4A65-A50C-F2EFE5A706B0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AC9B6CE-FF9D-42BA-81D0-3E460AC76EF8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F1D21A91-9C6B-4033-A753-F1320D613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0BB997C-F6C7-44D4-9FBB-B3407F808B41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63BC6C96-1794-4B4E-9F6C-49167DE00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113128</xdr:colOff>
      <xdr:row>4</xdr:row>
      <xdr:rowOff>151667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698A2AA-5C0D-491E-93D7-637873C388B3}"/>
            </a:ext>
          </a:extLst>
        </xdr:cNvPr>
        <xdr:cNvSpPr txBox="1"/>
      </xdr:nvSpPr>
      <xdr:spPr>
        <a:xfrm>
          <a:off x="3304003" y="15899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561975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7D5DB54B-290F-41E0-A436-3E0D693E4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ADC5A0D-F678-40D2-9EB4-CE8875789226}"/>
            </a:ext>
          </a:extLst>
        </xdr:cNvPr>
        <xdr:cNvSpPr txBox="1"/>
      </xdr:nvSpPr>
      <xdr:spPr>
        <a:xfrm>
          <a:off x="4629883" y="140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94453" cy="27400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FC85A4-91E4-4143-B9D9-610D36BE2E0B}"/>
            </a:ext>
          </a:extLst>
        </xdr:cNvPr>
        <xdr:cNvSpPr txBox="1"/>
      </xdr:nvSpPr>
      <xdr:spPr>
        <a:xfrm>
          <a:off x="3363058" y="1066067"/>
          <a:ext cx="194453" cy="274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BA12A04-680A-406B-B3A4-BF9730CED196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027D809-9548-4F5D-8215-F7D053C95587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42E7849-7A0B-4196-ABD1-6E57BEBCA1D7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1E3E484-C34B-4F0A-B183-1A4D5EFEA36B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D96048C-77BF-4548-A39F-5B4C5767B13F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132178</xdr:colOff>
      <xdr:row>4</xdr:row>
      <xdr:rowOff>151667</xdr:rowOff>
    </xdr:from>
    <xdr:ext cx="191948" cy="28716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0CC4B60-B2BF-4D03-95D4-004E406C2D28}"/>
            </a:ext>
          </a:extLst>
        </xdr:cNvPr>
        <xdr:cNvSpPr txBox="1"/>
      </xdr:nvSpPr>
      <xdr:spPr>
        <a:xfrm>
          <a:off x="3323053" y="1589942"/>
          <a:ext cx="191948" cy="287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A6243FC-1C58-4ECF-A2E3-7BFE4D88940C}"/>
            </a:ext>
          </a:extLst>
        </xdr:cNvPr>
        <xdr:cNvSpPr txBox="1"/>
      </xdr:nvSpPr>
      <xdr:spPr>
        <a:xfrm>
          <a:off x="4629883" y="140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D4F0A4C-FEC2-40EF-927A-35A73570E18C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BC916C-5373-4821-A042-4DE3E4BA64AE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08FB9A5-1489-4A43-AE36-98FAF8121AA8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132178</xdr:colOff>
      <xdr:row>4</xdr:row>
      <xdr:rowOff>151667</xdr:rowOff>
    </xdr:from>
    <xdr:ext cx="191948" cy="28716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C136996-CF0A-4FAE-A755-5C61F403FB34}"/>
            </a:ext>
          </a:extLst>
        </xdr:cNvPr>
        <xdr:cNvSpPr txBox="1"/>
      </xdr:nvSpPr>
      <xdr:spPr>
        <a:xfrm>
          <a:off x="3323053" y="1589942"/>
          <a:ext cx="191948" cy="287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E29DD65F-27E7-4E57-8B72-9D59DFA92E80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8F321BBD-138D-4781-B4AB-1C37EEEDD49A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B27144D8-8E1B-4E53-A7D1-857F325F2A5B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68DC77CC-5C75-4383-AEDD-E4BC30E29ED7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EDFD3505-3A7F-4682-AC0D-A26B9FC309CE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FA71A3BB-04CC-4D98-9A21-FF7A195169FE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57E5599E-8874-4F0F-8425-E6FF4DE62A02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46CEBE74-8D66-44B2-B163-C90ADBCCC238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01077BC7-C330-4039-8CF9-78E319F16DFC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7765902B-4CD4-4F41-B0B3-29E9EB861E2D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8C393A8E-A669-4F58-A38E-9423A384790D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A1AEA354-A374-41A9-8C43-AC20FCC9A56E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36AB3DDE-3A6E-440C-A919-86F91975BED7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3546ED1A-B30A-4CE4-9E0A-96227EB3D111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D57DB771-185A-497B-96C7-4DD8F0D84226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F89EA34D-3B49-422E-8F8A-CB55A8879369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1A62866E-FEAF-46E0-877D-D4E29AB25C48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275D6F7A-978E-4F2E-9CF0-8961B4971005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DE932A16-577B-4C98-AC7E-0A1BEB4BCD59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E0D2F31F-56D1-40CF-9607-C5307C826D9E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5C22A9E6-E6C8-4DC2-B03C-833D091AF46D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7ECB003E-1F61-4DAD-9D63-C85F544E435F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5A000262-C17A-43A6-81AD-AB6D35C14124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A45AF134-0F0F-4B58-B189-8F538B76173F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1063F5D3-E5CD-4E6A-9208-D0BF86191D9E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FFFF93CB-91B4-44D7-8D5B-E67E06015113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BC3D4A70-3943-4C97-ADE3-BE3238E7BCA4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DBAE452C-2497-49DC-B819-DC524C1D0612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6E12D8FA-0317-431D-8C93-1DC3A7B3610C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3D0800BD-C4A4-419F-8611-31297B0F8346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485C0ED5-9FC3-4523-85C0-8B0DE780E73B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9BAC394D-5659-4034-B14C-992898B9EDC5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CF61AEE1-F459-4E12-943F-C74A544A2D82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BE697FA3-B9E0-492F-A326-5EBD366E0D32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7267F926-4608-496C-8C5D-178E94B344E6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E8973A61-C741-42D5-9B99-4830273A959D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A82AC2B1-3206-4C1F-BF81-03EC92C61FF8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ECF367FF-C467-4DD8-85CD-BD36EB01990E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1D36E314-F829-4D8A-BFF2-1F00F833417B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BCF34168-BD48-43A2-ABAD-E3F6C6C8AC5D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ADB7AE82-851C-4D91-B0F7-A7A3C4B710F4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61068047-EA6B-4608-8098-DD9CDE8E8A1C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094CEFDF-75DC-4F44-B02E-2C0626D490FF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88AA06B0-7C6D-4B4C-B801-2B51D27324C3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0391503F-72EA-4D08-8DEC-B913BA6E8672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1DAAB21B-5F09-4FCA-903F-99E364325931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D35FF6F1-1E07-4183-87DC-703E2EA2E031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254ADF97-7C34-4A9D-8989-B068B3BAE463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5EAE6FB2-1252-4701-A9DE-3529903444DA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F1C01609-FF7B-4816-9ED8-2232D7791A4F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ED4D6115-D15A-4F39-8E0C-1C2B903CFBB3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DE4068C8-9F47-4C65-8130-789B9D909B43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36DAA338-5B4D-474E-BF71-147D1F525B0A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F8522D55-865D-4298-BE66-F310492E761C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AC689C78-8F05-4668-A721-4FF0A205B5F0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34C690AC-61B8-4578-A37A-2BDAC755993E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6E4E21F5-0E4A-4395-8C02-A22BA0D43302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F70DB5D1-30E4-4BC4-A061-A5A32AA9D7FE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C3C2CD2F-D9D2-42DE-97D0-4DB93432B77E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108E14D0-1116-4E45-B783-122C34C728A8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A74BAF93-A540-46FC-B221-975202ACA20F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8C17F199-DDAE-41C2-B45C-D82341AA7660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18308279-1953-4EA7-A557-27E61EE961DA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37C0F7E7-E6A9-40D1-A5B3-0CB2175E4066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5352DD8A-6F3B-4ADF-8561-3D122E5E69F7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87E2BD2E-B55A-4B19-AD9F-5F4332E281CB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0E92EAE9-2EF7-40BD-A072-3B9648C1D34D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CB1E21C2-6AE4-4471-90B4-0675D988D7D8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B17E24C3-F475-498E-92A8-5DC76882B552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A00E9978-CF3A-4007-9FDA-14E1780ACE34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00B98EF9-71C8-45EF-ABE3-13489FF6489E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5349E4FA-C840-4E70-84C3-A460282945DF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7C4799F5-A77D-4553-A501-96699141C507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6B661CBA-605F-4742-A97B-69C190269E1F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DD8B894B-9C0C-485A-AFFE-3199F7F85AD6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4D01E33F-93A1-48C9-B9B3-C2CA36EA6714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FD76A8FF-7647-44B4-ACA3-FF0F005EEF4D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BF25010A-87E7-4ACB-814E-DB64669A5C30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DD87E51B-5730-4302-BBAE-170BE8B208A5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2701F139-86F8-45C1-A8B2-8FE83EF9D3E4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9E1C2B5E-28AE-4E2F-99AB-C701A45C5034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2DE9CF75-E041-4829-8473-7710D7CC6C50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C65D4991-FFE8-4E49-B976-2B7743B621BE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04A0BEEB-1D56-48CA-AC15-2B8AB3787CF9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085908F1-E062-4B88-9677-F4439A2BB422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1A965882-C17F-48DA-BEC8-A87A11AED280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BE9DB9FB-982C-40D9-9142-8E6D0EBC82B8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EC0268B8-150E-47AA-8FDF-D16052BC74CA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C54FAAD6-BFBC-4D0C-8D8D-083460E8856D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C20A375C-9F9F-4A13-BFA5-AE5BC3C504D5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FB35F54F-CA79-472E-A487-D2761E03773A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10953FE4-8AB4-4F62-86E9-91333D0EEB19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E71A3A96-8715-430A-988C-F4A28C114411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C81F2A6A-95E0-4BF7-A657-3405A513C569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9BA2A646-D080-4D4B-AE01-552612FB3562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DBCC7211-5E4E-4CA0-9EC0-2323090386F7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D14BABF7-11EC-469B-BDE9-13E16A8A82ED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EBD4D31D-8AB4-415B-87C5-7FD1CBB93441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2A252A47-C310-487F-B018-C6EE1B07CCC3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C7234D52-3C1C-490B-9CD5-A3E3E10AF33C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24B5A57F-52C6-41F9-999B-176AB3A0E9AF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C38D1582-AC10-46D4-AD44-5019B426881C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662DC225-5E92-4848-94E4-EE20296B022E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EBB17293-AA56-4D4F-887F-C7B9B21A59ED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4C2D36FD-2C44-44DA-B59A-0CD52A0A13EB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24E5DD78-D7FD-4EEE-865D-44DB75DA753F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17246823-1D68-4794-9286-D71C287FBEF7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9560C777-04C0-4159-A782-5E3C5087BBC5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730EE84D-8C13-4C2B-A18D-C58CFC764AD9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5E92128D-ACE8-420E-B937-0BD09DB5761A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4AA962A2-0EE9-4A8E-BBEE-AFBD14A2A5A7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4FBBFB1D-8355-4B08-9205-7BBD25A55F3E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C1655FA1-23B9-481A-B91C-C17FF76724F8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FC1109E3-3E0B-4D84-BB90-766EF61D821C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4E969E28-1E22-4902-BC9C-F30F135DDD18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72BD6486-FAB3-4B7B-B81D-10A624E3606E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990662AD-B148-4D47-B64D-675B8AF2E490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4AD80D77-401C-4C57-9539-B47EA396C832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BF68985E-D3C1-48E9-9859-F263BF35AFF2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7B7226EC-9A63-4DAA-BE3B-EDC4D328AED6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DF8DC74D-F017-474D-AB14-6C4D598DACFA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CC0D9ED1-22E4-4308-83C6-BC5CBD805050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E5BEA758-0CB5-4016-AF4E-7A007C2737C4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E9295E18-23E6-425B-A0DA-40903EE5B4C5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AD472C9A-5BAE-4CC4-A1DE-33D2B894C38B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0991E632-ACE0-4046-965F-FE4F93CB4A18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327E0AF9-9DA9-499E-81E6-DBF1D148460D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5F64F301-FE2B-4E09-8DBF-0EBA4281CA31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A1E92DC2-BEB6-4625-9B2C-A467EBC5E1A3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419C4621-6515-41DB-AACB-EC9447D64CFA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D616AA82-168A-4E53-B5C8-4C85E11B20D8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5B7A5292-D5C6-44E9-91AA-EEDE8C93149B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BE9F0571-3FD2-425E-B096-28DE057C05E6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E3244973-3992-4181-BEF1-E9E4B6D83A7D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CC43ED9C-A4AF-49B3-971F-78310758772A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A374AF5F-4C81-4161-8290-861203D1CF25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B836D748-7215-47CA-8CCD-40671581DC20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70388AEF-0993-47B7-97EE-1A8AEC2ADAC6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F4A08D6E-6AB9-4C21-BE12-72EA3859DC3B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71C81012-0880-4227-8199-3FE55837B183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AFE345BE-8744-4D26-9E00-E30C8F99BF64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D69B0187-BC66-49CC-AA49-E5EE2055E902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FC51C37F-A008-4B4E-9B10-35AF29C18DFB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CBF4E6BA-95AC-4550-A954-A234AD660C8F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F64EF1F8-E079-42BC-BF05-8ADBBFB96DF4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1FB31FDE-8725-439C-90F4-0EF0A5BCA1E6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3F2635D6-5E20-419B-B26F-CA9389426CD6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22FA1A86-E745-4537-A0E0-FC1C8A0DE175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533C1F6B-79C8-4A18-A177-A0837409196F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E2A75414-BD77-42BC-8543-E722A88D9362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F3F182FF-574D-4F36-AD69-91E27229388E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8BD0BE88-447C-454E-9A95-ECF3C7365867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9E61C8A1-B5C4-43ED-B959-D642BA15A15F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9998522C-7E38-4F40-95D0-205A13771449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739A2313-BD6D-42DE-86ED-07F61914AE8A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DCEBC290-DC73-453B-8A8C-528395AAE115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D92632E6-DFBE-440E-82EF-54A10837E25B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6C21EF86-6EA3-4B13-BBF8-13631072CFF2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B508F001-B84E-4E24-BF3A-912C697401E9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BD66CA0A-5C98-4A29-A1F5-7FE0F3DE9A2C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41F28EA5-F0BD-4E11-BEA7-8647073B0C77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54AFB732-D56E-4C54-A090-5E0A2022E8B7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0089F61C-76C6-47DA-879D-CAB7A4D71119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14CF53A5-070C-48F9-B59F-EBA86F096D65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E2DC1F29-CE28-483D-82D3-6F4145BAA285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A07176BC-DB2B-48B0-8DF1-62BB22630953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8759EE02-3849-42D6-B122-66F2BBBDD78D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219FB44D-6FE0-4DC3-BD72-1EC7887D070C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F0E4AFE8-7DF5-4B05-8FFF-AA0AEE16C129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AA4EDF42-C5DD-48E4-9D47-2294E7A4FCA7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6E5BE8F5-4C0E-4A25-8FA6-4E5A97F7D643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EC3B56CE-B653-48E5-9FF6-F57A978436F0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3522BB0A-D4C2-4CA1-9E6F-0EF7F907A677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61E9F869-D6D7-44CB-BB29-107343854889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578DBCE3-70F6-47FF-AC8E-9A7AF44901D5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7B7A6F7A-8DD1-444E-AFC7-3730EC8379B5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9334175D-E9F0-46CB-A700-FE27A61CB1E4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F057D3B2-674E-4A51-AB8B-A0C3BA64C799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F5E2E2FC-DCC1-4C66-BE87-360235A41F65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A5BDE30E-7659-4D2F-B537-F23ABA63841E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3A0B8D10-FC82-4999-B46E-AB5F6FF640E0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438A2C5A-26B7-44D5-A88F-A51191E2B34B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02848C21-B334-4791-9E66-4D13EDBB233C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5EF3B69B-C771-4413-BB05-1D5B7277E097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A7190561-9B21-429B-A0A0-D71D887D0FE6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E4EA8061-C74E-46B3-8062-FAE40F538200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C585AFC3-9ED4-4D22-AF50-15FC638BCC09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5189C9CD-37E4-49AC-A0B3-27BA43AFA14C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F87E11DB-1849-4B02-B865-71931E682A1B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A03EC182-97B9-47BB-A158-48CA5A65F8F4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87C46C2B-CE9F-46E7-BDC4-FF801BEA6B0C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3ED62AE5-C0FE-48E3-891C-8CD8FB624CFF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8EADCD54-DD31-495F-931A-ECC1DC003E6E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390BA188-370A-48BF-9D45-12ED97010533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191DEC20-CB71-4F0F-9485-DC26B63DFEDC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B85447CD-4915-4999-BE54-7788BC7F1315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DD7D8309-7EF8-4568-95DE-03CD6293A9F6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9BAF7B8A-A6DB-42DD-BE1E-BB07DBC1D3AA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F3137424-E101-4BFF-BC48-E61B0A40CF5A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FC462860-B82E-4C53-A3B5-3B70464FF137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49300183-0028-4057-AE83-07D7A651B638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84AA86CB-17F4-4B06-9F29-DA30240F4D29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42D39390-32BF-4C8F-8DAE-36D5869F4D8A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C7891AC9-2E03-4E39-9321-5C1D898DE691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2A90001F-D0EA-4B63-A9C6-4F4D3BBD6F1C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3168767D-2376-401C-9602-B8E67C9F86B7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08C2306C-F135-4D9E-B49F-585CE6CF5EAF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9A79A166-E95B-4F48-B96B-320D1B3C6418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58E2164B-A4C4-4C2A-AAAD-FEE8BAC8F7CD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712FA177-8C5C-412F-AE8F-B0D3F5CD64DE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76A12027-B7E0-4911-BB35-B08E969A2C4E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776097A2-C37F-45D1-9DDA-47C7F399E22C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553388DF-71D3-4891-9FA4-34C2EF3FD8C9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27E15E57-BDEC-4A0B-B4CE-BD852962E104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8F3EAE8C-B089-4F55-B46D-2EB8BB751E6B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F30DBA02-F775-4003-818F-2D3D01BBAE66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4814CF3B-B135-4C4F-B6C6-30F62DD905D0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59ECF98D-6D01-4CA2-A3A3-E50F4ABE1408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1E90A113-7EF1-49AB-B692-9F450B0D4991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DF700BA7-EBD4-4AB0-B141-4E01270DB696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32AB371B-641C-4413-B8F3-C267B205365C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51190FF7-95BB-4199-A006-6CA1746DF6D0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A7654050-7FC4-4A71-B879-92F7B9147BB2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D0BAF322-773D-4226-B9D7-ABD945476294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A8D18676-6F5F-4A89-870E-D2E00CCE0D86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F5336339-7FE9-4F26-A856-CC9D2EBA67C1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D96EC14C-FF90-42DD-AC80-2BEFF454A9DA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76E2D1A7-49B0-4396-99FB-A7FEC0B44AB4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380CEFA4-2182-4962-81DF-857819F673DA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08CC7239-6F49-497E-8AD4-11CA27C94A44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C77A5E3A-0223-4D19-98C7-DAE7A537EF01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E4AB3A67-3161-4930-B5EA-62F96D3BA4B0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253E8049-7669-4585-A79F-FD39D8C2B62B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C8DBEA72-CFFF-4E80-8718-12EA17473A8E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ACF357E7-9F42-4F4C-A6F8-E7417B4C19E6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499B9CCB-5712-4B7E-8554-F69925090F63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92DEC623-B89C-44D6-A64C-9D3BBBAAF290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0E8ED57B-519A-4F2A-B5F0-EBA30EA28F9D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ED4A73AD-A1D7-4A37-B568-908D06ED0749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B20D1031-9B32-46CD-8342-177AD3A04F29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F5AEEBB0-6181-4565-9254-C6A8F1AB0173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5B06C974-2317-4F2A-9EFB-D10204081AF6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0C30355D-0048-4477-BFAE-03C5A1ADCA7B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2A782F7A-6E9E-4E34-A75E-EF2258CF47B6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330638D8-6B32-4866-AB27-F80839019D87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40B0310E-01FB-4355-8486-D92552A6C5AF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C148D7AA-9BF5-459D-949F-8080BFAB67AF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47AA1D6D-E8E8-4035-8754-D7BD7F6F3510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7276EBD0-A9F5-4659-9E2D-50615C5349C8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EE7C87C1-FC35-4318-8B08-431F6736E81A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1DDF19E9-1CA3-4ECF-AAB9-235EF54CD3CC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516C9CC7-C8CE-4733-8931-974266149607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387AFC68-627D-411F-AECF-837BFE3B994B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EDE6436E-FEE6-4F71-B704-B10F74C1C127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FC048626-6EA6-4EFC-ADCE-10FE263A35C0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AD317F89-4BF5-42AB-B4DD-440F76098029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528C8DA9-D98B-4327-93C3-595F43EFED49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B58F9157-4A9F-4C84-AED2-C69101CAB6CB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591DA6D5-281D-44B0-8FE9-876BBFF40EFE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E0A9AAB5-A01F-44D2-B1B1-92CC24E79921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17B15C00-A67C-438C-B186-2DD7EFD8B4BB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95B40523-F48D-4612-959B-DB055F0F661A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F112BC00-09A7-4AB3-A871-FF27275E97B7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7C66AA59-9DBD-4AFE-A68B-CB46F33DF624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6254D5FD-99EE-4BB6-93BE-E21F9A2D5E3B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64F05EFF-C1D0-41B8-809A-370024E96184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A7A739A6-D51C-4D57-8D30-AD21D41007E1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02037AC0-0A27-4ED1-825A-3538EFA90F26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6004F867-D1C9-43F6-8B31-3CE87A7E434E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7E996B0C-19DA-4829-8CBF-0A863B4D3659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DAF964BA-5CA3-4CF4-80D0-6754230A9773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CD0661BC-300F-4651-9CF4-C94ECF1D9245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B0B82053-95DF-48BA-A88A-7EA04E1CE0DF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5E7BA242-E2CA-402D-A5DB-301157FBD950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F9CFCBE5-47C4-4E6A-9B37-D97C2089470E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924DFBDB-52F7-45A5-A8D0-01A35A01EEA5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766C121F-D427-4AD3-994A-5CE211AE8023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4E6A0694-EAAA-485D-AD6B-0D617CEE648B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CF572ECF-CA2B-474F-9F94-D815385AC494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8A95664E-8534-4964-A3DB-6F35DCB1D910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3B9EB935-D33C-4660-8A96-A87A1F3D4628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1B31E21F-FC95-4022-83DB-701D53C221CE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4BE112F3-2329-4804-97A6-3483BEC74393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C59226F7-A44E-469B-A0EE-29F08073A4D8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7E909C36-FE9D-4070-A6C7-0A2A0681C83D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9DA5CF94-1CDD-405D-9F21-8E5308863DA3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49E5F032-5C56-4D0C-AB5B-CF4D824E3E8E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B8E0941A-01FA-4F1B-8C35-AC01981FB48A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7AF00852-E425-4D40-B9EB-679776BF7DCD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80DFFDA1-6DD4-4F8A-B6DA-268B1579FE1C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DFD8B035-BC5B-4AA5-9C05-7612C4B29B37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6BA9FB7F-5E58-4FD8-8093-8678ABD1BBB7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86855037-3A68-471B-9904-2BE0F5674FAE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A022981E-3BDF-4314-AC8F-5F45F6019C76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E2847EB5-FABB-4572-AE0D-4DE729CEE22F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C7DED8A7-BB09-4125-B678-003B7FA9F501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CC281040-4047-43C1-AA6B-306AF43BB406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C79F61F6-0D8D-4A2E-83E3-F9B60ED3EB6B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B6579760-BEEF-463F-8CC3-2B5F3B36A64A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0C630F1F-DB0E-4D5F-9F56-0FA4AA07B560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4B918248-93EF-43E7-8103-173324BDF783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7C20FFAC-2637-4EF6-8865-254F584008D7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8065808F-FF8B-4AF9-BECE-AD43A6A0F9E2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90861EF4-4071-42C8-8A98-BC6F6F99B3F9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4E9D50B4-E2C1-477F-BF85-3A99BB4F229C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FF442679-2C2F-4BAE-9013-7C7127159010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78E39146-4F46-4536-92EF-1E81629E945E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F609633F-42AE-4B82-956F-59FCBA198AEA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07A499EA-AE50-467F-AB4B-AB1ECB4889F5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45D49637-6814-4B14-BE2F-905C87E1C6FC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07388DCF-734B-4946-844E-42A11FED4210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3E66ACD0-2DD2-41D3-90A8-9036829A1311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78107C45-66DE-42C8-B4D2-F265E93B6EA8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7E74240F-698A-4207-A9B9-B625DBCB71A1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ECD6BE85-E8DC-4ACB-987E-19815183878A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CC361B86-A65E-49E5-921C-8894476E2503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94453" cy="27400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1AEE593-CDBC-4E7D-9958-D8A7D418C90C}"/>
            </a:ext>
          </a:extLst>
        </xdr:cNvPr>
        <xdr:cNvSpPr txBox="1"/>
      </xdr:nvSpPr>
      <xdr:spPr>
        <a:xfrm>
          <a:off x="3363058" y="1066067"/>
          <a:ext cx="194453" cy="274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61A0ACA-E25C-4191-90DA-F6DE0E852182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B1D6310-8991-42A8-B653-B2BDD9FC5ACD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9F83F17-FBDD-414C-9E5C-6705D8E7E948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356D293-1A21-4B67-99C5-C8C3FD5277E2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132178</xdr:colOff>
      <xdr:row>4</xdr:row>
      <xdr:rowOff>151667</xdr:rowOff>
    </xdr:from>
    <xdr:ext cx="191948" cy="28716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924862B-F7C3-46E9-89EF-BFEDEF3BBBDC}"/>
            </a:ext>
          </a:extLst>
        </xdr:cNvPr>
        <xdr:cNvSpPr txBox="1"/>
      </xdr:nvSpPr>
      <xdr:spPr>
        <a:xfrm>
          <a:off x="3323053" y="1589942"/>
          <a:ext cx="191948" cy="287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9FBAAD6-8188-46D1-BB05-FBA76D11B3EA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BCC599E-5C82-4EBB-B6E8-BC6052902CC2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7D18AF9-6F44-41A7-979D-A13D97032CB6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EC38226-963C-4A51-B043-6981C8895302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D85DCED-F73C-47A5-921B-68749AE7576E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B667EAA-25D5-4E63-B61D-504D4DDB0CDF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4201B25-40F2-4F9D-A9EC-5AD0EEAB1A24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6DD148F-1334-465B-9052-0EF81563377D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C081197-FD69-495A-8AC0-B5F34A06C527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B8F99EC-1369-46BB-B906-E524D68F5F15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4ACA3BF-C274-435B-99C1-641E792A65E8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57AAF3E-B8B8-45DA-AE7B-C331C1C80B6E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16F9BE9-753D-44F9-AE2B-045F21236FB2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2E41118-9378-4EF7-A11F-EE03C160E7F0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ADCC568-D2AA-4480-9528-AECB46539136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2C50C93-E23B-4149-8BA6-1E7727B05A02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D8E807F-49DD-4A1F-8582-34882A27A13E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5C3E434-D9CC-4445-9D82-B20978D3AC27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7D5DF93C-04B3-4DA0-9614-B97679D0D0F6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B363295-3F36-4D9D-8F75-014FC234BEF0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F85566EB-9E25-43AF-8A4C-8A81D57B9FAB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34FD73D-6652-4F66-B1CA-37B07E3FC943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05D53A4-6806-4643-9B37-6335137A649E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8E7EBEB-83BE-44B5-973B-1669A501B1F1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0A77587-92B5-4DC1-8326-9C9408B5CCE6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C1B8A7C-06FD-41E3-BAC6-0B4E407DE47C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B59315F-87E1-41CC-B05B-0447CDC29C04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91F8EA78-3C65-4DE7-93FD-75754A62DEDC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7C95BFF7-84B8-4365-934B-56E029817C22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2A0400D-4E62-4D91-AD4E-6FCE0503EFB7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86BD5B47-1F4A-4519-9F9F-33110E7635AC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F1514F5-3B62-4609-807E-AF11EE270F62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C72B31F-B46E-43D1-97E8-1D40CAD12C4F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97CB40-951F-45E3-A78E-D9D6A64BEB71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9E6AD6D-B44F-4AE9-BF59-A72E50268A5D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B0DF713-5896-4510-B9F8-661F76FEE095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B3E70-7B83-4F9C-8A59-58DC1B683743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132178</xdr:colOff>
      <xdr:row>4</xdr:row>
      <xdr:rowOff>151667</xdr:rowOff>
    </xdr:from>
    <xdr:ext cx="191948" cy="28716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03A89A6-C673-4A11-8646-B7162AF78391}"/>
            </a:ext>
          </a:extLst>
        </xdr:cNvPr>
        <xdr:cNvSpPr txBox="1"/>
      </xdr:nvSpPr>
      <xdr:spPr>
        <a:xfrm>
          <a:off x="3323053" y="1589942"/>
          <a:ext cx="191948" cy="287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B070A00-F18F-4B8E-A37E-5F241DBABE20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0EC51C8-25FC-455A-ABCF-BFF7BF550990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FB57A58-76A1-4084-9CFD-014919F33702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A2EC401-0DD5-413F-AE67-3A5EE3216D8E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7DE0133-6BDC-4A73-A66B-5FC140A9FABA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3A63988-93E0-4921-BA1E-8151C2146C71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6133F51-C03E-4D36-AC26-01E96123301C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BEE9249-3E45-4513-8172-E914B8A5732E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DD217A4-FF0F-433F-965F-0DBC0F2CF9ED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1B65FE0-E36D-4DFB-97A3-463F6156FD47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EDB236F-4F16-4FDB-A3F8-858DBCF76A11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65AADC0-CC88-46EA-A693-25C0D09FB65E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C07883D-46A0-404F-9102-FB2731D64824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9A8505A-61D5-423E-8495-9E503F901BA5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8C21891-F9F3-48F6-9416-936425B11040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694C6B2-A6B0-4969-8869-5367B7E7B5C5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64346143-96E9-4477-8F68-3C4A5D18AFA7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15BB4A7-B3DE-4818-8329-E9BF8D17B949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9542907-7A36-4885-BADA-7DBF8D2EE134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1937A06-AEF9-4062-8937-D137A1157CBB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4F96126-3862-404F-9C7A-0A296F48196B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9B0EC56-44F6-43EF-90C4-46746238494E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6FF0964-5EC7-4C92-A28D-9D0A64E6AEB5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8599074-24DA-40E0-AA9D-42CC9FC15040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62A8CD0-2B17-4F6E-8054-E54558727CD9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C68E41A-E5CE-4DA3-9277-BE1373E9845E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F37AD397-841A-414F-BA7C-D85CE901DB8B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407C6089-CE51-4FA3-A880-93F47A2A1859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2426D161-A03A-4239-84D8-338AF6E71259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90FC20D-A769-4D72-AF2B-471733A7D6CC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5FE0D3FF-1958-479C-A5E8-E90A8E23D9CE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B4716EC-9CEF-457C-9825-4967FF466AF7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F92AC47D-76A0-4A54-A760-853E2A7DE67B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C65B4DB5-B937-4D3D-B15C-1ECC96563C29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FC77B4FE-B1B2-475E-9A20-5B9ABDB20DF5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996EC444-9D7E-495B-B4A2-A80AC9E23888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A5882D33-86F0-4DD9-A608-E057A1CD2ABF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7EDD4CC5-67B0-4EDF-99D5-406BB22EE71D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3465BE0B-87B2-4693-AFC2-4DDA32AF5838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D706E104-5CC5-4946-A523-FAAD3BE56300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3B4D41B4-8C91-4B06-A11E-BDE397075C73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66296C2-C607-4085-8E01-1D0619326360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5CB3EBEC-9B8E-4CEE-A80F-F446E8CC1491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35880723-DC1D-43CA-87F1-055ABB519F6B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64A6D04-9A5E-4375-9496-BC915B7C445B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923375BF-D891-440D-AB41-D7F78B832D23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79DF2A8B-2D87-4669-B1DB-BE53E873E1CC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EDED05C0-5F6A-4392-8103-A9B9B5EC88F7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35A6BAC3-92E6-45D0-9B71-A3D3DFACF1B8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9A733997-CC1E-45EA-A829-9B254C94F7C2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5478EB88-0AF5-4446-8BC2-C7C18021E993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6E6A5E31-8E99-43CF-9E47-1FDF0662BC1C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3DA075D4-3D60-4031-83B8-8A182A1C4738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39070196-7F54-4EE7-BB77-9B4EFEF7D377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21FE7403-9555-4041-8D32-E6D36C46926A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74FBD48B-69BE-4E61-AA20-C42AB1F12010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96580EC2-B8E5-49E4-916A-C5373FE12E43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4814119A-8CA7-40BA-ACBE-FF822B0BF615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BC849745-04DB-46F5-8902-D2E7BC9DD044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AC4FE2A7-366D-4FFB-B1C2-D68136B34E73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A7247583-DC33-4F74-841E-885ADCF4320D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20C9A7F2-A3A3-402C-98C6-0C943C60CEB6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431E3826-AECD-40DE-AD43-A3A2BFFC1C1A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48E9AC56-052B-4107-981A-36CB5CF9577E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8294EEC0-1023-46F6-85B0-0F15D3E3DB57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A8966975-513F-4438-8F5D-7F9EE7BA1E79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6B29DDF5-277F-443B-9DB9-9E39A001BF94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C911FF76-2C57-40DD-85F0-39EF40542705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C0A943C2-B516-46AD-B509-A52FB3C3A519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79D51B70-242E-4DCF-989B-5CB7C3EC6302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64D50E1B-4F24-48B6-B5F5-D5A347C08792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6F1C7666-8E73-492B-8CF5-F4A060141272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79FD4E1F-F0A7-4AC4-87C9-068E334587C0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B6E931A7-E8BC-45A6-A5F1-E4F31C87AE7F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EE3B5920-D492-41E4-9D13-4646EF6F2EBE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FB8B2B8B-8DC9-4F4E-AB69-BE0746928FC3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584BA4FD-B3B6-4426-AEE4-F33CEDE689D9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DCD9D17-5E2C-4E71-8FFD-D14EE8D4D331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839B6F5C-2C8F-4F53-A614-D78DBA94D433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B4C20FFB-A50F-4DC7-8817-CAE175C2C9D6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1A193BB9-BFC8-474C-BE17-B8CA730633A5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22DB3BF8-53A6-480C-B353-D6289036FFF0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698ADBFC-8980-4754-B03F-5C5290D1BEC8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78E2591F-171C-4222-B1F0-B28C2C4B5159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6160F3EA-DAC2-4106-8719-875C1E56C068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6BC34264-DAB0-44EA-BB94-0AC78260D654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904645B6-126C-4A28-885F-1F7DD60111D2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F66F87EC-FFD8-41B0-88FF-AB7134981F2B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3EC10952-DBDF-46BC-9354-9AFE6E8CD06F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A7D46F21-8CCF-496F-ACDA-0543D86218C7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9C431972-F46A-4648-8F8A-3B51BB57C2BB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671A59DE-8C8E-491E-BBD2-AA31A17DD554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78DB125-AB1A-45EC-B642-42EA5823D7B7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C4F8B799-5CE7-49D6-9E21-E2890C6A6AFF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5322DEB5-85F8-49EE-A075-8AB40FE4F106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8FC1E470-6E1F-4FAE-BADA-E54DD852C35F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842E9F01-CB2F-4D26-B895-09635794548D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40714024-3738-438C-A246-D09241652852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520F61CB-D2CA-464C-A46D-1F762A0CE53D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3B87CC56-AEB7-40AF-8E90-172B2112DEB5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3232B09D-9236-4EF3-8366-11E2D635CEA2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F5B16734-CD3B-4021-8FBC-9DC0CE9178C7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4EA1480E-723A-41F8-AD92-AB5B68DE8C23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ABF73633-75CB-4FB9-B9C6-D500361A918F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33563AAB-C9CD-41EC-B8E7-BDE796A7B49B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A85C6A69-F832-4D49-AE14-E5A4A3E210B8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A025C0E9-CAF2-440B-9B8E-6A02227418F1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14D1581-1F89-4E46-9E94-D31B13C96042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CC7BA9CD-86DB-4D59-81A3-EB46073235A4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D41ED609-62C6-463D-9758-81AE894F16A3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5DBFC734-AB73-4E51-A360-C8D8679AA39F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D4A4592-8A24-4E1E-BB4F-194627AF11A3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5276FB86-9930-42A8-AE0C-768910475FDF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228DD3DB-D0DB-493B-9DC0-9981B9B6B6C9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7FBE3792-5184-4C56-AE01-20FA15E7735D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6C2BBCB4-D3A0-4A31-A149-2003DA123FD4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82C5574C-59DF-42F3-B4C5-2DA94B49E6C6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FE13D82C-F53B-4B16-8678-35909573FBB8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99E8DFE4-7EF0-4E26-824B-09A7A8B8DF7C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F9CC12AD-F651-4C37-A956-9CF3139CF9AF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BEB2E336-AC79-4F95-89EF-01EF3FE2D47D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65B52657-B1BB-4C0A-9FBF-DF165E854E97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4D679A21-CFFA-4E27-82E8-B21B6B6DA252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B400E6C3-27E6-4139-88B3-CD4AE7491451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4914A7E7-68AB-4A2E-87BB-9E41D6F4E4CA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FE7D36B5-BDBE-4F31-AD32-0584E15C5D5C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D005A34-33DE-440E-A046-277E32E13BAD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656B05C3-B0BB-4DD0-BEBD-995B52DE5640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D3E5BA20-1824-4905-A238-8D0A39D6275B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5A8CA166-C903-4888-BC21-0BEA8ACD9007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78308CAF-2B31-47D8-9E19-B20880AE457E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63F9FCA8-8079-4358-8ED6-DF978308D02C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4779DFED-3EEE-41A1-958C-00412B3C266F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FCB1F6A5-D8AB-45D6-8C0D-486AEAF45432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F7B14C3E-336B-4668-B7F4-1F0D5BEFACE0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D6352DC2-95DE-428D-9FB2-F59A5C4644E2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D80475AD-11FA-416C-9C63-DC5E1F951544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725162E5-05B5-41D1-9E4E-EA60A073285B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5F647275-C71F-453C-BB88-B84BFE813632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823F3D42-F8ED-4BC9-A543-239152355950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33075D0B-6667-4EBF-81FB-C82D41A1D583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CEADE80A-6E06-4648-B221-F2C01962DCE7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5BD7C5FE-D9D3-4E41-8425-AD6213A79902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E09E42AB-23C8-47F5-832A-38843411A23E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3E1DFC19-14C6-4728-BBE6-80BBCEF7C13D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51A40CA8-0210-45D8-B573-101666B16435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D9764EF8-5FC4-4568-90A2-D4A6F5D2CABC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131F19D4-5E25-41EB-8804-22B0027C4B5F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7AD0EAC9-D4A7-4D38-8C52-860D4997D5C7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FEEB7C69-2FE0-4032-9482-7136DE85A615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E780E750-26E0-40F2-B42C-2E2BBF7FDBF4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330A844-2C26-46E6-A1C4-7007B33F05B6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C46B2EEE-B8EE-46F7-8D60-5E38BB46B569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28D47D86-2B85-4179-BCDF-B31DF7CD94AA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F16D5CA6-973F-43AB-996A-8502FCA69E3F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2050C93B-587E-4EFD-B7EE-D7CAC2AE53DC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48D68070-3744-4711-BF1E-C450B44761DF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F94B3EB3-D081-4900-BF87-D1181D793AE8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1D4FFC1A-148D-44F3-A260-0A94D9931B8D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5581AA50-1D73-4DEA-ABD7-2768300A2305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EDB60FA9-EF86-419A-A36D-125058A76ADD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1EA4C995-049D-4808-AA1A-EFB65E421D55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1AAEC327-A7E6-46B7-B393-423AFCD835B8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9A810AE6-FE5C-4443-B298-0E694B450171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2DADE5DA-45BB-4AE3-8DE1-ADA851262938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C2EAFEE4-611D-4249-8EDA-8964665533BD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B9201319-1E78-4AF3-A488-2C740A6F983C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A014267D-4C9E-410E-9137-2127B0A9F681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93169831-65DE-4E3E-ABE1-104C3C071273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C8BE48F9-24AA-45E3-96EC-A5EAB117295F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AC3E627F-2F02-424D-8956-CA3EA54EDFBA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C6E41F0B-82EB-455A-A5C3-56DC46A197A9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5C737982-196C-486A-BC78-164C216F0BBA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94007F4B-2550-498C-881F-05041851754F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9B13C9AF-1B60-4FDE-B6C8-4E2EBF0E27D2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698661F4-B49D-4E1D-9027-33035D91F246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7CACC9D1-FDFD-4A81-960C-6936F7194D63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D3B85260-D2B2-4F4D-9CFF-D486CE1744AE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FF370C15-9D67-423A-B635-E0A2B2F57B08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A46CE960-F5C6-4838-BC25-D4D2B21072EE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42860389-4389-4E42-B9BA-FEDAA76167FF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C3F8960F-9FD5-45A7-9354-9EF529BDFDB5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BD6FDA3A-09EA-44E6-A0FD-2309DEBCB741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F6895E05-90E5-4349-AF34-983ED1982F17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59C28CD5-5B90-4B97-9023-EFF4E920EB2B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7F45680F-62B9-4BB2-B8D7-ACC706991807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CC6A603D-20EA-4316-8799-E0BB4BC4267D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6EB21742-132A-406E-92F7-64DDF8B3E6CB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A8ECC9F4-2A84-4D7C-897F-31D57E5A0827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CBF63133-C649-4B4E-9F78-9E56169646B8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7A09281C-26A7-43FE-BD42-9615EF6746E0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6DCD1C45-5876-47A0-BEAD-3772B2057FF3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9D5C1AFB-F708-48B3-AEBE-57E3ED63E0A7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451D1869-A063-4F59-BC23-649A9F30D3BA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9D9A0AB5-FC47-4720-978B-030AE6E2EEAF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65720EDB-4F6F-4D55-8EC7-D826C24D7466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D4DB2B72-F73C-4FA4-987C-4F107F198FD4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584C748F-9087-4A07-898E-B03C8ECCF433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E41526AB-67EE-4FE7-B087-06822B9BF025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F30C2A6D-F4CF-44C6-872C-B65D24E46808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DAD9350E-CBE7-4C5D-98B4-EE909659CFFE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07D6005-3AAD-4314-B889-9D5D9AA923EF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5A5CB591-2F7E-4098-9354-5326A5BACDE9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314B6EE8-73FC-4586-8BC4-C291F5E8F7DF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A867A7D4-E76C-4E03-8570-F85AA92E42C6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4C10B289-D59E-4AC1-A277-53B8C576DD27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B709B66B-5392-4E80-9C29-A49AEC858347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FC4134EB-78D4-4ECC-A7CD-F5D82CCD0F80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D57B749C-9A55-400B-8C33-BA89724E560F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155F034C-0018-4BB3-AA5C-64FAEA1B481C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111EDBCB-8647-4BD4-A59C-3758140C350E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44C045E2-E598-4621-BA43-70D87E06333A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AF188629-1DD3-4190-8D69-9779DB472718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02D7E98D-7536-4A98-82F0-727924DF742D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60D46004-BF2A-4250-96E2-D0EC1039AA09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7C2924C7-9804-4548-8AFD-114EC3FC2EF0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292DC1E3-E24F-4831-841E-8D7EC72512B7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A3160987-95DE-42A4-BC99-85E7CDF76325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57E9A008-6DB5-448B-AECE-EF665C8A544E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86219865-045A-400C-A54A-C8FEE601F4DE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BEAB2D2A-2C0A-406D-89A9-FCB5F02D0B59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750A5A6E-7EB9-487D-9166-25B724595FB5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19DA5173-061F-41EC-8C07-8DE1882AB0EC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6DE2539B-9166-42DC-9394-32620388FF0A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E2CA1182-F0AA-41BA-BD28-12AB182C3D96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7E816B7D-0405-44C6-A247-44462809809E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A7817C50-B796-4F57-9BBF-FEFCA156F6C1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62BA3A56-7158-41F1-A5C0-CF7A1B451175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FB23D5D5-1F11-4294-A625-0516C3FC67D2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C0F950AD-61EF-4A3B-8851-87BB95D70B2F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55FBDEF0-416A-4BDE-B214-A499E6409615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04467782-CE99-4675-B48E-2DD7BDA0236D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DC8D90E1-FA36-4F69-B049-759697FE3CA1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A7FF50B9-11CD-4932-AE1A-BEF5EC871621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D3A1CE3B-25D3-4664-B11D-E21A52791B16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214AFF4A-5D7F-450C-AD93-5BD11F7E1381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17F70124-8202-4037-B4E0-A3E0B6D2D086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36D31CD9-4D87-48D1-A13C-CEFFEF604DF2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68497F9B-749A-4DC7-BE3F-5B3DFCD0F103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14FD658E-4E22-4346-8FED-BE942E48CCB9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AECAF463-2DD0-4854-9C51-DA366365EF76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0F2F9190-2948-4F6C-8D7A-F877BDE3EF15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9337702B-C110-459E-9826-BC23C04790C5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51826C20-A85C-4552-AA83-4406F3F70B66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850145E6-6995-4ADC-AE23-B3916F341428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1C16F499-3902-4A00-8A4D-077930F7B326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5D337A1D-92D6-4518-963B-D2410BE3F450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F5F2BC15-9C01-45A7-8B02-6A3D23D8B42E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939DD684-8A2E-4614-A29D-F205526696DA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A58F210C-A07F-4BB3-A9F5-24A1FDE66EC7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8CEA8F4A-4703-460F-8B42-6438787A5BA4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B01D732A-448A-484D-A4A0-6320ED23E0EF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75A575B8-2CA1-48AF-B6B8-6AA2E5D1F7AE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9D1E0296-B31D-47A8-8E8E-E15CC6716F59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F24D235E-EDFF-4E00-B9F2-505D7A0F98D3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E86D5F83-EF93-4CE4-91B8-20AF43B33091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B7819523-E1A6-49C9-BAB1-9827DA6BC34F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903A915E-3E01-4613-8DAE-04FECCBFCC30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38867A10-3A47-4F08-A11C-B51F78AB965A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BC0EE9DF-A1F4-4C21-83FD-64823D4083B5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E0A68DD1-3FB0-4E1C-A219-B752745212B9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87BA92C0-6BD4-482C-B5F0-B6E1C2D8DC5D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709CE403-8D6C-4236-A78B-3DA1DE36E283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780AA3AE-1BCA-4D38-AF07-298457420F50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8F5ED553-99C0-4297-AE58-2F21E4B1EFAA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A6A96DC9-A370-4795-BEDF-0148D0BDC6FB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593CF3D7-B386-4206-B4B7-668CAB8EC47B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7AD40610-C3A5-42E9-A1F5-F48FD70E826D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808063AC-C282-4FBB-8E26-62611EF67894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DE947A9C-E390-4A05-B873-488A29AF28F1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D5F63E30-A707-48D0-B3A3-58976225568E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581BC1C2-9283-4E53-850C-4C84F0324748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1E0F7601-4A3D-4D05-8208-7F2DD38D3C36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59C800D1-6DE1-497A-B81B-2125CD2C604A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7B44AA36-F386-4EA6-BA74-D97D715B7EBE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85FE2389-D716-4CCF-AB51-088060A1D1C6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3853A2DC-EFD0-4234-81ED-2AFC2DEFB8D8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8052B53A-AB10-4FC6-BA18-E4087112BDA0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D1624E13-5443-48BB-BA5E-7E8310F9B26A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5CC94CD3-E607-4D2B-B2AF-2E0D9B3E1B76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CE08A52A-0D66-4630-B28A-6CA5AACDF602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D9111679-E5A8-4C0F-BBC6-D5D1882CE727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4DF31CA3-3F4A-40A9-9602-290B0C5A3489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11F0E463-2DFC-4700-A1ED-058B564B5940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C62AA61D-5013-4DDB-A496-DE23075618C9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6C61EF83-864D-4B55-BD7D-9A16A469F764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1F7AAC3A-FC56-4007-A5BC-C6B4A5258136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48D2B17F-0147-47F7-95F2-63D2660C3D5D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F498364D-1850-4AAA-B4C4-609873EDB2AC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70CE2B02-070A-4C5D-B85C-48A7EF0EF0A8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06E2D94C-B9C8-40B4-A5B6-B415FC381DCE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D837C69D-5288-40AE-A521-7935A92DD8D6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0C304EA2-BB03-40C3-A630-0245B68C2E11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C8573999-29CE-463A-9E19-3D2F90619D49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C0DC9C30-E400-4832-9DC4-B6AEB9DC990C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1963CC10-C20E-4D57-8C7E-7661DEA8A56A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644E6E62-188E-4BCB-91A1-A0BB98C54B04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9BD9C63B-1520-4523-8CF3-8743F7F52B7B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4BE278F9-D5D1-4CE9-9A62-02D4F7042AE5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60BD4B7F-86C0-41F3-9958-2FA76BFD1ABF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1C3F1BA5-765B-4D3F-8D5E-0917E5D4087D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D0AB9737-EE52-47E7-B540-F8ED195837F3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E935816B-029F-44C3-8FFB-82BA7E012813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453CE33D-7776-42B5-B785-D915D8485FF1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B66E1665-FC07-4FF2-8277-4E47D61D0AB5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230D6D6D-2F35-499B-A032-770438D1C5A6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4EF5A081-F1D6-46D9-8388-F7B7FC061C58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E21F1587-6928-48A4-A05C-4D47362AFFC0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8B0840A9-1AC6-47B5-B3FA-CEEBFC0A9C53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32135540-90D8-47D3-9CE8-2E4B306EB293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502EDA4B-9522-4042-809A-6D9C1EAB0FAC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C455D6C7-4ADD-4A91-B9E3-8409078AB60F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DFBB5C45-B1C3-447A-8D43-C7B44ADBC1EC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EE2A2993-F12C-42BB-8AEB-019527F1E4DD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3BFF025F-B5CF-43DB-BD6E-D135E59FF27F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6BE8E101-188F-496F-9CE0-C737F03F0B5E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6E9C62D2-FD4D-43D1-A575-F9BF97663384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BA4B4769-7282-4A4A-9B67-B8D7F6E597CC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6762467F-A241-4CBD-95B0-161AD1E26527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8A8EE7A4-B8B8-4C28-8651-0D53C22E8503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93ACF842-EF9E-4669-B378-FBF4C1807A5C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5473BEBD-2AEB-403E-8B86-26E14F44E0C4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D7D5B318-7967-4AC5-B80D-0A58C5CBCC14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94C88869-8265-4D50-A689-FC41066679FA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2E78E06A-99E8-4625-8B81-AF4A9CDC5F31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5B15C07B-7387-4BEE-80E0-3D4EAE6F5761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4A72385E-E877-4881-A9CB-2B4BFC5BF286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40112E8B-1273-4D48-BAF2-BBE3DBE92D5C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327788E1-A168-41B8-9E5F-05E3899D7A02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55EFA984-9B53-4EB0-B358-2EE3E5A5CFE6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2274EAE4-60FE-4AD9-8412-8DD4E09C2953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24F70B95-8686-4136-8473-C12A9467994D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343F8195-2BE4-4251-B0B5-CF5AE590AA7C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D518C5CB-9F9E-430D-970C-CAD403486ED1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D51711EF-707F-4EAE-9468-2CF61BA747C0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A6F2EA67-BC1C-4395-BD08-24DFACE77EAE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CDB72596-475F-4136-ABE8-42578B1FACC4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A1126EBF-1EE5-48A9-8331-0DB194B09740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B118C4B0-DE27-4C02-B25E-481212D5D596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D604002D-70C5-4C22-8378-83870562C5CC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05D6C6F9-2951-4B69-AD35-02A85C3A9210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45CFFB08-E132-467B-A565-B18774610C18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15D1941A-F447-4D61-B1EE-EA59C08D0F7D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F8CD88F2-16E2-4441-A479-6A2AB26F89DE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0BAD88CD-839C-4772-A9E4-622EDEB785DD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C6C8AF6F-F646-45FC-9909-1482F46FD1FE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4FE4ED84-6D97-4E4D-833F-FF668D098FDE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1A41D793-C921-49D1-889A-E74F9E99DDE7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EB717AF1-D67C-4F07-96A6-858483A615E7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FA3C0A34-80CE-453E-ADCD-504103E587D5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DC195C59-EF50-48E9-92E2-6F20E99CE895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7522620C-01F6-44AD-96C2-78D45A2F3167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B46D000F-4FFF-438C-BBA3-8EDA0C019475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F217EC28-AA5B-4EB0-A2C2-C054568CF7B4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76B040D5-CD8F-4F00-83C1-56CB0FBC69A4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744C2705-11E1-4094-A9B8-647BDD92104B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973B5527-A25A-426A-9C4B-CA4AC14DA93D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E9A437E6-4006-4FB3-A977-7B98D61EC8C7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7240B755-A038-4598-80CF-CCFE528823D5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73EF4E53-2A97-48A7-83FC-6DEC86067113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261CB829-F1DB-4E5F-AA1C-EF8A8D4D156F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261214A9-889C-4F46-836E-D131ED5FEF7B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3593A648-5066-4400-AAEE-3932229700A2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6560EF15-0928-4F2A-94E2-A027818EDD7C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011EC95B-A5D5-4B3E-A966-E41269AB05FC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B71EF6BC-EBF8-4106-8B9E-7EAFBE5B8BED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ADDCAD60-C06C-45AE-9A6F-A68D3D7E32AC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A018E73B-56EA-4CBB-B70A-9B00540E11FC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1CF9A3BA-7B4A-457E-81B4-0959531E8523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DD5DDF28-8A50-4D38-BBC2-EAF990840183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C42D0B8F-5C46-4147-A27C-CB5E632BAA1D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BECEE44D-E1FF-40F2-A547-01B9DFD461A4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6B438BF8-A6B1-4D45-8D3E-68D4F04A8288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37C45FF8-E343-4210-846D-3FEA5E19A6CB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47598C39-8133-42B0-A12A-AAD2EA7638F6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8AAB2C02-101B-427B-A4ED-244C67AA80D0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BB684F36-4196-43AD-9F48-D1E31E91CFD8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05659143-DD88-4244-9162-83D767A32929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50398EAC-7415-41C3-A31B-910D9BE0D6D5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0CDE6D05-CDDD-406E-9372-8114511B6E4C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AC612E56-E42B-486D-8A76-A2F829B93F29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0F799C20-19DA-4A61-8542-B216FA9DEEC8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262E0F-3BAA-4715-B67D-BD8DABD4323D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874A211-0F95-45E9-BB5C-4D7508075FC8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177CA62-E7C9-4F68-B39B-6548BBC6FC09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CBC5193-A3A4-4216-B291-2E63DB815601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8941CB5-92BA-44F4-B19F-645E31B9996A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12D4F9B-43C9-4D3F-BDA0-DCFBE7F710D4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132178</xdr:colOff>
      <xdr:row>4</xdr:row>
      <xdr:rowOff>151667</xdr:rowOff>
    </xdr:from>
    <xdr:ext cx="191948" cy="28716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6275D28-DBB5-4DA8-B13E-C388BE3C33B3}"/>
            </a:ext>
          </a:extLst>
        </xdr:cNvPr>
        <xdr:cNvSpPr txBox="1"/>
      </xdr:nvSpPr>
      <xdr:spPr>
        <a:xfrm>
          <a:off x="3323053" y="1589942"/>
          <a:ext cx="191948" cy="287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CAC89B6-C88B-4DB8-BB07-133A58BA6363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623AAD8-A5A8-4E46-BF2D-DF6DB22BE353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56DD966-6D13-4CDF-A59B-24815F6B0495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E447A7F-EB37-4F40-BCC2-0B2A62665992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38AD14D-A582-4EF7-99C2-4785530DE9E3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F5B3841A-0012-4164-BAA4-ABD97E23107D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08F2632-CEBA-4087-A89B-D460B182AA67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B77187C-D663-4B5C-B0F2-87464D3908DF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6DF1794-4308-4DF5-ACDE-512194E4BD82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95983</xdr:colOff>
      <xdr:row>6</xdr:row>
      <xdr:rowOff>0</xdr:rowOff>
    </xdr:from>
    <xdr:ext cx="213899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01A6036-F5D1-4984-BFDB-323247816D11}"/>
            </a:ext>
          </a:extLst>
        </xdr:cNvPr>
        <xdr:cNvSpPr txBox="1"/>
      </xdr:nvSpPr>
      <xdr:spPr>
        <a:xfrm>
          <a:off x="3734533" y="1828800"/>
          <a:ext cx="2138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EAFE565-C047-4EDB-9658-B5990DE29686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660DAD7-C4F4-4CF7-B476-9E432B752852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A5FB7A4-0697-42D0-810C-BE56583D7071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CA6C93A-E0B4-4727-A778-9A5DD24EB2C7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969DC79-84BF-4EE0-91AC-A3119AC414E4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20485A5-FFA3-49BD-B549-E2DC9A017A40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57B3878-9F7C-46C4-98FC-1A4DB6816F62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C4505B5-24AF-40F5-A8E1-CB75A9BC86D0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63B8BF2-B443-46D4-8272-21EF038E945A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D017FE6-CB6F-4338-AD92-A3C8535ED3A4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373A480-BC89-422F-83D6-BABA04BF2FC9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13368C78-C0EC-49E8-91CD-E923458BD36C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1BE22A3A-EA0E-4558-8408-BF766010AF35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ED681F3-8E2E-4900-8D1D-A9DF8FF46860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CD2B3C2-DC05-4978-9CD3-2B2F1B98223B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45F3A8C8-AAED-453C-98DA-7FF425C39A4A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849BA410-3BA9-4B79-9CA4-03ED335103BC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10072B7C-6219-4C36-AC36-7A1258299741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A7E4E49-EE59-4A3C-A4A9-C45500B5F5F3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2E57505-A27F-4164-8A46-174A95E8CD8B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B20803D4-96BE-489C-A312-1859E5E0022B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3B4B5A55-DDCA-4082-B077-C18475EFEB6B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ED5A7F84-21F9-4606-966C-F4E43B467945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384C95E3-6E59-4365-98BB-3378827BE4BC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CF0EE6C5-2D9A-403C-95AE-A6912F0C077A}"/>
            </a:ext>
          </a:extLst>
        </xdr:cNvPr>
        <xdr:cNvSpPr txBox="1"/>
      </xdr:nvSpPr>
      <xdr:spPr>
        <a:xfrm>
          <a:off x="3725008" y="182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02C1B9D-3999-4F0B-A9BB-E5A3AD8C1471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AAF98AB-2C42-4940-BD69-7E0BAB8A09E7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CA70C24-79FF-49E5-8575-849C3E7DB615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E76DB18-652B-4020-9EA8-4ED5CC208E11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9741F3F-EC22-4BFB-8248-ADA171EEC366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D8A1D3B-C0CE-43BC-B45C-B03E5874A448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132178</xdr:colOff>
      <xdr:row>4</xdr:row>
      <xdr:rowOff>151667</xdr:rowOff>
    </xdr:from>
    <xdr:ext cx="191948" cy="28716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7CC49BB-02FD-4B5F-BF84-E0C021665D73}"/>
            </a:ext>
          </a:extLst>
        </xdr:cNvPr>
        <xdr:cNvSpPr txBox="1"/>
      </xdr:nvSpPr>
      <xdr:spPr>
        <a:xfrm>
          <a:off x="3323053" y="1589942"/>
          <a:ext cx="191948" cy="287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17B07CF-ED5B-4F0A-9F58-50F9EC6DA083}"/>
            </a:ext>
          </a:extLst>
        </xdr:cNvPr>
        <xdr:cNvSpPr txBox="1"/>
      </xdr:nvSpPr>
      <xdr:spPr>
        <a:xfrm>
          <a:off x="4629883" y="140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B259891-D17E-446F-9F7A-8C6F378CB2FC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8C6BD16-2EC0-48A9-932A-EF47F1DF64C2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FDF0AD0-4ECD-443E-81FF-28838234D47E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BD36EE5-3276-4426-A752-C0D72E5B0210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BEAAC44-B847-444A-A8A3-998A68A94F4B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B15FB91-B443-4151-8F23-B647558CA8BD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132178</xdr:colOff>
      <xdr:row>4</xdr:row>
      <xdr:rowOff>151667</xdr:rowOff>
    </xdr:from>
    <xdr:ext cx="191948" cy="28716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3E94B41-05E6-4287-8B3D-0EC572D8A498}"/>
            </a:ext>
          </a:extLst>
        </xdr:cNvPr>
        <xdr:cNvSpPr txBox="1"/>
      </xdr:nvSpPr>
      <xdr:spPr>
        <a:xfrm>
          <a:off x="3323053" y="1589942"/>
          <a:ext cx="191948" cy="287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3CE3D79-2AFD-490C-A711-906A1F85B49A}"/>
            </a:ext>
          </a:extLst>
        </xdr:cNvPr>
        <xdr:cNvSpPr txBox="1"/>
      </xdr:nvSpPr>
      <xdr:spPr>
        <a:xfrm>
          <a:off x="4629883" y="140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3DCA80E-1B44-47D6-A740-093DDA172C9B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E1128D6-E842-4774-BA98-E50657A815F4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11646DD-7D15-47AE-BCBE-573D6BA87E57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B7A84A7-5BB7-43CC-97AD-82435A90CEEC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987885F-D33D-4B0F-AB76-FB2A645F459D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132178</xdr:colOff>
      <xdr:row>4</xdr:row>
      <xdr:rowOff>151667</xdr:rowOff>
    </xdr:from>
    <xdr:ext cx="191948" cy="28716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9EA5A1-53C1-469C-A171-9D4505DDCD4A}"/>
            </a:ext>
          </a:extLst>
        </xdr:cNvPr>
        <xdr:cNvSpPr txBox="1"/>
      </xdr:nvSpPr>
      <xdr:spPr>
        <a:xfrm>
          <a:off x="3323053" y="1589942"/>
          <a:ext cx="191948" cy="287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D81404A-1A13-4A25-A579-7DCD81A63CBB}"/>
            </a:ext>
          </a:extLst>
        </xdr:cNvPr>
        <xdr:cNvSpPr txBox="1"/>
      </xdr:nvSpPr>
      <xdr:spPr>
        <a:xfrm>
          <a:off x="4629883" y="140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8E6EEF-ADB7-4F54-B45A-AF180EA7F7EE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75E995C-6E19-4D70-8FC1-753A4C62D532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0BD5A27-1438-44C0-98E2-CD210472ABB0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335E18E-A0B2-468D-8FB5-503204DCE198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FD504F7-7E9D-4CB2-B192-069D89EEFFBB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132178</xdr:colOff>
      <xdr:row>4</xdr:row>
      <xdr:rowOff>151667</xdr:rowOff>
    </xdr:from>
    <xdr:ext cx="191948" cy="28716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421C559-5A10-4E51-8133-D3B2776B7BBD}"/>
            </a:ext>
          </a:extLst>
        </xdr:cNvPr>
        <xdr:cNvSpPr txBox="1"/>
      </xdr:nvSpPr>
      <xdr:spPr>
        <a:xfrm>
          <a:off x="3323053" y="1589942"/>
          <a:ext cx="191948" cy="287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432E3AF-BA41-4391-A915-645C9E2DEA43}"/>
            </a:ext>
          </a:extLst>
        </xdr:cNvPr>
        <xdr:cNvSpPr txBox="1"/>
      </xdr:nvSpPr>
      <xdr:spPr>
        <a:xfrm>
          <a:off x="4629883" y="140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32A5DEB-9022-4C83-8B7E-AD6643B56306}"/>
            </a:ext>
          </a:extLst>
        </xdr:cNvPr>
        <xdr:cNvSpPr txBox="1"/>
      </xdr:nvSpPr>
      <xdr:spPr>
        <a:xfrm>
          <a:off x="4629883" y="140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153133</xdr:colOff>
      <xdr:row>4</xdr:row>
      <xdr:rowOff>151667</xdr:rowOff>
    </xdr:from>
    <xdr:ext cx="187971" cy="29290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044D2A-4364-4285-983E-047BA7F8C1E6}"/>
            </a:ext>
          </a:extLst>
        </xdr:cNvPr>
        <xdr:cNvSpPr txBox="1"/>
      </xdr:nvSpPr>
      <xdr:spPr>
        <a:xfrm>
          <a:off x="3344008" y="1066067"/>
          <a:ext cx="187971" cy="2929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E4FBFBD-CD76-473B-AE7C-0D04ED07B315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6F5B2A7-7EFE-4640-84A8-749308F08521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FF1598E-B70D-45E3-B9DB-924A8E92A52E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EB5F147-13BF-4ACF-A9B6-77A741C2259E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132178</xdr:colOff>
      <xdr:row>4</xdr:row>
      <xdr:rowOff>151667</xdr:rowOff>
    </xdr:from>
    <xdr:ext cx="191948" cy="28716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7CD879B-6D1A-4E18-BE19-3FD268101CE7}"/>
            </a:ext>
          </a:extLst>
        </xdr:cNvPr>
        <xdr:cNvSpPr txBox="1"/>
      </xdr:nvSpPr>
      <xdr:spPr>
        <a:xfrm>
          <a:off x="3323053" y="1589942"/>
          <a:ext cx="191948" cy="287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217CF80-4FE0-4F11-8E69-EB6DDB863760}"/>
            </a:ext>
          </a:extLst>
        </xdr:cNvPr>
        <xdr:cNvSpPr txBox="1"/>
      </xdr:nvSpPr>
      <xdr:spPr>
        <a:xfrm>
          <a:off x="4629883" y="140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DCD6179-4718-45E8-8A22-E917317DCBB9}"/>
            </a:ext>
          </a:extLst>
        </xdr:cNvPr>
        <xdr:cNvSpPr txBox="1"/>
      </xdr:nvSpPr>
      <xdr:spPr>
        <a:xfrm>
          <a:off x="4629883" y="140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58EB5B-AEEC-4D46-9F0E-A3D0D93C95F3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54CB7DE-CE8F-4537-8BE8-8F563692A8B5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A6382B9-B114-447A-A3A2-9E200B04C366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5C678A6-4590-4CE4-8484-DFFF19F959E4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CAF3B77-24A8-4CC0-AF8F-1C9C13D3B9F8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17E90C6-DD90-461F-97B2-6978FDCC5FC6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132178</xdr:colOff>
      <xdr:row>4</xdr:row>
      <xdr:rowOff>151667</xdr:rowOff>
    </xdr:from>
    <xdr:ext cx="191948" cy="28716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8A72D98-73A9-41C1-A23E-3C17BCE4A045}"/>
            </a:ext>
          </a:extLst>
        </xdr:cNvPr>
        <xdr:cNvSpPr txBox="1"/>
      </xdr:nvSpPr>
      <xdr:spPr>
        <a:xfrm>
          <a:off x="3323053" y="1589942"/>
          <a:ext cx="191948" cy="287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465E74D-C077-4E81-8207-CE9FD1F4792F}"/>
            </a:ext>
          </a:extLst>
        </xdr:cNvPr>
        <xdr:cNvSpPr txBox="1"/>
      </xdr:nvSpPr>
      <xdr:spPr>
        <a:xfrm>
          <a:off x="4629883" y="140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413D76E-F857-425C-8919-E484453D417F}"/>
            </a:ext>
          </a:extLst>
        </xdr:cNvPr>
        <xdr:cNvSpPr txBox="1"/>
      </xdr:nvSpPr>
      <xdr:spPr>
        <a:xfrm>
          <a:off x="4629883" y="140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9D3E2AF-46B0-41AC-AEA6-AFD18C057F37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B5E217D-A013-4445-8C63-6D3FAFACA79F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4D8A6F7-A98F-4547-AA7C-A43BEB056064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1AC9065-7F06-4B89-9D7C-8D4488902731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C0E3678-0E2F-41EB-B276-8C51394BF2A3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AE4EA7D-0E68-42A0-BE4C-CEB0383F4507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132178</xdr:colOff>
      <xdr:row>4</xdr:row>
      <xdr:rowOff>151667</xdr:rowOff>
    </xdr:from>
    <xdr:ext cx="191948" cy="28716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ACF94BC-E6E7-4FA9-825C-BF7ED319D48D}"/>
            </a:ext>
          </a:extLst>
        </xdr:cNvPr>
        <xdr:cNvSpPr txBox="1"/>
      </xdr:nvSpPr>
      <xdr:spPr>
        <a:xfrm>
          <a:off x="3323053" y="1589942"/>
          <a:ext cx="191948" cy="287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46C4550-60CE-400E-B317-12B8A556F963}"/>
            </a:ext>
          </a:extLst>
        </xdr:cNvPr>
        <xdr:cNvSpPr txBox="1"/>
      </xdr:nvSpPr>
      <xdr:spPr>
        <a:xfrm>
          <a:off x="4629883" y="140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45AA618-F7F3-4086-BF88-C56C0C332F0C}"/>
            </a:ext>
          </a:extLst>
        </xdr:cNvPr>
        <xdr:cNvSpPr txBox="1"/>
      </xdr:nvSpPr>
      <xdr:spPr>
        <a:xfrm>
          <a:off x="4629883" y="140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E539C5-A5FB-462D-A470-1F251576B8C3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2073130-B6B3-445B-9B0B-5538505B206E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DF2540C-1171-4D3D-A589-DAF9714FD0EE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E730964-4C24-4C61-969A-956E76B62685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67C6FAD-D721-43BC-9320-7A329E9C8E82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1FF64FA-CD44-45EA-9A7F-10D1C7C4FB99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132178</xdr:colOff>
      <xdr:row>4</xdr:row>
      <xdr:rowOff>151667</xdr:rowOff>
    </xdr:from>
    <xdr:ext cx="191948" cy="28716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0225B57-5330-40E0-A739-465645826143}"/>
            </a:ext>
          </a:extLst>
        </xdr:cNvPr>
        <xdr:cNvSpPr txBox="1"/>
      </xdr:nvSpPr>
      <xdr:spPr>
        <a:xfrm>
          <a:off x="3323053" y="1589942"/>
          <a:ext cx="191948" cy="287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C117CD6-C374-4F15-B872-E6783E0ABE99}"/>
            </a:ext>
          </a:extLst>
        </xdr:cNvPr>
        <xdr:cNvSpPr txBox="1"/>
      </xdr:nvSpPr>
      <xdr:spPr>
        <a:xfrm>
          <a:off x="4629883" y="140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C366F3-D1A8-4A5A-A0D1-91FBD8E18FAB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02F3C8D-987F-4559-A6CA-934F698F06F5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42ABF4A-9B80-4D2C-8996-18B85C9CB760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04119C0-CC48-4656-8B24-8BB3BF828B52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DFB1E46-4D89-4B15-813A-A6F82C402CF5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A93CC74-B5FF-4F39-AAC3-494A75D3E98C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132178</xdr:colOff>
      <xdr:row>4</xdr:row>
      <xdr:rowOff>151667</xdr:rowOff>
    </xdr:from>
    <xdr:ext cx="191948" cy="28716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DBCF520-4792-4358-A00B-81474239EC63}"/>
            </a:ext>
          </a:extLst>
        </xdr:cNvPr>
        <xdr:cNvSpPr txBox="1"/>
      </xdr:nvSpPr>
      <xdr:spPr>
        <a:xfrm>
          <a:off x="3323053" y="1589942"/>
          <a:ext cx="191948" cy="287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EF8CEF8-EA59-40D5-9101-ABE8CB0D2B8C}"/>
            </a:ext>
          </a:extLst>
        </xdr:cNvPr>
        <xdr:cNvSpPr txBox="1"/>
      </xdr:nvSpPr>
      <xdr:spPr>
        <a:xfrm>
          <a:off x="4629883" y="140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FF4F4B9-7F34-4884-9838-66952C6A6078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150595D-ADE4-4C32-A45C-4AC5222E88C9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0182099-7240-4A2A-95E4-4857F79A2E7D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DC0BB82-4976-4C8B-BD36-014E014418F5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24B1EF4-5607-4401-AF76-E538073DF9D0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E4178CB-EE4B-46A3-827C-C4D989121DDF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132178</xdr:colOff>
      <xdr:row>4</xdr:row>
      <xdr:rowOff>151667</xdr:rowOff>
    </xdr:from>
    <xdr:ext cx="191948" cy="28716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56AE57A-5C7B-4853-B077-42D7B60703C0}"/>
            </a:ext>
          </a:extLst>
        </xdr:cNvPr>
        <xdr:cNvSpPr txBox="1"/>
      </xdr:nvSpPr>
      <xdr:spPr>
        <a:xfrm>
          <a:off x="3323053" y="1589942"/>
          <a:ext cx="191948" cy="287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19DEC33-AB37-4F5C-9D78-3044CE76AC63}"/>
            </a:ext>
          </a:extLst>
        </xdr:cNvPr>
        <xdr:cNvSpPr txBox="1"/>
      </xdr:nvSpPr>
      <xdr:spPr>
        <a:xfrm>
          <a:off x="4629883" y="140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9491613-D2E0-4E5D-A8F9-18367440494F}"/>
            </a:ext>
          </a:extLst>
        </xdr:cNvPr>
        <xdr:cNvSpPr txBox="1"/>
      </xdr:nvSpPr>
      <xdr:spPr>
        <a:xfrm>
          <a:off x="3791683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433AB45-774E-44C9-8E6C-4672C1498767}"/>
            </a:ext>
          </a:extLst>
        </xdr:cNvPr>
        <xdr:cNvSpPr txBox="1"/>
      </xdr:nvSpPr>
      <xdr:spPr>
        <a:xfrm>
          <a:off x="3791683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FBA8D7F-04B5-47D8-99BB-1C59F6E4DBC8}"/>
            </a:ext>
          </a:extLst>
        </xdr:cNvPr>
        <xdr:cNvSpPr txBox="1"/>
      </xdr:nvSpPr>
      <xdr:spPr>
        <a:xfrm>
          <a:off x="3791683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F820EE4-BDC0-42C6-9104-9E5B4F8D7310}"/>
            </a:ext>
          </a:extLst>
        </xdr:cNvPr>
        <xdr:cNvSpPr txBox="1"/>
      </xdr:nvSpPr>
      <xdr:spPr>
        <a:xfrm>
          <a:off x="3791683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DB33996-73B9-4CC5-A692-F220B5BFC029}"/>
            </a:ext>
          </a:extLst>
        </xdr:cNvPr>
        <xdr:cNvSpPr txBox="1"/>
      </xdr:nvSpPr>
      <xdr:spPr>
        <a:xfrm>
          <a:off x="3780253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C4DE450-8942-45CD-84C6-26452BC2E0E7}"/>
            </a:ext>
          </a:extLst>
        </xdr:cNvPr>
        <xdr:cNvSpPr txBox="1"/>
      </xdr:nvSpPr>
      <xdr:spPr>
        <a:xfrm>
          <a:off x="3780253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132178</xdr:colOff>
      <xdr:row>4</xdr:row>
      <xdr:rowOff>151667</xdr:rowOff>
    </xdr:from>
    <xdr:ext cx="191948" cy="28716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0D15676-116F-4A95-A6AA-5EE096DBDA1A}"/>
            </a:ext>
          </a:extLst>
        </xdr:cNvPr>
        <xdr:cNvSpPr txBox="1"/>
      </xdr:nvSpPr>
      <xdr:spPr>
        <a:xfrm>
          <a:off x="3770728" y="1589942"/>
          <a:ext cx="191948" cy="287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6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F150962-03E3-4508-8A0E-EF9429332019}"/>
            </a:ext>
          </a:extLst>
        </xdr:cNvPr>
        <xdr:cNvSpPr txBox="1"/>
      </xdr:nvSpPr>
      <xdr:spPr>
        <a:xfrm>
          <a:off x="3725008" y="1838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  <xdr:oneCellAnchor>
    <xdr:from>
      <xdr:col>3</xdr:col>
      <xdr:colOff>105508</xdr:colOff>
      <xdr:row>6</xdr:row>
      <xdr:rowOff>0</xdr:rowOff>
    </xdr:from>
    <xdr:ext cx="184731" cy="29290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C5C6A68-992C-4703-B53B-0E67A3D2A550}"/>
            </a:ext>
          </a:extLst>
        </xdr:cNvPr>
        <xdr:cNvSpPr txBox="1"/>
      </xdr:nvSpPr>
      <xdr:spPr>
        <a:xfrm>
          <a:off x="4629883" y="1409700"/>
          <a:ext cx="184731" cy="2929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13AFA-D7FB-42D2-88E0-704FBCF2DCA2}">
  <dimension ref="A1:AI88"/>
  <sheetViews>
    <sheetView tabSelected="1" zoomScaleNormal="100" workbookViewId="0">
      <pane xSplit="2" ySplit="3" topLeftCell="S4" activePane="bottomRight" state="frozen"/>
      <selection pane="topRight" activeCell="C1" sqref="C1"/>
      <selection pane="bottomLeft" activeCell="A4" sqref="A4"/>
      <selection pane="bottomRight" activeCell="AI14" sqref="AI14"/>
    </sheetView>
  </sheetViews>
  <sheetFormatPr defaultRowHeight="15" x14ac:dyDescent="0.25"/>
  <cols>
    <col min="1" max="1" width="3.375" style="93" customWidth="1"/>
    <col min="2" max="2" width="32.25" style="2" customWidth="1"/>
    <col min="3" max="3" width="13" style="2" customWidth="1"/>
    <col min="4" max="16" width="9.125" style="2"/>
    <col min="17" max="32" width="8.875" style="2" customWidth="1"/>
    <col min="33" max="34" width="10.25" style="2" customWidth="1"/>
    <col min="35" max="35" width="11" style="2" customWidth="1"/>
    <col min="36" max="36" width="8.125" style="2" customWidth="1"/>
    <col min="37" max="252" width="9.125" style="2"/>
    <col min="253" max="253" width="3.375" style="2" customWidth="1"/>
    <col min="254" max="254" width="32.25" style="2" customWidth="1"/>
    <col min="255" max="255" width="13" style="2" customWidth="1"/>
    <col min="256" max="262" width="9.625" style="2" customWidth="1"/>
    <col min="263" max="264" width="11.375" style="2" customWidth="1"/>
    <col min="265" max="266" width="9.125" style="2"/>
    <col min="267" max="267" width="18.375" style="2" customWidth="1"/>
    <col min="268" max="508" width="9.125" style="2"/>
    <col min="509" max="509" width="3.375" style="2" customWidth="1"/>
    <col min="510" max="510" width="32.25" style="2" customWidth="1"/>
    <col min="511" max="511" width="13" style="2" customWidth="1"/>
    <col min="512" max="518" width="9.625" style="2" customWidth="1"/>
    <col min="519" max="520" width="11.375" style="2" customWidth="1"/>
    <col min="521" max="522" width="9.125" style="2"/>
    <col min="523" max="523" width="18.375" style="2" customWidth="1"/>
    <col min="524" max="764" width="9.125" style="2"/>
    <col min="765" max="765" width="3.375" style="2" customWidth="1"/>
    <col min="766" max="766" width="32.25" style="2" customWidth="1"/>
    <col min="767" max="767" width="13" style="2" customWidth="1"/>
    <col min="768" max="774" width="9.625" style="2" customWidth="1"/>
    <col min="775" max="776" width="11.375" style="2" customWidth="1"/>
    <col min="777" max="778" width="9.125" style="2"/>
    <col min="779" max="779" width="18.375" style="2" customWidth="1"/>
    <col min="780" max="1020" width="9.125" style="2"/>
    <col min="1021" max="1021" width="3.375" style="2" customWidth="1"/>
    <col min="1022" max="1022" width="32.25" style="2" customWidth="1"/>
    <col min="1023" max="1023" width="13" style="2" customWidth="1"/>
    <col min="1024" max="1030" width="9.625" style="2" customWidth="1"/>
    <col min="1031" max="1032" width="11.375" style="2" customWidth="1"/>
    <col min="1033" max="1034" width="9.125" style="2"/>
    <col min="1035" max="1035" width="18.375" style="2" customWidth="1"/>
    <col min="1036" max="1276" width="9.125" style="2"/>
    <col min="1277" max="1277" width="3.375" style="2" customWidth="1"/>
    <col min="1278" max="1278" width="32.25" style="2" customWidth="1"/>
    <col min="1279" max="1279" width="13" style="2" customWidth="1"/>
    <col min="1280" max="1286" width="9.625" style="2" customWidth="1"/>
    <col min="1287" max="1288" width="11.375" style="2" customWidth="1"/>
    <col min="1289" max="1290" width="9.125" style="2"/>
    <col min="1291" max="1291" width="18.375" style="2" customWidth="1"/>
    <col min="1292" max="1532" width="9.125" style="2"/>
    <col min="1533" max="1533" width="3.375" style="2" customWidth="1"/>
    <col min="1534" max="1534" width="32.25" style="2" customWidth="1"/>
    <col min="1535" max="1535" width="13" style="2" customWidth="1"/>
    <col min="1536" max="1542" width="9.625" style="2" customWidth="1"/>
    <col min="1543" max="1544" width="11.375" style="2" customWidth="1"/>
    <col min="1545" max="1546" width="9.125" style="2"/>
    <col min="1547" max="1547" width="18.375" style="2" customWidth="1"/>
    <col min="1548" max="1788" width="9.125" style="2"/>
    <col min="1789" max="1789" width="3.375" style="2" customWidth="1"/>
    <col min="1790" max="1790" width="32.25" style="2" customWidth="1"/>
    <col min="1791" max="1791" width="13" style="2" customWidth="1"/>
    <col min="1792" max="1798" width="9.625" style="2" customWidth="1"/>
    <col min="1799" max="1800" width="11.375" style="2" customWidth="1"/>
    <col min="1801" max="1802" width="9.125" style="2"/>
    <col min="1803" max="1803" width="18.375" style="2" customWidth="1"/>
    <col min="1804" max="2044" width="9.125" style="2"/>
    <col min="2045" max="2045" width="3.375" style="2" customWidth="1"/>
    <col min="2046" max="2046" width="32.25" style="2" customWidth="1"/>
    <col min="2047" max="2047" width="13" style="2" customWidth="1"/>
    <col min="2048" max="2054" width="9.625" style="2" customWidth="1"/>
    <col min="2055" max="2056" width="11.375" style="2" customWidth="1"/>
    <col min="2057" max="2058" width="9.125" style="2"/>
    <col min="2059" max="2059" width="18.375" style="2" customWidth="1"/>
    <col min="2060" max="2300" width="9.125" style="2"/>
    <col min="2301" max="2301" width="3.375" style="2" customWidth="1"/>
    <col min="2302" max="2302" width="32.25" style="2" customWidth="1"/>
    <col min="2303" max="2303" width="13" style="2" customWidth="1"/>
    <col min="2304" max="2310" width="9.625" style="2" customWidth="1"/>
    <col min="2311" max="2312" width="11.375" style="2" customWidth="1"/>
    <col min="2313" max="2314" width="9.125" style="2"/>
    <col min="2315" max="2315" width="18.375" style="2" customWidth="1"/>
    <col min="2316" max="2556" width="9.125" style="2"/>
    <col min="2557" max="2557" width="3.375" style="2" customWidth="1"/>
    <col min="2558" max="2558" width="32.25" style="2" customWidth="1"/>
    <col min="2559" max="2559" width="13" style="2" customWidth="1"/>
    <col min="2560" max="2566" width="9.625" style="2" customWidth="1"/>
    <col min="2567" max="2568" width="11.375" style="2" customWidth="1"/>
    <col min="2569" max="2570" width="9.125" style="2"/>
    <col min="2571" max="2571" width="18.375" style="2" customWidth="1"/>
    <col min="2572" max="2812" width="9.125" style="2"/>
    <col min="2813" max="2813" width="3.375" style="2" customWidth="1"/>
    <col min="2814" max="2814" width="32.25" style="2" customWidth="1"/>
    <col min="2815" max="2815" width="13" style="2" customWidth="1"/>
    <col min="2816" max="2822" width="9.625" style="2" customWidth="1"/>
    <col min="2823" max="2824" width="11.375" style="2" customWidth="1"/>
    <col min="2825" max="2826" width="9.125" style="2"/>
    <col min="2827" max="2827" width="18.375" style="2" customWidth="1"/>
    <col min="2828" max="3068" width="9.125" style="2"/>
    <col min="3069" max="3069" width="3.375" style="2" customWidth="1"/>
    <col min="3070" max="3070" width="32.25" style="2" customWidth="1"/>
    <col min="3071" max="3071" width="13" style="2" customWidth="1"/>
    <col min="3072" max="3078" width="9.625" style="2" customWidth="1"/>
    <col min="3079" max="3080" width="11.375" style="2" customWidth="1"/>
    <col min="3081" max="3082" width="9.125" style="2"/>
    <col min="3083" max="3083" width="18.375" style="2" customWidth="1"/>
    <col min="3084" max="3324" width="9.125" style="2"/>
    <col min="3325" max="3325" width="3.375" style="2" customWidth="1"/>
    <col min="3326" max="3326" width="32.25" style="2" customWidth="1"/>
    <col min="3327" max="3327" width="13" style="2" customWidth="1"/>
    <col min="3328" max="3334" width="9.625" style="2" customWidth="1"/>
    <col min="3335" max="3336" width="11.375" style="2" customWidth="1"/>
    <col min="3337" max="3338" width="9.125" style="2"/>
    <col min="3339" max="3339" width="18.375" style="2" customWidth="1"/>
    <col min="3340" max="3580" width="9.125" style="2"/>
    <col min="3581" max="3581" width="3.375" style="2" customWidth="1"/>
    <col min="3582" max="3582" width="32.25" style="2" customWidth="1"/>
    <col min="3583" max="3583" width="13" style="2" customWidth="1"/>
    <col min="3584" max="3590" width="9.625" style="2" customWidth="1"/>
    <col min="3591" max="3592" width="11.375" style="2" customWidth="1"/>
    <col min="3593" max="3594" width="9.125" style="2"/>
    <col min="3595" max="3595" width="18.375" style="2" customWidth="1"/>
    <col min="3596" max="3836" width="9.125" style="2"/>
    <col min="3837" max="3837" width="3.375" style="2" customWidth="1"/>
    <col min="3838" max="3838" width="32.25" style="2" customWidth="1"/>
    <col min="3839" max="3839" width="13" style="2" customWidth="1"/>
    <col min="3840" max="3846" width="9.625" style="2" customWidth="1"/>
    <col min="3847" max="3848" width="11.375" style="2" customWidth="1"/>
    <col min="3849" max="3850" width="9.125" style="2"/>
    <col min="3851" max="3851" width="18.375" style="2" customWidth="1"/>
    <col min="3852" max="4092" width="9.125" style="2"/>
    <col min="4093" max="4093" width="3.375" style="2" customWidth="1"/>
    <col min="4094" max="4094" width="32.25" style="2" customWidth="1"/>
    <col min="4095" max="4095" width="13" style="2" customWidth="1"/>
    <col min="4096" max="4102" width="9.625" style="2" customWidth="1"/>
    <col min="4103" max="4104" width="11.375" style="2" customWidth="1"/>
    <col min="4105" max="4106" width="9.125" style="2"/>
    <col min="4107" max="4107" width="18.375" style="2" customWidth="1"/>
    <col min="4108" max="4348" width="9.125" style="2"/>
    <col min="4349" max="4349" width="3.375" style="2" customWidth="1"/>
    <col min="4350" max="4350" width="32.25" style="2" customWidth="1"/>
    <col min="4351" max="4351" width="13" style="2" customWidth="1"/>
    <col min="4352" max="4358" width="9.625" style="2" customWidth="1"/>
    <col min="4359" max="4360" width="11.375" style="2" customWidth="1"/>
    <col min="4361" max="4362" width="9.125" style="2"/>
    <col min="4363" max="4363" width="18.375" style="2" customWidth="1"/>
    <col min="4364" max="4604" width="9.125" style="2"/>
    <col min="4605" max="4605" width="3.375" style="2" customWidth="1"/>
    <col min="4606" max="4606" width="32.25" style="2" customWidth="1"/>
    <col min="4607" max="4607" width="13" style="2" customWidth="1"/>
    <col min="4608" max="4614" width="9.625" style="2" customWidth="1"/>
    <col min="4615" max="4616" width="11.375" style="2" customWidth="1"/>
    <col min="4617" max="4618" width="9.125" style="2"/>
    <col min="4619" max="4619" width="18.375" style="2" customWidth="1"/>
    <col min="4620" max="4860" width="9.125" style="2"/>
    <col min="4861" max="4861" width="3.375" style="2" customWidth="1"/>
    <col min="4862" max="4862" width="32.25" style="2" customWidth="1"/>
    <col min="4863" max="4863" width="13" style="2" customWidth="1"/>
    <col min="4864" max="4870" width="9.625" style="2" customWidth="1"/>
    <col min="4871" max="4872" width="11.375" style="2" customWidth="1"/>
    <col min="4873" max="4874" width="9.125" style="2"/>
    <col min="4875" max="4875" width="18.375" style="2" customWidth="1"/>
    <col min="4876" max="5116" width="9.125" style="2"/>
    <col min="5117" max="5117" width="3.375" style="2" customWidth="1"/>
    <col min="5118" max="5118" width="32.25" style="2" customWidth="1"/>
    <col min="5119" max="5119" width="13" style="2" customWidth="1"/>
    <col min="5120" max="5126" width="9.625" style="2" customWidth="1"/>
    <col min="5127" max="5128" width="11.375" style="2" customWidth="1"/>
    <col min="5129" max="5130" width="9.125" style="2"/>
    <col min="5131" max="5131" width="18.375" style="2" customWidth="1"/>
    <col min="5132" max="5372" width="9.125" style="2"/>
    <col min="5373" max="5373" width="3.375" style="2" customWidth="1"/>
    <col min="5374" max="5374" width="32.25" style="2" customWidth="1"/>
    <col min="5375" max="5375" width="13" style="2" customWidth="1"/>
    <col min="5376" max="5382" width="9.625" style="2" customWidth="1"/>
    <col min="5383" max="5384" width="11.375" style="2" customWidth="1"/>
    <col min="5385" max="5386" width="9.125" style="2"/>
    <col min="5387" max="5387" width="18.375" style="2" customWidth="1"/>
    <col min="5388" max="5628" width="9.125" style="2"/>
    <col min="5629" max="5629" width="3.375" style="2" customWidth="1"/>
    <col min="5630" max="5630" width="32.25" style="2" customWidth="1"/>
    <col min="5631" max="5631" width="13" style="2" customWidth="1"/>
    <col min="5632" max="5638" width="9.625" style="2" customWidth="1"/>
    <col min="5639" max="5640" width="11.375" style="2" customWidth="1"/>
    <col min="5641" max="5642" width="9.125" style="2"/>
    <col min="5643" max="5643" width="18.375" style="2" customWidth="1"/>
    <col min="5644" max="5884" width="9.125" style="2"/>
    <col min="5885" max="5885" width="3.375" style="2" customWidth="1"/>
    <col min="5886" max="5886" width="32.25" style="2" customWidth="1"/>
    <col min="5887" max="5887" width="13" style="2" customWidth="1"/>
    <col min="5888" max="5894" width="9.625" style="2" customWidth="1"/>
    <col min="5895" max="5896" width="11.375" style="2" customWidth="1"/>
    <col min="5897" max="5898" width="9.125" style="2"/>
    <col min="5899" max="5899" width="18.375" style="2" customWidth="1"/>
    <col min="5900" max="6140" width="9.125" style="2"/>
    <col min="6141" max="6141" width="3.375" style="2" customWidth="1"/>
    <col min="6142" max="6142" width="32.25" style="2" customWidth="1"/>
    <col min="6143" max="6143" width="13" style="2" customWidth="1"/>
    <col min="6144" max="6150" width="9.625" style="2" customWidth="1"/>
    <col min="6151" max="6152" width="11.375" style="2" customWidth="1"/>
    <col min="6153" max="6154" width="9.125" style="2"/>
    <col min="6155" max="6155" width="18.375" style="2" customWidth="1"/>
    <col min="6156" max="6396" width="9.125" style="2"/>
    <col min="6397" max="6397" width="3.375" style="2" customWidth="1"/>
    <col min="6398" max="6398" width="32.25" style="2" customWidth="1"/>
    <col min="6399" max="6399" width="13" style="2" customWidth="1"/>
    <col min="6400" max="6406" width="9.625" style="2" customWidth="1"/>
    <col min="6407" max="6408" width="11.375" style="2" customWidth="1"/>
    <col min="6409" max="6410" width="9.125" style="2"/>
    <col min="6411" max="6411" width="18.375" style="2" customWidth="1"/>
    <col min="6412" max="6652" width="9.125" style="2"/>
    <col min="6653" max="6653" width="3.375" style="2" customWidth="1"/>
    <col min="6654" max="6654" width="32.25" style="2" customWidth="1"/>
    <col min="6655" max="6655" width="13" style="2" customWidth="1"/>
    <col min="6656" max="6662" width="9.625" style="2" customWidth="1"/>
    <col min="6663" max="6664" width="11.375" style="2" customWidth="1"/>
    <col min="6665" max="6666" width="9.125" style="2"/>
    <col min="6667" max="6667" width="18.375" style="2" customWidth="1"/>
    <col min="6668" max="6908" width="9.125" style="2"/>
    <col min="6909" max="6909" width="3.375" style="2" customWidth="1"/>
    <col min="6910" max="6910" width="32.25" style="2" customWidth="1"/>
    <col min="6911" max="6911" width="13" style="2" customWidth="1"/>
    <col min="6912" max="6918" width="9.625" style="2" customWidth="1"/>
    <col min="6919" max="6920" width="11.375" style="2" customWidth="1"/>
    <col min="6921" max="6922" width="9.125" style="2"/>
    <col min="6923" max="6923" width="18.375" style="2" customWidth="1"/>
    <col min="6924" max="7164" width="9.125" style="2"/>
    <col min="7165" max="7165" width="3.375" style="2" customWidth="1"/>
    <col min="7166" max="7166" width="32.25" style="2" customWidth="1"/>
    <col min="7167" max="7167" width="13" style="2" customWidth="1"/>
    <col min="7168" max="7174" width="9.625" style="2" customWidth="1"/>
    <col min="7175" max="7176" width="11.375" style="2" customWidth="1"/>
    <col min="7177" max="7178" width="9.125" style="2"/>
    <col min="7179" max="7179" width="18.375" style="2" customWidth="1"/>
    <col min="7180" max="7420" width="9.125" style="2"/>
    <col min="7421" max="7421" width="3.375" style="2" customWidth="1"/>
    <col min="7422" max="7422" width="32.25" style="2" customWidth="1"/>
    <col min="7423" max="7423" width="13" style="2" customWidth="1"/>
    <col min="7424" max="7430" width="9.625" style="2" customWidth="1"/>
    <col min="7431" max="7432" width="11.375" style="2" customWidth="1"/>
    <col min="7433" max="7434" width="9.125" style="2"/>
    <col min="7435" max="7435" width="18.375" style="2" customWidth="1"/>
    <col min="7436" max="7676" width="9.125" style="2"/>
    <col min="7677" max="7677" width="3.375" style="2" customWidth="1"/>
    <col min="7678" max="7678" width="32.25" style="2" customWidth="1"/>
    <col min="7679" max="7679" width="13" style="2" customWidth="1"/>
    <col min="7680" max="7686" width="9.625" style="2" customWidth="1"/>
    <col min="7687" max="7688" width="11.375" style="2" customWidth="1"/>
    <col min="7689" max="7690" width="9.125" style="2"/>
    <col min="7691" max="7691" width="18.375" style="2" customWidth="1"/>
    <col min="7692" max="7932" width="9.125" style="2"/>
    <col min="7933" max="7933" width="3.375" style="2" customWidth="1"/>
    <col min="7934" max="7934" width="32.25" style="2" customWidth="1"/>
    <col min="7935" max="7935" width="13" style="2" customWidth="1"/>
    <col min="7936" max="7942" width="9.625" style="2" customWidth="1"/>
    <col min="7943" max="7944" width="11.375" style="2" customWidth="1"/>
    <col min="7945" max="7946" width="9.125" style="2"/>
    <col min="7947" max="7947" width="18.375" style="2" customWidth="1"/>
    <col min="7948" max="8188" width="9.125" style="2"/>
    <col min="8189" max="8189" width="3.375" style="2" customWidth="1"/>
    <col min="8190" max="8190" width="32.25" style="2" customWidth="1"/>
    <col min="8191" max="8191" width="13" style="2" customWidth="1"/>
    <col min="8192" max="8198" width="9.625" style="2" customWidth="1"/>
    <col min="8199" max="8200" width="11.375" style="2" customWidth="1"/>
    <col min="8201" max="8202" width="9.125" style="2"/>
    <col min="8203" max="8203" width="18.375" style="2" customWidth="1"/>
    <col min="8204" max="8444" width="9.125" style="2"/>
    <col min="8445" max="8445" width="3.375" style="2" customWidth="1"/>
    <col min="8446" max="8446" width="32.25" style="2" customWidth="1"/>
    <col min="8447" max="8447" width="13" style="2" customWidth="1"/>
    <col min="8448" max="8454" width="9.625" style="2" customWidth="1"/>
    <col min="8455" max="8456" width="11.375" style="2" customWidth="1"/>
    <col min="8457" max="8458" width="9.125" style="2"/>
    <col min="8459" max="8459" width="18.375" style="2" customWidth="1"/>
    <col min="8460" max="8700" width="9.125" style="2"/>
    <col min="8701" max="8701" width="3.375" style="2" customWidth="1"/>
    <col min="8702" max="8702" width="32.25" style="2" customWidth="1"/>
    <col min="8703" max="8703" width="13" style="2" customWidth="1"/>
    <col min="8704" max="8710" width="9.625" style="2" customWidth="1"/>
    <col min="8711" max="8712" width="11.375" style="2" customWidth="1"/>
    <col min="8713" max="8714" width="9.125" style="2"/>
    <col min="8715" max="8715" width="18.375" style="2" customWidth="1"/>
    <col min="8716" max="8956" width="9.125" style="2"/>
    <col min="8957" max="8957" width="3.375" style="2" customWidth="1"/>
    <col min="8958" max="8958" width="32.25" style="2" customWidth="1"/>
    <col min="8959" max="8959" width="13" style="2" customWidth="1"/>
    <col min="8960" max="8966" width="9.625" style="2" customWidth="1"/>
    <col min="8967" max="8968" width="11.375" style="2" customWidth="1"/>
    <col min="8969" max="8970" width="9.125" style="2"/>
    <col min="8971" max="8971" width="18.375" style="2" customWidth="1"/>
    <col min="8972" max="9212" width="9.125" style="2"/>
    <col min="9213" max="9213" width="3.375" style="2" customWidth="1"/>
    <col min="9214" max="9214" width="32.25" style="2" customWidth="1"/>
    <col min="9215" max="9215" width="13" style="2" customWidth="1"/>
    <col min="9216" max="9222" width="9.625" style="2" customWidth="1"/>
    <col min="9223" max="9224" width="11.375" style="2" customWidth="1"/>
    <col min="9225" max="9226" width="9.125" style="2"/>
    <col min="9227" max="9227" width="18.375" style="2" customWidth="1"/>
    <col min="9228" max="9468" width="9.125" style="2"/>
    <col min="9469" max="9469" width="3.375" style="2" customWidth="1"/>
    <col min="9470" max="9470" width="32.25" style="2" customWidth="1"/>
    <col min="9471" max="9471" width="13" style="2" customWidth="1"/>
    <col min="9472" max="9478" width="9.625" style="2" customWidth="1"/>
    <col min="9479" max="9480" width="11.375" style="2" customWidth="1"/>
    <col min="9481" max="9482" width="9.125" style="2"/>
    <col min="9483" max="9483" width="18.375" style="2" customWidth="1"/>
    <col min="9484" max="9724" width="9.125" style="2"/>
    <col min="9725" max="9725" width="3.375" style="2" customWidth="1"/>
    <col min="9726" max="9726" width="32.25" style="2" customWidth="1"/>
    <col min="9727" max="9727" width="13" style="2" customWidth="1"/>
    <col min="9728" max="9734" width="9.625" style="2" customWidth="1"/>
    <col min="9735" max="9736" width="11.375" style="2" customWidth="1"/>
    <col min="9737" max="9738" width="9.125" style="2"/>
    <col min="9739" max="9739" width="18.375" style="2" customWidth="1"/>
    <col min="9740" max="9980" width="9.125" style="2"/>
    <col min="9981" max="9981" width="3.375" style="2" customWidth="1"/>
    <col min="9982" max="9982" width="32.25" style="2" customWidth="1"/>
    <col min="9983" max="9983" width="13" style="2" customWidth="1"/>
    <col min="9984" max="9990" width="9.625" style="2" customWidth="1"/>
    <col min="9991" max="9992" width="11.375" style="2" customWidth="1"/>
    <col min="9993" max="9994" width="9.125" style="2"/>
    <col min="9995" max="9995" width="18.375" style="2" customWidth="1"/>
    <col min="9996" max="10236" width="9.125" style="2"/>
    <col min="10237" max="10237" width="3.375" style="2" customWidth="1"/>
    <col min="10238" max="10238" width="32.25" style="2" customWidth="1"/>
    <col min="10239" max="10239" width="13" style="2" customWidth="1"/>
    <col min="10240" max="10246" width="9.625" style="2" customWidth="1"/>
    <col min="10247" max="10248" width="11.375" style="2" customWidth="1"/>
    <col min="10249" max="10250" width="9.125" style="2"/>
    <col min="10251" max="10251" width="18.375" style="2" customWidth="1"/>
    <col min="10252" max="10492" width="9.125" style="2"/>
    <col min="10493" max="10493" width="3.375" style="2" customWidth="1"/>
    <col min="10494" max="10494" width="32.25" style="2" customWidth="1"/>
    <col min="10495" max="10495" width="13" style="2" customWidth="1"/>
    <col min="10496" max="10502" width="9.625" style="2" customWidth="1"/>
    <col min="10503" max="10504" width="11.375" style="2" customWidth="1"/>
    <col min="10505" max="10506" width="9.125" style="2"/>
    <col min="10507" max="10507" width="18.375" style="2" customWidth="1"/>
    <col min="10508" max="10748" width="9.125" style="2"/>
    <col min="10749" max="10749" width="3.375" style="2" customWidth="1"/>
    <col min="10750" max="10750" width="32.25" style="2" customWidth="1"/>
    <col min="10751" max="10751" width="13" style="2" customWidth="1"/>
    <col min="10752" max="10758" width="9.625" style="2" customWidth="1"/>
    <col min="10759" max="10760" width="11.375" style="2" customWidth="1"/>
    <col min="10761" max="10762" width="9.125" style="2"/>
    <col min="10763" max="10763" width="18.375" style="2" customWidth="1"/>
    <col min="10764" max="11004" width="9.125" style="2"/>
    <col min="11005" max="11005" width="3.375" style="2" customWidth="1"/>
    <col min="11006" max="11006" width="32.25" style="2" customWidth="1"/>
    <col min="11007" max="11007" width="13" style="2" customWidth="1"/>
    <col min="11008" max="11014" width="9.625" style="2" customWidth="1"/>
    <col min="11015" max="11016" width="11.375" style="2" customWidth="1"/>
    <col min="11017" max="11018" width="9.125" style="2"/>
    <col min="11019" max="11019" width="18.375" style="2" customWidth="1"/>
    <col min="11020" max="11260" width="9.125" style="2"/>
    <col min="11261" max="11261" width="3.375" style="2" customWidth="1"/>
    <col min="11262" max="11262" width="32.25" style="2" customWidth="1"/>
    <col min="11263" max="11263" width="13" style="2" customWidth="1"/>
    <col min="11264" max="11270" width="9.625" style="2" customWidth="1"/>
    <col min="11271" max="11272" width="11.375" style="2" customWidth="1"/>
    <col min="11273" max="11274" width="9.125" style="2"/>
    <col min="11275" max="11275" width="18.375" style="2" customWidth="1"/>
    <col min="11276" max="11516" width="9.125" style="2"/>
    <col min="11517" max="11517" width="3.375" style="2" customWidth="1"/>
    <col min="11518" max="11518" width="32.25" style="2" customWidth="1"/>
    <col min="11519" max="11519" width="13" style="2" customWidth="1"/>
    <col min="11520" max="11526" width="9.625" style="2" customWidth="1"/>
    <col min="11527" max="11528" width="11.375" style="2" customWidth="1"/>
    <col min="11529" max="11530" width="9.125" style="2"/>
    <col min="11531" max="11531" width="18.375" style="2" customWidth="1"/>
    <col min="11532" max="11772" width="9.125" style="2"/>
    <col min="11773" max="11773" width="3.375" style="2" customWidth="1"/>
    <col min="11774" max="11774" width="32.25" style="2" customWidth="1"/>
    <col min="11775" max="11775" width="13" style="2" customWidth="1"/>
    <col min="11776" max="11782" width="9.625" style="2" customWidth="1"/>
    <col min="11783" max="11784" width="11.375" style="2" customWidth="1"/>
    <col min="11785" max="11786" width="9.125" style="2"/>
    <col min="11787" max="11787" width="18.375" style="2" customWidth="1"/>
    <col min="11788" max="12028" width="9.125" style="2"/>
    <col min="12029" max="12029" width="3.375" style="2" customWidth="1"/>
    <col min="12030" max="12030" width="32.25" style="2" customWidth="1"/>
    <col min="12031" max="12031" width="13" style="2" customWidth="1"/>
    <col min="12032" max="12038" width="9.625" style="2" customWidth="1"/>
    <col min="12039" max="12040" width="11.375" style="2" customWidth="1"/>
    <col min="12041" max="12042" width="9.125" style="2"/>
    <col min="12043" max="12043" width="18.375" style="2" customWidth="1"/>
    <col min="12044" max="12284" width="9.125" style="2"/>
    <col min="12285" max="12285" width="3.375" style="2" customWidth="1"/>
    <col min="12286" max="12286" width="32.25" style="2" customWidth="1"/>
    <col min="12287" max="12287" width="13" style="2" customWidth="1"/>
    <col min="12288" max="12294" width="9.625" style="2" customWidth="1"/>
    <col min="12295" max="12296" width="11.375" style="2" customWidth="1"/>
    <col min="12297" max="12298" width="9.125" style="2"/>
    <col min="12299" max="12299" width="18.375" style="2" customWidth="1"/>
    <col min="12300" max="12540" width="9.125" style="2"/>
    <col min="12541" max="12541" width="3.375" style="2" customWidth="1"/>
    <col min="12542" max="12542" width="32.25" style="2" customWidth="1"/>
    <col min="12543" max="12543" width="13" style="2" customWidth="1"/>
    <col min="12544" max="12550" width="9.625" style="2" customWidth="1"/>
    <col min="12551" max="12552" width="11.375" style="2" customWidth="1"/>
    <col min="12553" max="12554" width="9.125" style="2"/>
    <col min="12555" max="12555" width="18.375" style="2" customWidth="1"/>
    <col min="12556" max="12796" width="9.125" style="2"/>
    <col min="12797" max="12797" width="3.375" style="2" customWidth="1"/>
    <col min="12798" max="12798" width="32.25" style="2" customWidth="1"/>
    <col min="12799" max="12799" width="13" style="2" customWidth="1"/>
    <col min="12800" max="12806" width="9.625" style="2" customWidth="1"/>
    <col min="12807" max="12808" width="11.375" style="2" customWidth="1"/>
    <col min="12809" max="12810" width="9.125" style="2"/>
    <col min="12811" max="12811" width="18.375" style="2" customWidth="1"/>
    <col min="12812" max="13052" width="9.125" style="2"/>
    <col min="13053" max="13053" width="3.375" style="2" customWidth="1"/>
    <col min="13054" max="13054" width="32.25" style="2" customWidth="1"/>
    <col min="13055" max="13055" width="13" style="2" customWidth="1"/>
    <col min="13056" max="13062" width="9.625" style="2" customWidth="1"/>
    <col min="13063" max="13064" width="11.375" style="2" customWidth="1"/>
    <col min="13065" max="13066" width="9.125" style="2"/>
    <col min="13067" max="13067" width="18.375" style="2" customWidth="1"/>
    <col min="13068" max="13308" width="9.125" style="2"/>
    <col min="13309" max="13309" width="3.375" style="2" customWidth="1"/>
    <col min="13310" max="13310" width="32.25" style="2" customWidth="1"/>
    <col min="13311" max="13311" width="13" style="2" customWidth="1"/>
    <col min="13312" max="13318" width="9.625" style="2" customWidth="1"/>
    <col min="13319" max="13320" width="11.375" style="2" customWidth="1"/>
    <col min="13321" max="13322" width="9.125" style="2"/>
    <col min="13323" max="13323" width="18.375" style="2" customWidth="1"/>
    <col min="13324" max="13564" width="9.125" style="2"/>
    <col min="13565" max="13565" width="3.375" style="2" customWidth="1"/>
    <col min="13566" max="13566" width="32.25" style="2" customWidth="1"/>
    <col min="13567" max="13567" width="13" style="2" customWidth="1"/>
    <col min="13568" max="13574" width="9.625" style="2" customWidth="1"/>
    <col min="13575" max="13576" width="11.375" style="2" customWidth="1"/>
    <col min="13577" max="13578" width="9.125" style="2"/>
    <col min="13579" max="13579" width="18.375" style="2" customWidth="1"/>
    <col min="13580" max="13820" width="9.125" style="2"/>
    <col min="13821" max="13821" width="3.375" style="2" customWidth="1"/>
    <col min="13822" max="13822" width="32.25" style="2" customWidth="1"/>
    <col min="13823" max="13823" width="13" style="2" customWidth="1"/>
    <col min="13824" max="13830" width="9.625" style="2" customWidth="1"/>
    <col min="13831" max="13832" width="11.375" style="2" customWidth="1"/>
    <col min="13833" max="13834" width="9.125" style="2"/>
    <col min="13835" max="13835" width="18.375" style="2" customWidth="1"/>
    <col min="13836" max="14076" width="9.125" style="2"/>
    <col min="14077" max="14077" width="3.375" style="2" customWidth="1"/>
    <col min="14078" max="14078" width="32.25" style="2" customWidth="1"/>
    <col min="14079" max="14079" width="13" style="2" customWidth="1"/>
    <col min="14080" max="14086" width="9.625" style="2" customWidth="1"/>
    <col min="14087" max="14088" width="11.375" style="2" customWidth="1"/>
    <col min="14089" max="14090" width="9.125" style="2"/>
    <col min="14091" max="14091" width="18.375" style="2" customWidth="1"/>
    <col min="14092" max="14332" width="9.125" style="2"/>
    <col min="14333" max="14333" width="3.375" style="2" customWidth="1"/>
    <col min="14334" max="14334" width="32.25" style="2" customWidth="1"/>
    <col min="14335" max="14335" width="13" style="2" customWidth="1"/>
    <col min="14336" max="14342" width="9.625" style="2" customWidth="1"/>
    <col min="14343" max="14344" width="11.375" style="2" customWidth="1"/>
    <col min="14345" max="14346" width="9.125" style="2"/>
    <col min="14347" max="14347" width="18.375" style="2" customWidth="1"/>
    <col min="14348" max="14588" width="9.125" style="2"/>
    <col min="14589" max="14589" width="3.375" style="2" customWidth="1"/>
    <col min="14590" max="14590" width="32.25" style="2" customWidth="1"/>
    <col min="14591" max="14591" width="13" style="2" customWidth="1"/>
    <col min="14592" max="14598" width="9.625" style="2" customWidth="1"/>
    <col min="14599" max="14600" width="11.375" style="2" customWidth="1"/>
    <col min="14601" max="14602" width="9.125" style="2"/>
    <col min="14603" max="14603" width="18.375" style="2" customWidth="1"/>
    <col min="14604" max="14844" width="9.125" style="2"/>
    <col min="14845" max="14845" width="3.375" style="2" customWidth="1"/>
    <col min="14846" max="14846" width="32.25" style="2" customWidth="1"/>
    <col min="14847" max="14847" width="13" style="2" customWidth="1"/>
    <col min="14848" max="14854" width="9.625" style="2" customWidth="1"/>
    <col min="14855" max="14856" width="11.375" style="2" customWidth="1"/>
    <col min="14857" max="14858" width="9.125" style="2"/>
    <col min="14859" max="14859" width="18.375" style="2" customWidth="1"/>
    <col min="14860" max="15100" width="9.125" style="2"/>
    <col min="15101" max="15101" width="3.375" style="2" customWidth="1"/>
    <col min="15102" max="15102" width="32.25" style="2" customWidth="1"/>
    <col min="15103" max="15103" width="13" style="2" customWidth="1"/>
    <col min="15104" max="15110" width="9.625" style="2" customWidth="1"/>
    <col min="15111" max="15112" width="11.375" style="2" customWidth="1"/>
    <col min="15113" max="15114" width="9.125" style="2"/>
    <col min="15115" max="15115" width="18.375" style="2" customWidth="1"/>
    <col min="15116" max="15356" width="9.125" style="2"/>
    <col min="15357" max="15357" width="3.375" style="2" customWidth="1"/>
    <col min="15358" max="15358" width="32.25" style="2" customWidth="1"/>
    <col min="15359" max="15359" width="13" style="2" customWidth="1"/>
    <col min="15360" max="15366" width="9.625" style="2" customWidth="1"/>
    <col min="15367" max="15368" width="11.375" style="2" customWidth="1"/>
    <col min="15369" max="15370" width="9.125" style="2"/>
    <col min="15371" max="15371" width="18.375" style="2" customWidth="1"/>
    <col min="15372" max="15612" width="9.125" style="2"/>
    <col min="15613" max="15613" width="3.375" style="2" customWidth="1"/>
    <col min="15614" max="15614" width="32.25" style="2" customWidth="1"/>
    <col min="15615" max="15615" width="13" style="2" customWidth="1"/>
    <col min="15616" max="15622" width="9.625" style="2" customWidth="1"/>
    <col min="15623" max="15624" width="11.375" style="2" customWidth="1"/>
    <col min="15625" max="15626" width="9.125" style="2"/>
    <col min="15627" max="15627" width="18.375" style="2" customWidth="1"/>
    <col min="15628" max="15868" width="9.125" style="2"/>
    <col min="15869" max="15869" width="3.375" style="2" customWidth="1"/>
    <col min="15870" max="15870" width="32.25" style="2" customWidth="1"/>
    <col min="15871" max="15871" width="13" style="2" customWidth="1"/>
    <col min="15872" max="15878" width="9.625" style="2" customWidth="1"/>
    <col min="15879" max="15880" width="11.375" style="2" customWidth="1"/>
    <col min="15881" max="15882" width="9.125" style="2"/>
    <col min="15883" max="15883" width="18.375" style="2" customWidth="1"/>
    <col min="15884" max="16124" width="9.125" style="2"/>
    <col min="16125" max="16125" width="3.375" style="2" customWidth="1"/>
    <col min="16126" max="16126" width="32.25" style="2" customWidth="1"/>
    <col min="16127" max="16127" width="13" style="2" customWidth="1"/>
    <col min="16128" max="16134" width="9.625" style="2" customWidth="1"/>
    <col min="16135" max="16136" width="11.375" style="2" customWidth="1"/>
    <col min="16137" max="16138" width="9.125" style="2"/>
    <col min="16139" max="16139" width="18.375" style="2" customWidth="1"/>
    <col min="16140" max="16384" width="9.125" style="2"/>
  </cols>
  <sheetData>
    <row r="1" spans="1:35" ht="18.75" x14ac:dyDescent="0.3">
      <c r="A1" s="94" t="s">
        <v>105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</row>
    <row r="2" spans="1:35" ht="18.75" x14ac:dyDescent="0.3">
      <c r="A2" s="95" t="s">
        <v>0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</row>
    <row r="3" spans="1:35" ht="19.5" thickBot="1" x14ac:dyDescent="0.35">
      <c r="A3" s="150" t="s">
        <v>155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</row>
    <row r="4" spans="1:35" ht="15" customHeight="1" thickBot="1" x14ac:dyDescent="0.3">
      <c r="A4" s="151" t="s">
        <v>1</v>
      </c>
      <c r="B4" s="152" t="s">
        <v>2</v>
      </c>
      <c r="C4" s="151" t="s">
        <v>3</v>
      </c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4" t="s">
        <v>106</v>
      </c>
      <c r="AH4" s="155" t="s">
        <v>104</v>
      </c>
    </row>
    <row r="5" spans="1:35" ht="15.75" thickBot="1" x14ac:dyDescent="0.3">
      <c r="A5" s="151"/>
      <c r="B5" s="152"/>
      <c r="C5" s="151"/>
      <c r="D5" s="156">
        <v>1</v>
      </c>
      <c r="E5" s="156">
        <v>2</v>
      </c>
      <c r="F5" s="156">
        <v>3</v>
      </c>
      <c r="G5" s="156">
        <v>4</v>
      </c>
      <c r="H5" s="156">
        <v>5</v>
      </c>
      <c r="I5" s="156">
        <v>6</v>
      </c>
      <c r="J5" s="156">
        <v>7</v>
      </c>
      <c r="K5" s="156">
        <v>8</v>
      </c>
      <c r="L5" s="156">
        <v>9</v>
      </c>
      <c r="M5" s="156">
        <v>10</v>
      </c>
      <c r="N5" s="156">
        <v>11</v>
      </c>
      <c r="O5" s="156">
        <v>12</v>
      </c>
      <c r="P5" s="156">
        <v>13</v>
      </c>
      <c r="Q5" s="156">
        <v>14</v>
      </c>
      <c r="R5" s="156">
        <v>15</v>
      </c>
      <c r="S5" s="156">
        <v>16</v>
      </c>
      <c r="T5" s="156">
        <v>17</v>
      </c>
      <c r="U5" s="156">
        <v>18</v>
      </c>
      <c r="V5" s="156">
        <v>19</v>
      </c>
      <c r="W5" s="156">
        <v>20</v>
      </c>
      <c r="X5" s="156">
        <v>21</v>
      </c>
      <c r="Y5" s="156">
        <v>22</v>
      </c>
      <c r="Z5" s="156">
        <v>23</v>
      </c>
      <c r="AA5" s="156">
        <v>24</v>
      </c>
      <c r="AB5" s="156">
        <v>25</v>
      </c>
      <c r="AC5" s="156">
        <v>26</v>
      </c>
      <c r="AD5" s="156">
        <v>27</v>
      </c>
      <c r="AE5" s="156">
        <v>28</v>
      </c>
      <c r="AF5" s="156">
        <v>29</v>
      </c>
      <c r="AG5" s="154"/>
      <c r="AH5" s="157"/>
    </row>
    <row r="6" spans="1:35" ht="21" customHeight="1" thickBot="1" x14ac:dyDescent="0.3">
      <c r="A6" s="151"/>
      <c r="B6" s="152"/>
      <c r="C6" s="151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4"/>
      <c r="AH6" s="157"/>
    </row>
    <row r="7" spans="1:35" ht="15.75" thickBot="1" x14ac:dyDescent="0.3">
      <c r="A7" s="158">
        <v>1</v>
      </c>
      <c r="B7" s="159" t="s">
        <v>4</v>
      </c>
      <c r="C7" s="160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2"/>
      <c r="AH7" s="161"/>
    </row>
    <row r="8" spans="1:35" ht="15.75" thickBot="1" x14ac:dyDescent="0.3">
      <c r="A8" s="158"/>
      <c r="B8" s="163" t="s">
        <v>107</v>
      </c>
      <c r="C8" s="164" t="s">
        <v>6</v>
      </c>
      <c r="D8" s="165">
        <f>'1'!K8</f>
        <v>14000</v>
      </c>
      <c r="E8" s="165">
        <f>'2'!K8</f>
        <v>14285.714285714286</v>
      </c>
      <c r="F8" s="165">
        <f>'3'!K8</f>
        <v>14314.285714285714</v>
      </c>
      <c r="G8" s="165">
        <f>'4'!K8</f>
        <v>14300</v>
      </c>
      <c r="H8" s="166">
        <f>'5'!K8</f>
        <v>15071.428571428571</v>
      </c>
      <c r="I8" s="166">
        <f>'6'!K8</f>
        <v>15285.714285714286</v>
      </c>
      <c r="J8" s="166">
        <f>'7'!K8</f>
        <v>15357.142857142857</v>
      </c>
      <c r="K8" s="166">
        <f>'8'!K8</f>
        <v>15428.571428571429</v>
      </c>
      <c r="L8" s="166">
        <f>'9'!K8</f>
        <v>15142.857142857143</v>
      </c>
      <c r="M8" s="166">
        <f>'10'!K8</f>
        <v>15500</v>
      </c>
      <c r="N8" s="166">
        <f>'11'!K8</f>
        <v>15500</v>
      </c>
      <c r="O8" s="166">
        <f>'12'!K8</f>
        <v>16071.428571428571</v>
      </c>
      <c r="P8" s="166">
        <f>'13'!K8</f>
        <v>16071.428571428571</v>
      </c>
      <c r="Q8" s="166">
        <f>'14'!K8</f>
        <v>16071.428571428571</v>
      </c>
      <c r="R8" s="166">
        <f>'15'!K8</f>
        <v>16071.428571428571</v>
      </c>
      <c r="S8" s="166">
        <f>'16'!K8</f>
        <v>16071.428571428571</v>
      </c>
      <c r="T8" s="166">
        <f>'17'!K8</f>
        <v>16071.428571428571</v>
      </c>
      <c r="U8" s="166">
        <f>'18'!K8</f>
        <v>16071.428571428571</v>
      </c>
      <c r="V8" s="166">
        <f>'19'!K8</f>
        <v>16071.428571428571</v>
      </c>
      <c r="W8" s="166">
        <f>'20'!K8</f>
        <v>16142.857142857143</v>
      </c>
      <c r="X8" s="166">
        <f>'21'!K8</f>
        <v>16142.857142857143</v>
      </c>
      <c r="Y8" s="166">
        <f>'22'!K8</f>
        <v>16142.857142857143</v>
      </c>
      <c r="Z8" s="166">
        <f>'23'!K8</f>
        <v>16142.857142857143</v>
      </c>
      <c r="AA8" s="166">
        <f>'24'!K8</f>
        <v>16142.857142857143</v>
      </c>
      <c r="AB8" s="166">
        <f>'25'!K8</f>
        <v>16142.857142857143</v>
      </c>
      <c r="AC8" s="166">
        <f>'26'!K8</f>
        <v>16142.857142857143</v>
      </c>
      <c r="AD8" s="166">
        <f>'27'!K8</f>
        <v>16157.142857142857</v>
      </c>
      <c r="AE8" s="166">
        <f>'28'!K8</f>
        <v>16171.428571428571</v>
      </c>
      <c r="AF8" s="166">
        <f>'29'!K8</f>
        <v>16171.428571428571</v>
      </c>
      <c r="AG8" s="166">
        <v>13900</v>
      </c>
      <c r="AH8" s="166">
        <f>AF8-D8</f>
        <v>2171.4285714285706</v>
      </c>
      <c r="AI8" s="58">
        <f>AVERAGE(D8:AF8)</f>
        <v>15664.039408867</v>
      </c>
    </row>
    <row r="9" spans="1:35" ht="15.75" thickBot="1" x14ac:dyDescent="0.3">
      <c r="A9" s="158"/>
      <c r="B9" s="163" t="s">
        <v>115</v>
      </c>
      <c r="C9" s="164" t="s">
        <v>6</v>
      </c>
      <c r="D9" s="165">
        <f>'1'!K9</f>
        <v>10900</v>
      </c>
      <c r="E9" s="165">
        <f>'2'!K9</f>
        <v>11083.333333333334</v>
      </c>
      <c r="F9" s="165">
        <f>'3'!K9</f>
        <v>11083.333333333334</v>
      </c>
      <c r="G9" s="165">
        <f>'4'!K9</f>
        <v>11083.333333333334</v>
      </c>
      <c r="H9" s="166">
        <f>'5'!K9</f>
        <v>11083.333333333334</v>
      </c>
      <c r="I9" s="166">
        <f>'6'!K9</f>
        <v>11083.333333333334</v>
      </c>
      <c r="J9" s="166">
        <f>'7'!K9</f>
        <v>11083.333333333334</v>
      </c>
      <c r="K9" s="166">
        <f>'8'!K9</f>
        <v>11083.333333333334</v>
      </c>
      <c r="L9" s="166">
        <f>'9'!K9</f>
        <v>11083.333333333334</v>
      </c>
      <c r="M9" s="166">
        <f>'10'!K9</f>
        <v>11083.333333333334</v>
      </c>
      <c r="N9" s="166">
        <f>'11'!K9</f>
        <v>11083.333333333334</v>
      </c>
      <c r="O9" s="166">
        <f>'12'!K9</f>
        <v>11083.333333333334</v>
      </c>
      <c r="P9" s="166">
        <f>'13'!K9</f>
        <v>11083.333333333334</v>
      </c>
      <c r="Q9" s="166">
        <f>'14'!K9</f>
        <v>11083.333333333334</v>
      </c>
      <c r="R9" s="166">
        <f>'15'!K9</f>
        <v>11083.333333333334</v>
      </c>
      <c r="S9" s="166">
        <f>'16'!K9</f>
        <v>11600</v>
      </c>
      <c r="T9" s="166">
        <f>'17'!K9</f>
        <v>11600</v>
      </c>
      <c r="U9" s="166">
        <f>'18'!K9</f>
        <v>11600</v>
      </c>
      <c r="V9" s="166">
        <f>'19'!K9</f>
        <v>11600</v>
      </c>
      <c r="W9" s="166">
        <f>'20'!K9</f>
        <v>11766.666666666666</v>
      </c>
      <c r="X9" s="166">
        <f>'21'!K9</f>
        <v>11766.666666666666</v>
      </c>
      <c r="Y9" s="166">
        <f>'22'!K9</f>
        <v>11933.333333333334</v>
      </c>
      <c r="Z9" s="166">
        <f>'23'!K9</f>
        <v>10900</v>
      </c>
      <c r="AA9" s="166">
        <f>'24'!K9</f>
        <v>10900</v>
      </c>
      <c r="AB9" s="166">
        <f>'25'!K9</f>
        <v>10900</v>
      </c>
      <c r="AC9" s="166">
        <f>'26'!K9</f>
        <v>10900</v>
      </c>
      <c r="AD9" s="166">
        <f>'27'!K9</f>
        <v>10900</v>
      </c>
      <c r="AE9" s="166">
        <f>'28'!K9</f>
        <v>10900</v>
      </c>
      <c r="AF9" s="166">
        <f>'29'!K9</f>
        <v>10900</v>
      </c>
      <c r="AG9" s="166"/>
      <c r="AH9" s="166">
        <f t="shared" ref="AH9:AH72" si="0">AF9-D9</f>
        <v>0</v>
      </c>
      <c r="AI9" s="58">
        <f t="shared" ref="AI9:AI72" si="1">AVERAGE(D9:AF9)</f>
        <v>11180.459770114943</v>
      </c>
    </row>
    <row r="10" spans="1:35" ht="15.75" thickBot="1" x14ac:dyDescent="0.3">
      <c r="A10" s="158"/>
      <c r="B10" s="163" t="s">
        <v>108</v>
      </c>
      <c r="C10" s="164" t="s">
        <v>6</v>
      </c>
      <c r="D10" s="165">
        <f>'1'!K10</f>
        <v>0</v>
      </c>
      <c r="E10" s="165">
        <f>'2'!K10</f>
        <v>0</v>
      </c>
      <c r="F10" s="165">
        <f>'3'!K10</f>
        <v>0</v>
      </c>
      <c r="G10" s="165">
        <f>'4'!K10</f>
        <v>0</v>
      </c>
      <c r="H10" s="166">
        <f>'5'!K10</f>
        <v>0</v>
      </c>
      <c r="I10" s="166">
        <f>'6'!K10</f>
        <v>0</v>
      </c>
      <c r="J10" s="166">
        <f>'7'!K10</f>
        <v>0</v>
      </c>
      <c r="K10" s="166">
        <f>'8'!K10</f>
        <v>0</v>
      </c>
      <c r="L10" s="166">
        <f>'9'!K10</f>
        <v>0</v>
      </c>
      <c r="M10" s="166">
        <f>'10'!K10</f>
        <v>0</v>
      </c>
      <c r="N10" s="166">
        <f>'11'!K10</f>
        <v>0</v>
      </c>
      <c r="O10" s="166">
        <f>'12'!K10</f>
        <v>0</v>
      </c>
      <c r="P10" s="166">
        <f>'13'!K10</f>
        <v>0</v>
      </c>
      <c r="Q10" s="166">
        <f>'14'!K10</f>
        <v>0</v>
      </c>
      <c r="R10" s="166">
        <f>'15'!K10</f>
        <v>0</v>
      </c>
      <c r="S10" s="166">
        <f>'16'!K10</f>
        <v>0</v>
      </c>
      <c r="T10" s="166">
        <f>'17'!K10</f>
        <v>0</v>
      </c>
      <c r="U10" s="166">
        <f>'18'!K10</f>
        <v>0</v>
      </c>
      <c r="V10" s="166">
        <f>'19'!K10</f>
        <v>0</v>
      </c>
      <c r="W10" s="166">
        <f>'20'!K10</f>
        <v>0</v>
      </c>
      <c r="X10" s="166">
        <f>'21'!K10</f>
        <v>0</v>
      </c>
      <c r="Y10" s="166">
        <f>'22'!K10</f>
        <v>0</v>
      </c>
      <c r="Z10" s="166">
        <f>'23'!K10</f>
        <v>14000</v>
      </c>
      <c r="AA10" s="166">
        <f>'24'!K10</f>
        <v>13000</v>
      </c>
      <c r="AB10" s="166">
        <f>'25'!K10</f>
        <v>13000</v>
      </c>
      <c r="AC10" s="166">
        <f>'26'!K10</f>
        <v>13000</v>
      </c>
      <c r="AD10" s="166">
        <f>'27'!K10</f>
        <v>13000</v>
      </c>
      <c r="AE10" s="166">
        <f>'28'!K10</f>
        <v>13000</v>
      </c>
      <c r="AF10" s="166">
        <f>'29'!K10</f>
        <v>13000</v>
      </c>
      <c r="AG10" s="166">
        <v>10900</v>
      </c>
      <c r="AH10" s="166">
        <f t="shared" si="0"/>
        <v>13000</v>
      </c>
      <c r="AI10" s="58">
        <f t="shared" si="1"/>
        <v>3172.4137931034484</v>
      </c>
    </row>
    <row r="11" spans="1:35" ht="15.75" thickBot="1" x14ac:dyDescent="0.3">
      <c r="A11" s="158"/>
      <c r="B11" s="163" t="s">
        <v>9</v>
      </c>
      <c r="C11" s="164" t="s">
        <v>6</v>
      </c>
      <c r="D11" s="165">
        <f>'1'!K11</f>
        <v>10666.666666666666</v>
      </c>
      <c r="E11" s="165">
        <f>'2'!K11</f>
        <v>10666.666666666666</v>
      </c>
      <c r="F11" s="165">
        <f>'3'!K11</f>
        <v>10666.666666666666</v>
      </c>
      <c r="G11" s="165">
        <f>'4'!K11</f>
        <v>10666.666666666666</v>
      </c>
      <c r="H11" s="166">
        <f>'5'!K11</f>
        <v>10666.666666666666</v>
      </c>
      <c r="I11" s="166">
        <f>'6'!K11</f>
        <v>10666.666666666666</v>
      </c>
      <c r="J11" s="166">
        <f>'7'!K11</f>
        <v>10666.666666666666</v>
      </c>
      <c r="K11" s="166">
        <f>'8'!K11</f>
        <v>10666.666666666666</v>
      </c>
      <c r="L11" s="166">
        <f>'9'!K11</f>
        <v>10666.666666666666</v>
      </c>
      <c r="M11" s="166">
        <f>'10'!K11</f>
        <v>10666.666666666666</v>
      </c>
      <c r="N11" s="166">
        <f>'11'!K11</f>
        <v>10666.666666666666</v>
      </c>
      <c r="O11" s="166">
        <f>'12'!K11</f>
        <v>10666.666666666666</v>
      </c>
      <c r="P11" s="166">
        <f>'13'!K11</f>
        <v>10666.666666666666</v>
      </c>
      <c r="Q11" s="166">
        <f>'14'!K11</f>
        <v>10666.666666666666</v>
      </c>
      <c r="R11" s="166">
        <f>'15'!K11</f>
        <v>10666.666666666666</v>
      </c>
      <c r="S11" s="166">
        <f>'16'!K11</f>
        <v>10666.666666666666</v>
      </c>
      <c r="T11" s="166">
        <f>'17'!K11</f>
        <v>10666.666666666666</v>
      </c>
      <c r="U11" s="166">
        <f>'18'!K11</f>
        <v>10666.666666666666</v>
      </c>
      <c r="V11" s="166">
        <f>'19'!K11</f>
        <v>10666.666666666666</v>
      </c>
      <c r="W11" s="166">
        <f>'20'!K11</f>
        <v>10666.666666666666</v>
      </c>
      <c r="X11" s="166">
        <f>'21'!K11</f>
        <v>10666.666666666666</v>
      </c>
      <c r="Y11" s="166">
        <f>'22'!K11</f>
        <v>10666.666666666666</v>
      </c>
      <c r="Z11" s="166">
        <f>'23'!K11</f>
        <v>10666.666666666666</v>
      </c>
      <c r="AA11" s="166">
        <f>'24'!K11</f>
        <v>10666.666666666666</v>
      </c>
      <c r="AB11" s="166">
        <f>'25'!K11</f>
        <v>10666.666666666666</v>
      </c>
      <c r="AC11" s="166">
        <f>'26'!K11</f>
        <v>10666.666666666666</v>
      </c>
      <c r="AD11" s="166">
        <f>'27'!K11</f>
        <v>10666.666666666666</v>
      </c>
      <c r="AE11" s="166">
        <f>'28'!K11</f>
        <v>10666.666666666666</v>
      </c>
      <c r="AF11" s="166">
        <f>'29'!K11</f>
        <v>10666.666666666666</v>
      </c>
      <c r="AG11" s="166"/>
      <c r="AH11" s="166">
        <f t="shared" si="0"/>
        <v>0</v>
      </c>
      <c r="AI11" s="58">
        <f t="shared" si="1"/>
        <v>10666.666666666666</v>
      </c>
    </row>
    <row r="12" spans="1:35" ht="15.75" thickBot="1" x14ac:dyDescent="0.3">
      <c r="A12" s="158"/>
      <c r="B12" s="163" t="s">
        <v>10</v>
      </c>
      <c r="C12" s="164" t="s">
        <v>6</v>
      </c>
      <c r="D12" s="165">
        <f>'1'!K12</f>
        <v>19000</v>
      </c>
      <c r="E12" s="165">
        <f>'2'!K12</f>
        <v>19000</v>
      </c>
      <c r="F12" s="165">
        <f>'3'!K12</f>
        <v>19000</v>
      </c>
      <c r="G12" s="165">
        <f>'4'!K12</f>
        <v>19000</v>
      </c>
      <c r="H12" s="166">
        <f>'5'!K12</f>
        <v>19000</v>
      </c>
      <c r="I12" s="166">
        <f>'6'!K12</f>
        <v>19000</v>
      </c>
      <c r="J12" s="166">
        <f>'7'!K12</f>
        <v>19000</v>
      </c>
      <c r="K12" s="166">
        <f>'8'!K12</f>
        <v>19000</v>
      </c>
      <c r="L12" s="166">
        <f>'9'!K12</f>
        <v>19000</v>
      </c>
      <c r="M12" s="166">
        <f>'10'!K12</f>
        <v>19000</v>
      </c>
      <c r="N12" s="166">
        <f>'11'!K12</f>
        <v>19000</v>
      </c>
      <c r="O12" s="166">
        <f>'12'!K12</f>
        <v>19000</v>
      </c>
      <c r="P12" s="166">
        <f>'13'!K12</f>
        <v>19000</v>
      </c>
      <c r="Q12" s="166">
        <f>'14'!K12</f>
        <v>19000</v>
      </c>
      <c r="R12" s="166">
        <f>'15'!K12</f>
        <v>19000</v>
      </c>
      <c r="S12" s="166">
        <f>'16'!K12</f>
        <v>19000</v>
      </c>
      <c r="T12" s="166">
        <f>'17'!K12</f>
        <v>19000</v>
      </c>
      <c r="U12" s="166">
        <f>'18'!K12</f>
        <v>19000</v>
      </c>
      <c r="V12" s="166">
        <f>'19'!K12</f>
        <v>19000</v>
      </c>
      <c r="W12" s="166">
        <f>'20'!K12</f>
        <v>19000</v>
      </c>
      <c r="X12" s="166">
        <f>'21'!K12</f>
        <v>19000</v>
      </c>
      <c r="Y12" s="166">
        <f>'22'!K12</f>
        <v>19000</v>
      </c>
      <c r="Z12" s="166">
        <f>'23'!K12</f>
        <v>19000</v>
      </c>
      <c r="AA12" s="166">
        <f>'24'!K12</f>
        <v>19000</v>
      </c>
      <c r="AB12" s="166">
        <f>'25'!K12</f>
        <v>19000</v>
      </c>
      <c r="AC12" s="166">
        <f>'26'!K12</f>
        <v>19000</v>
      </c>
      <c r="AD12" s="166">
        <f>'27'!K12</f>
        <v>19000</v>
      </c>
      <c r="AE12" s="166">
        <f>'28'!K12</f>
        <v>19000</v>
      </c>
      <c r="AF12" s="166">
        <f>'29'!K12</f>
        <v>19000</v>
      </c>
      <c r="AG12" s="166"/>
      <c r="AH12" s="166">
        <f t="shared" si="0"/>
        <v>0</v>
      </c>
      <c r="AI12" s="58">
        <f t="shared" si="1"/>
        <v>19000</v>
      </c>
    </row>
    <row r="13" spans="1:35" ht="15.75" thickBot="1" x14ac:dyDescent="0.3">
      <c r="A13" s="158">
        <v>2</v>
      </c>
      <c r="B13" s="159" t="s">
        <v>11</v>
      </c>
      <c r="C13" s="160"/>
      <c r="D13" s="165">
        <f>'1'!K13</f>
        <v>0</v>
      </c>
      <c r="E13" s="165">
        <f>'2'!K13</f>
        <v>0</v>
      </c>
      <c r="F13" s="165">
        <f>'3'!K13</f>
        <v>0</v>
      </c>
      <c r="G13" s="165">
        <f>'4'!K13</f>
        <v>0</v>
      </c>
      <c r="H13" s="166">
        <f>'5'!K13</f>
        <v>0</v>
      </c>
      <c r="I13" s="166">
        <f>'6'!K13</f>
        <v>0</v>
      </c>
      <c r="J13" s="166">
        <f>'7'!K13</f>
        <v>0</v>
      </c>
      <c r="K13" s="166">
        <f>'8'!K13</f>
        <v>0</v>
      </c>
      <c r="L13" s="166">
        <f>'9'!K13</f>
        <v>0</v>
      </c>
      <c r="M13" s="166">
        <f>'10'!K13</f>
        <v>0</v>
      </c>
      <c r="N13" s="166">
        <f>'11'!K13</f>
        <v>0</v>
      </c>
      <c r="O13" s="166">
        <f>'12'!K13</f>
        <v>0</v>
      </c>
      <c r="P13" s="166">
        <f>'13'!K13</f>
        <v>0</v>
      </c>
      <c r="Q13" s="166">
        <f>'14'!K13</f>
        <v>0</v>
      </c>
      <c r="R13" s="166">
        <f>'15'!K13</f>
        <v>0</v>
      </c>
      <c r="S13" s="166">
        <f>'16'!K13</f>
        <v>0</v>
      </c>
      <c r="T13" s="166">
        <f>'17'!K13</f>
        <v>0</v>
      </c>
      <c r="U13" s="166">
        <f>'18'!K13</f>
        <v>0</v>
      </c>
      <c r="V13" s="166">
        <f>'19'!K13</f>
        <v>0</v>
      </c>
      <c r="W13" s="166">
        <f>'20'!K13</f>
        <v>0</v>
      </c>
      <c r="X13" s="166">
        <f>'21'!K13</f>
        <v>0</v>
      </c>
      <c r="Y13" s="166">
        <f>'22'!K13</f>
        <v>0</v>
      </c>
      <c r="Z13" s="166">
        <f>'23'!K13</f>
        <v>0</v>
      </c>
      <c r="AA13" s="166">
        <f>'24'!K13</f>
        <v>0</v>
      </c>
      <c r="AB13" s="166">
        <f>'25'!K13</f>
        <v>0</v>
      </c>
      <c r="AC13" s="166">
        <f>'26'!K13</f>
        <v>0</v>
      </c>
      <c r="AD13" s="166">
        <f>'27'!K13</f>
        <v>0</v>
      </c>
      <c r="AE13" s="166">
        <f>'28'!K13</f>
        <v>0</v>
      </c>
      <c r="AF13" s="166">
        <f>'29'!K13</f>
        <v>0</v>
      </c>
      <c r="AG13" s="166"/>
      <c r="AH13" s="166">
        <f t="shared" si="0"/>
        <v>0</v>
      </c>
      <c r="AI13" s="58">
        <f t="shared" si="1"/>
        <v>0</v>
      </c>
    </row>
    <row r="14" spans="1:35" ht="15.75" thickBot="1" x14ac:dyDescent="0.3">
      <c r="A14" s="158"/>
      <c r="B14" s="167" t="s">
        <v>116</v>
      </c>
      <c r="C14" s="164" t="s">
        <v>6</v>
      </c>
      <c r="D14" s="165">
        <f>'1'!K14</f>
        <v>16285.714285714286</v>
      </c>
      <c r="E14" s="165">
        <f>'2'!K14</f>
        <v>16285.714285714286</v>
      </c>
      <c r="F14" s="165">
        <f>'3'!K14</f>
        <v>16214.285714285714</v>
      </c>
      <c r="G14" s="165">
        <f>'4'!K14</f>
        <v>16214.285714285714</v>
      </c>
      <c r="H14" s="166">
        <f>'5'!K14</f>
        <v>16214.285714285714</v>
      </c>
      <c r="I14" s="166">
        <f>'6'!K14</f>
        <v>16214.285714285714</v>
      </c>
      <c r="J14" s="166">
        <f>'7'!K14</f>
        <v>16214.285714285714</v>
      </c>
      <c r="K14" s="166">
        <f>'8'!K14</f>
        <v>16214.285714285714</v>
      </c>
      <c r="L14" s="166">
        <f>'9'!K14</f>
        <v>16214.285714285714</v>
      </c>
      <c r="M14" s="166">
        <f>'10'!K14</f>
        <v>16214.285714285714</v>
      </c>
      <c r="N14" s="166">
        <f>'11'!K14</f>
        <v>16214.285714285714</v>
      </c>
      <c r="O14" s="166">
        <f>'12'!K14</f>
        <v>16285.714285714286</v>
      </c>
      <c r="P14" s="166">
        <f>'13'!K14</f>
        <v>16285.714285714286</v>
      </c>
      <c r="Q14" s="166">
        <f>'14'!K14</f>
        <v>16285.714285714286</v>
      </c>
      <c r="R14" s="166">
        <f>'15'!K14</f>
        <v>16285.714285714286</v>
      </c>
      <c r="S14" s="166">
        <f>'16'!K14</f>
        <v>16285.714285714286</v>
      </c>
      <c r="T14" s="166">
        <f>'17'!K14</f>
        <v>16285.714285714286</v>
      </c>
      <c r="U14" s="166">
        <f>'18'!K14</f>
        <v>16285.714285714286</v>
      </c>
      <c r="V14" s="166">
        <f>'19'!K14</f>
        <v>16285.714285714286</v>
      </c>
      <c r="W14" s="166">
        <f>'20'!K14</f>
        <v>16428.571428571428</v>
      </c>
      <c r="X14" s="166">
        <f>'21'!K14</f>
        <v>16428.571428571428</v>
      </c>
      <c r="Y14" s="166">
        <f>'22'!K14</f>
        <v>16428.571428571428</v>
      </c>
      <c r="Z14" s="166">
        <f>'23'!K14</f>
        <v>16500</v>
      </c>
      <c r="AA14" s="166">
        <f>'24'!K14</f>
        <v>16500</v>
      </c>
      <c r="AB14" s="166">
        <f>'25'!K14</f>
        <v>16500</v>
      </c>
      <c r="AC14" s="166">
        <f>'26'!K14</f>
        <v>16500</v>
      </c>
      <c r="AD14" s="166">
        <f>'27'!K14</f>
        <v>16642.857142857141</v>
      </c>
      <c r="AE14" s="166">
        <f>'28'!K14</f>
        <v>16642.857142857141</v>
      </c>
      <c r="AF14" s="166">
        <f>'29'!K14</f>
        <v>16642.857142857141</v>
      </c>
      <c r="AG14" s="166">
        <v>16000</v>
      </c>
      <c r="AH14" s="166">
        <f t="shared" si="0"/>
        <v>357.14285714285506</v>
      </c>
      <c r="AI14" s="58">
        <f t="shared" si="1"/>
        <v>16344.827586206895</v>
      </c>
    </row>
    <row r="15" spans="1:35" ht="15.75" thickBot="1" x14ac:dyDescent="0.3">
      <c r="A15" s="158"/>
      <c r="B15" s="168" t="s">
        <v>13</v>
      </c>
      <c r="C15" s="164" t="s">
        <v>6</v>
      </c>
      <c r="D15" s="165">
        <f>'1'!K15</f>
        <v>16571.428571428572</v>
      </c>
      <c r="E15" s="165">
        <f>'2'!K15</f>
        <v>16571.428571428572</v>
      </c>
      <c r="F15" s="165">
        <f>'3'!K15</f>
        <v>16571.428571428572</v>
      </c>
      <c r="G15" s="165">
        <f>'4'!K15</f>
        <v>16571.428571428572</v>
      </c>
      <c r="H15" s="166">
        <f>'5'!K15</f>
        <v>16571.428571428572</v>
      </c>
      <c r="I15" s="166">
        <f>'6'!K15</f>
        <v>16571.428571428572</v>
      </c>
      <c r="J15" s="166">
        <f>'7'!K15</f>
        <v>16571.428571428572</v>
      </c>
      <c r="K15" s="166">
        <f>'8'!K15</f>
        <v>16571.428571428572</v>
      </c>
      <c r="L15" s="166">
        <f>'9'!K15</f>
        <v>16571.428571428572</v>
      </c>
      <c r="M15" s="166">
        <f>'10'!K15</f>
        <v>16571.428571428572</v>
      </c>
      <c r="N15" s="166">
        <f>'11'!K15</f>
        <v>16571.428571428572</v>
      </c>
      <c r="O15" s="166">
        <f>'12'!K15</f>
        <v>16571.428571428572</v>
      </c>
      <c r="P15" s="166">
        <f>'13'!K15</f>
        <v>16571.428571428572</v>
      </c>
      <c r="Q15" s="166">
        <f>'14'!K15</f>
        <v>16571.428571428572</v>
      </c>
      <c r="R15" s="166">
        <f>'15'!K15</f>
        <v>16571.428571428572</v>
      </c>
      <c r="S15" s="166">
        <f>'16'!K15</f>
        <v>16571.428571428572</v>
      </c>
      <c r="T15" s="166">
        <f>'17'!K15</f>
        <v>16714.285714285714</v>
      </c>
      <c r="U15" s="166">
        <f>'18'!K15</f>
        <v>16714.285714285714</v>
      </c>
      <c r="V15" s="166">
        <f>'19'!K15</f>
        <v>16714.285714285714</v>
      </c>
      <c r="W15" s="166">
        <f>'20'!K15</f>
        <v>16857.142857142859</v>
      </c>
      <c r="X15" s="166">
        <f>'21'!K15</f>
        <v>16857.142857142859</v>
      </c>
      <c r="Y15" s="166">
        <f>'22'!K15</f>
        <v>16857.142857142859</v>
      </c>
      <c r="Z15" s="166">
        <f>'23'!K15</f>
        <v>16857.142857142859</v>
      </c>
      <c r="AA15" s="166">
        <f>'24'!K15</f>
        <v>16857.142857142859</v>
      </c>
      <c r="AB15" s="166">
        <f>'25'!K15</f>
        <v>16857.142857142859</v>
      </c>
      <c r="AC15" s="166">
        <f>'26'!K15</f>
        <v>16857.142857142859</v>
      </c>
      <c r="AD15" s="166">
        <f>'27'!K15</f>
        <v>16857.142857142859</v>
      </c>
      <c r="AE15" s="166">
        <f>'28'!K15</f>
        <v>16857.142857142859</v>
      </c>
      <c r="AF15" s="166">
        <f>'29'!K15</f>
        <v>16857.142857142859</v>
      </c>
      <c r="AG15" s="166"/>
      <c r="AH15" s="166">
        <f t="shared" si="0"/>
        <v>285.71428571428623</v>
      </c>
      <c r="AI15" s="58">
        <f t="shared" si="1"/>
        <v>16684.729064039409</v>
      </c>
    </row>
    <row r="16" spans="1:35" ht="15.75" thickBot="1" x14ac:dyDescent="0.3">
      <c r="A16" s="158">
        <v>3</v>
      </c>
      <c r="B16" s="159" t="s">
        <v>14</v>
      </c>
      <c r="C16" s="160"/>
      <c r="D16" s="165">
        <f>'1'!K16</f>
        <v>0</v>
      </c>
      <c r="E16" s="165">
        <f>'2'!K16</f>
        <v>0</v>
      </c>
      <c r="F16" s="165">
        <f>'3'!K16</f>
        <v>0</v>
      </c>
      <c r="G16" s="165">
        <f>'4'!K16</f>
        <v>0</v>
      </c>
      <c r="H16" s="166">
        <f>'5'!K16</f>
        <v>0</v>
      </c>
      <c r="I16" s="166">
        <f>'6'!K16</f>
        <v>0</v>
      </c>
      <c r="J16" s="166">
        <f>'7'!K16</f>
        <v>0</v>
      </c>
      <c r="K16" s="166">
        <f>'8'!K16</f>
        <v>0</v>
      </c>
      <c r="L16" s="166">
        <f>'9'!K16</f>
        <v>0</v>
      </c>
      <c r="M16" s="166">
        <f>'10'!K16</f>
        <v>0</v>
      </c>
      <c r="N16" s="166">
        <f>'11'!K16</f>
        <v>0</v>
      </c>
      <c r="O16" s="166">
        <f>'12'!K16</f>
        <v>0</v>
      </c>
      <c r="P16" s="166">
        <f>'13'!K16</f>
        <v>0</v>
      </c>
      <c r="Q16" s="166">
        <f>'14'!K16</f>
        <v>0</v>
      </c>
      <c r="R16" s="166">
        <f>'15'!K16</f>
        <v>0</v>
      </c>
      <c r="S16" s="166">
        <f>'16'!K16</f>
        <v>0</v>
      </c>
      <c r="T16" s="166">
        <f>'17'!K16</f>
        <v>0</v>
      </c>
      <c r="U16" s="166">
        <f>'18'!K16</f>
        <v>0</v>
      </c>
      <c r="V16" s="166">
        <f>'19'!K16</f>
        <v>0</v>
      </c>
      <c r="W16" s="166">
        <f>'20'!K16</f>
        <v>0</v>
      </c>
      <c r="X16" s="166">
        <f>'21'!K16</f>
        <v>0</v>
      </c>
      <c r="Y16" s="166">
        <f>'22'!K16</f>
        <v>0</v>
      </c>
      <c r="Z16" s="166">
        <f>'23'!K16</f>
        <v>0</v>
      </c>
      <c r="AA16" s="166">
        <f>'24'!K16</f>
        <v>0</v>
      </c>
      <c r="AB16" s="166">
        <f>'25'!K16</f>
        <v>0</v>
      </c>
      <c r="AC16" s="166">
        <f>'26'!K16</f>
        <v>0</v>
      </c>
      <c r="AD16" s="166">
        <f>'27'!K16</f>
        <v>0</v>
      </c>
      <c r="AE16" s="166">
        <f>'28'!K16</f>
        <v>0</v>
      </c>
      <c r="AF16" s="166">
        <f>'29'!K16</f>
        <v>0</v>
      </c>
      <c r="AG16" s="166"/>
      <c r="AH16" s="166">
        <f t="shared" si="0"/>
        <v>0</v>
      </c>
      <c r="AI16" s="58">
        <f t="shared" si="1"/>
        <v>0</v>
      </c>
    </row>
    <row r="17" spans="1:35" ht="15.75" thickBot="1" x14ac:dyDescent="0.3">
      <c r="A17" s="158"/>
      <c r="B17" s="168" t="s">
        <v>15</v>
      </c>
      <c r="C17" s="164" t="s">
        <v>6</v>
      </c>
      <c r="D17" s="165">
        <f>'1'!K17</f>
        <v>15142.857142857143</v>
      </c>
      <c r="E17" s="165">
        <f>'2'!K17</f>
        <v>15285.714285714286</v>
      </c>
      <c r="F17" s="165">
        <f>'3'!K17</f>
        <v>15285.714285714286</v>
      </c>
      <c r="G17" s="165">
        <f>'4'!K17</f>
        <v>15285.714285714286</v>
      </c>
      <c r="H17" s="166">
        <f>'5'!K17</f>
        <v>15285.714285714286</v>
      </c>
      <c r="I17" s="166">
        <f>'6'!K17</f>
        <v>15285.714285714286</v>
      </c>
      <c r="J17" s="166">
        <f>'7'!K17</f>
        <v>15285.714285714286</v>
      </c>
      <c r="K17" s="166">
        <f>'8'!K17</f>
        <v>15285.714285714286</v>
      </c>
      <c r="L17" s="166">
        <f>'9'!K17</f>
        <v>15285.714285714286</v>
      </c>
      <c r="M17" s="166">
        <f>'10'!K17</f>
        <v>15285.714285714286</v>
      </c>
      <c r="N17" s="166">
        <f>'11'!K17</f>
        <v>15285.714285714286</v>
      </c>
      <c r="O17" s="166">
        <f>'12'!K17</f>
        <v>15285.714285714286</v>
      </c>
      <c r="P17" s="166">
        <f>'13'!K17</f>
        <v>15285.714285714286</v>
      </c>
      <c r="Q17" s="166">
        <f>'14'!K17</f>
        <v>15285.714285714286</v>
      </c>
      <c r="R17" s="166">
        <f>'15'!K17</f>
        <v>15285.714285714286</v>
      </c>
      <c r="S17" s="166">
        <f>'16'!K17</f>
        <v>15357.142857142857</v>
      </c>
      <c r="T17" s="166">
        <f>'17'!K17</f>
        <v>15357.142857142857</v>
      </c>
      <c r="U17" s="166">
        <f>'18'!K17</f>
        <v>15357.142857142857</v>
      </c>
      <c r="V17" s="166">
        <f>'19'!K17</f>
        <v>15285.714285714286</v>
      </c>
      <c r="W17" s="166">
        <f>'20'!K17</f>
        <v>15571.428571428571</v>
      </c>
      <c r="X17" s="166">
        <f>'21'!K17</f>
        <v>15571.428571428571</v>
      </c>
      <c r="Y17" s="166">
        <f>'22'!K17</f>
        <v>15571.428571428571</v>
      </c>
      <c r="Z17" s="166">
        <f>'23'!K17</f>
        <v>15642.857142857143</v>
      </c>
      <c r="AA17" s="166">
        <f>'24'!K17</f>
        <v>15642.857142857143</v>
      </c>
      <c r="AB17" s="166">
        <f>'25'!K17</f>
        <v>15642.857142857143</v>
      </c>
      <c r="AC17" s="166">
        <f>'26'!K17</f>
        <v>15642.857142857143</v>
      </c>
      <c r="AD17" s="166">
        <f>'27'!K17</f>
        <v>15642.857142857143</v>
      </c>
      <c r="AE17" s="166">
        <f>'28'!K17</f>
        <v>15642.857142857143</v>
      </c>
      <c r="AF17" s="166">
        <f>'29'!K17</f>
        <v>15642.857142857143</v>
      </c>
      <c r="AG17" s="166">
        <v>15500</v>
      </c>
      <c r="AH17" s="166">
        <f t="shared" si="0"/>
        <v>500</v>
      </c>
      <c r="AI17" s="58">
        <f t="shared" si="1"/>
        <v>15403.940886699515</v>
      </c>
    </row>
    <row r="18" spans="1:35" ht="15.75" thickBot="1" x14ac:dyDescent="0.3">
      <c r="A18" s="158"/>
      <c r="B18" s="167" t="s">
        <v>109</v>
      </c>
      <c r="C18" s="164" t="s">
        <v>110</v>
      </c>
      <c r="D18" s="165">
        <f>'1'!K18</f>
        <v>14000</v>
      </c>
      <c r="E18" s="165">
        <f>'2'!K18</f>
        <v>14000</v>
      </c>
      <c r="F18" s="165">
        <f>'3'!K18</f>
        <v>14000</v>
      </c>
      <c r="G18" s="165">
        <f>'4'!K18</f>
        <v>14000</v>
      </c>
      <c r="H18" s="166">
        <f>'5'!K18</f>
        <v>14000</v>
      </c>
      <c r="I18" s="166">
        <f>'6'!K18</f>
        <v>14000</v>
      </c>
      <c r="J18" s="166">
        <f>'7'!K18</f>
        <v>14000</v>
      </c>
      <c r="K18" s="166">
        <f>'8'!K18</f>
        <v>14000</v>
      </c>
      <c r="L18" s="166">
        <f>'9'!K18</f>
        <v>14000</v>
      </c>
      <c r="M18" s="166">
        <f>'10'!K18</f>
        <v>14000</v>
      </c>
      <c r="N18" s="166">
        <f>'11'!K18</f>
        <v>14000</v>
      </c>
      <c r="O18" s="166">
        <f>'12'!K18</f>
        <v>14000</v>
      </c>
      <c r="P18" s="166">
        <f>'13'!K18</f>
        <v>14000</v>
      </c>
      <c r="Q18" s="166">
        <f>'14'!K18</f>
        <v>14000</v>
      </c>
      <c r="R18" s="166">
        <f>'15'!K18</f>
        <v>14000</v>
      </c>
      <c r="S18" s="166">
        <f>'16'!K18</f>
        <v>14000</v>
      </c>
      <c r="T18" s="166">
        <f>'17'!K18</f>
        <v>14000</v>
      </c>
      <c r="U18" s="166">
        <f>'18'!K18</f>
        <v>14000</v>
      </c>
      <c r="V18" s="166">
        <f>'19'!K18</f>
        <v>14000</v>
      </c>
      <c r="W18" s="166">
        <f>'20'!K18</f>
        <v>14000</v>
      </c>
      <c r="X18" s="166">
        <f>'21'!K18</f>
        <v>14000</v>
      </c>
      <c r="Y18" s="166">
        <f>'22'!K18</f>
        <v>14000</v>
      </c>
      <c r="Z18" s="166">
        <f>'23'!K18</f>
        <v>14000</v>
      </c>
      <c r="AA18" s="166">
        <f>'24'!K18</f>
        <v>14000</v>
      </c>
      <c r="AB18" s="166">
        <f>'25'!K18</f>
        <v>14000</v>
      </c>
      <c r="AC18" s="166">
        <f>'26'!K18</f>
        <v>14000</v>
      </c>
      <c r="AD18" s="166">
        <f>'27'!K18</f>
        <v>14000</v>
      </c>
      <c r="AE18" s="166">
        <f>'28'!K18</f>
        <v>14000</v>
      </c>
      <c r="AF18" s="166">
        <f>'29'!K18</f>
        <v>14000</v>
      </c>
      <c r="AG18" s="166">
        <v>14000</v>
      </c>
      <c r="AH18" s="166">
        <f t="shared" si="0"/>
        <v>0</v>
      </c>
      <c r="AI18" s="58">
        <f t="shared" si="1"/>
        <v>14000</v>
      </c>
    </row>
    <row r="19" spans="1:35" ht="15.75" thickBot="1" x14ac:dyDescent="0.3">
      <c r="A19" s="158">
        <v>4</v>
      </c>
      <c r="B19" s="169" t="s">
        <v>16</v>
      </c>
      <c r="C19" s="160"/>
      <c r="D19" s="165">
        <f>'1'!K19</f>
        <v>0</v>
      </c>
      <c r="E19" s="165">
        <f>'2'!K19</f>
        <v>0</v>
      </c>
      <c r="F19" s="165">
        <f>'3'!K19</f>
        <v>0</v>
      </c>
      <c r="G19" s="165">
        <f>'4'!K19</f>
        <v>0</v>
      </c>
      <c r="H19" s="166">
        <f>'5'!K19</f>
        <v>0</v>
      </c>
      <c r="I19" s="166">
        <f>'6'!K19</f>
        <v>0</v>
      </c>
      <c r="J19" s="166">
        <f>'7'!K19</f>
        <v>0</v>
      </c>
      <c r="K19" s="166">
        <f>'8'!K19</f>
        <v>0</v>
      </c>
      <c r="L19" s="166">
        <f>'9'!K19</f>
        <v>0</v>
      </c>
      <c r="M19" s="166">
        <f>'10'!K19</f>
        <v>0</v>
      </c>
      <c r="N19" s="166">
        <f>'11'!K19</f>
        <v>0</v>
      </c>
      <c r="O19" s="166">
        <f>'12'!K19</f>
        <v>0</v>
      </c>
      <c r="P19" s="166">
        <f>'13'!K19</f>
        <v>0</v>
      </c>
      <c r="Q19" s="166">
        <f>'14'!K19</f>
        <v>0</v>
      </c>
      <c r="R19" s="166">
        <f>'15'!K19</f>
        <v>0</v>
      </c>
      <c r="S19" s="166">
        <f>'16'!K19</f>
        <v>0</v>
      </c>
      <c r="T19" s="166">
        <f>'17'!K19</f>
        <v>0</v>
      </c>
      <c r="U19" s="166">
        <f>'18'!K19</f>
        <v>0</v>
      </c>
      <c r="V19" s="166">
        <f>'19'!K19</f>
        <v>0</v>
      </c>
      <c r="W19" s="166">
        <f>'20'!K19</f>
        <v>0</v>
      </c>
      <c r="X19" s="166">
        <f>'21'!K19</f>
        <v>0</v>
      </c>
      <c r="Y19" s="166">
        <f>'22'!K19</f>
        <v>0</v>
      </c>
      <c r="Z19" s="166">
        <f>'23'!K19</f>
        <v>0</v>
      </c>
      <c r="AA19" s="166">
        <f>'24'!K19</f>
        <v>0</v>
      </c>
      <c r="AB19" s="166">
        <f>'25'!K19</f>
        <v>0</v>
      </c>
      <c r="AC19" s="166">
        <f>'26'!K19</f>
        <v>0</v>
      </c>
      <c r="AD19" s="166">
        <f>'27'!K19</f>
        <v>0</v>
      </c>
      <c r="AE19" s="166">
        <f>'28'!K19</f>
        <v>0</v>
      </c>
      <c r="AF19" s="166">
        <f>'29'!K19</f>
        <v>0</v>
      </c>
      <c r="AG19" s="166"/>
      <c r="AH19" s="166">
        <f t="shared" si="0"/>
        <v>0</v>
      </c>
      <c r="AI19" s="58">
        <f t="shared" si="1"/>
        <v>0</v>
      </c>
    </row>
    <row r="20" spans="1:35" ht="15.75" thickBot="1" x14ac:dyDescent="0.3">
      <c r="A20" s="158"/>
      <c r="B20" s="167" t="s">
        <v>17</v>
      </c>
      <c r="C20" s="164" t="s">
        <v>6</v>
      </c>
      <c r="D20" s="165">
        <f>'1'!K20</f>
        <v>22500</v>
      </c>
      <c r="E20" s="165">
        <f>'2'!K20</f>
        <v>22500</v>
      </c>
      <c r="F20" s="165">
        <f>'3'!K20</f>
        <v>22500</v>
      </c>
      <c r="G20" s="165">
        <f>'4'!K20</f>
        <v>22500</v>
      </c>
      <c r="H20" s="166">
        <f>'5'!K20</f>
        <v>22500</v>
      </c>
      <c r="I20" s="166">
        <f>'6'!K20</f>
        <v>22500</v>
      </c>
      <c r="J20" s="166">
        <f>'7'!K20</f>
        <v>22500</v>
      </c>
      <c r="K20" s="166">
        <f>'8'!K20</f>
        <v>22500</v>
      </c>
      <c r="L20" s="166">
        <f>'9'!K20</f>
        <v>22500</v>
      </c>
      <c r="M20" s="166">
        <f>'10'!K20</f>
        <v>22500</v>
      </c>
      <c r="N20" s="166">
        <f>'11'!K20</f>
        <v>22500</v>
      </c>
      <c r="O20" s="166">
        <f>'12'!K20</f>
        <v>22500</v>
      </c>
      <c r="P20" s="166">
        <f>'13'!K20</f>
        <v>22500</v>
      </c>
      <c r="Q20" s="166">
        <f>'14'!K20</f>
        <v>22500</v>
      </c>
      <c r="R20" s="166">
        <f>'15'!K20</f>
        <v>22500</v>
      </c>
      <c r="S20" s="166">
        <f>'16'!K20</f>
        <v>22500</v>
      </c>
      <c r="T20" s="166">
        <f>'17'!K20</f>
        <v>22500</v>
      </c>
      <c r="U20" s="166">
        <f>'18'!K20</f>
        <v>22500</v>
      </c>
      <c r="V20" s="166">
        <f>'19'!K20</f>
        <v>22500</v>
      </c>
      <c r="W20" s="166">
        <f>'20'!K20</f>
        <v>22500</v>
      </c>
      <c r="X20" s="166">
        <f>'21'!K20</f>
        <v>22500</v>
      </c>
      <c r="Y20" s="166">
        <f>'22'!K20</f>
        <v>22500</v>
      </c>
      <c r="Z20" s="166">
        <f>'23'!K20</f>
        <v>22500</v>
      </c>
      <c r="AA20" s="166">
        <f>'24'!K20</f>
        <v>22500</v>
      </c>
      <c r="AB20" s="166">
        <f>'25'!K20</f>
        <v>22500</v>
      </c>
      <c r="AC20" s="166">
        <f>'26'!K20</f>
        <v>22500</v>
      </c>
      <c r="AD20" s="166">
        <f>'27'!K20</f>
        <v>22500</v>
      </c>
      <c r="AE20" s="166">
        <f>'28'!K20</f>
        <v>22500</v>
      </c>
      <c r="AF20" s="166">
        <f>'29'!K20</f>
        <v>22500</v>
      </c>
      <c r="AG20" s="166"/>
      <c r="AH20" s="166">
        <f t="shared" si="0"/>
        <v>0</v>
      </c>
      <c r="AI20" s="58">
        <f t="shared" si="1"/>
        <v>22500</v>
      </c>
    </row>
    <row r="21" spans="1:35" ht="15.75" thickBot="1" x14ac:dyDescent="0.3">
      <c r="A21" s="158">
        <v>5</v>
      </c>
      <c r="B21" s="169" t="s">
        <v>18</v>
      </c>
      <c r="C21" s="160"/>
      <c r="D21" s="165">
        <f>'1'!K21</f>
        <v>0</v>
      </c>
      <c r="E21" s="165">
        <f>'2'!K21</f>
        <v>0</v>
      </c>
      <c r="F21" s="165">
        <f>'3'!K21</f>
        <v>0</v>
      </c>
      <c r="G21" s="165">
        <f>'4'!K21</f>
        <v>0</v>
      </c>
      <c r="H21" s="166">
        <f>'5'!K21</f>
        <v>0</v>
      </c>
      <c r="I21" s="166">
        <f>'6'!K21</f>
        <v>0</v>
      </c>
      <c r="J21" s="166">
        <f>'7'!K21</f>
        <v>0</v>
      </c>
      <c r="K21" s="166">
        <f>'8'!K21</f>
        <v>0</v>
      </c>
      <c r="L21" s="166">
        <f>'9'!K21</f>
        <v>0</v>
      </c>
      <c r="M21" s="166">
        <f>'10'!K21</f>
        <v>0</v>
      </c>
      <c r="N21" s="166">
        <f>'11'!K21</f>
        <v>0</v>
      </c>
      <c r="O21" s="166">
        <f>'12'!K21</f>
        <v>0</v>
      </c>
      <c r="P21" s="166">
        <f>'13'!K21</f>
        <v>0</v>
      </c>
      <c r="Q21" s="166">
        <f>'14'!K21</f>
        <v>0</v>
      </c>
      <c r="R21" s="166">
        <f>'15'!K21</f>
        <v>0</v>
      </c>
      <c r="S21" s="166">
        <f>'16'!K21</f>
        <v>0</v>
      </c>
      <c r="T21" s="166">
        <f>'17'!K21</f>
        <v>0</v>
      </c>
      <c r="U21" s="166">
        <f>'18'!K21</f>
        <v>0</v>
      </c>
      <c r="V21" s="166">
        <f>'19'!K21</f>
        <v>0</v>
      </c>
      <c r="W21" s="166">
        <f>'20'!K21</f>
        <v>0</v>
      </c>
      <c r="X21" s="166">
        <f>'21'!K21</f>
        <v>0</v>
      </c>
      <c r="Y21" s="166">
        <f>'22'!K21</f>
        <v>0</v>
      </c>
      <c r="Z21" s="166">
        <f>'23'!K21</f>
        <v>0</v>
      </c>
      <c r="AA21" s="166">
        <f>'24'!K21</f>
        <v>0</v>
      </c>
      <c r="AB21" s="166">
        <f>'25'!K21</f>
        <v>0</v>
      </c>
      <c r="AC21" s="166">
        <f>'26'!K21</f>
        <v>0</v>
      </c>
      <c r="AD21" s="166">
        <f>'27'!K21</f>
        <v>0</v>
      </c>
      <c r="AE21" s="166">
        <f>'28'!K21</f>
        <v>0</v>
      </c>
      <c r="AF21" s="166">
        <f>'29'!K21</f>
        <v>0</v>
      </c>
      <c r="AG21" s="166"/>
      <c r="AH21" s="166">
        <f t="shared" si="0"/>
        <v>0</v>
      </c>
      <c r="AI21" s="58">
        <f t="shared" si="1"/>
        <v>0</v>
      </c>
    </row>
    <row r="22" spans="1:35" ht="15.75" thickBot="1" x14ac:dyDescent="0.3">
      <c r="A22" s="158"/>
      <c r="B22" s="168" t="s">
        <v>19</v>
      </c>
      <c r="C22" s="164" t="s">
        <v>6</v>
      </c>
      <c r="D22" s="165">
        <f>'1'!K22</f>
        <v>120000</v>
      </c>
      <c r="E22" s="165">
        <f>'2'!K22</f>
        <v>120000</v>
      </c>
      <c r="F22" s="165">
        <f>'3'!K22</f>
        <v>120000</v>
      </c>
      <c r="G22" s="165">
        <f>'4'!K22</f>
        <v>120000</v>
      </c>
      <c r="H22" s="166">
        <f>'5'!K22</f>
        <v>120000</v>
      </c>
      <c r="I22" s="166">
        <f>'6'!K22</f>
        <v>120000</v>
      </c>
      <c r="J22" s="166">
        <f>'7'!K22</f>
        <v>120000</v>
      </c>
      <c r="K22" s="166">
        <f>'8'!K22</f>
        <v>120000</v>
      </c>
      <c r="L22" s="166">
        <f>'9'!K22</f>
        <v>120000</v>
      </c>
      <c r="M22" s="166">
        <f>'10'!K22</f>
        <v>120000</v>
      </c>
      <c r="N22" s="166">
        <f>'11'!K22</f>
        <v>120000</v>
      </c>
      <c r="O22" s="166">
        <f>'12'!K22</f>
        <v>120000</v>
      </c>
      <c r="P22" s="166">
        <f>'13'!K22</f>
        <v>120000</v>
      </c>
      <c r="Q22" s="166">
        <f>'14'!K22</f>
        <v>120000</v>
      </c>
      <c r="R22" s="166">
        <f>'15'!K22</f>
        <v>120000</v>
      </c>
      <c r="S22" s="166">
        <f>'16'!K22</f>
        <v>120000</v>
      </c>
      <c r="T22" s="166">
        <f>'17'!K22</f>
        <v>120000</v>
      </c>
      <c r="U22" s="166">
        <f>'18'!K22</f>
        <v>120000</v>
      </c>
      <c r="V22" s="166">
        <f>'19'!K22</f>
        <v>120000</v>
      </c>
      <c r="W22" s="166">
        <f>'20'!K22</f>
        <v>120000</v>
      </c>
      <c r="X22" s="166">
        <f>'21'!K22</f>
        <v>120000</v>
      </c>
      <c r="Y22" s="166">
        <f>'22'!K22</f>
        <v>120000</v>
      </c>
      <c r="Z22" s="166">
        <f>'23'!K22</f>
        <v>120000</v>
      </c>
      <c r="AA22" s="166">
        <f>'24'!K22</f>
        <v>120000</v>
      </c>
      <c r="AB22" s="166">
        <f>'25'!K22</f>
        <v>120000</v>
      </c>
      <c r="AC22" s="166">
        <f>'26'!K22</f>
        <v>120000</v>
      </c>
      <c r="AD22" s="166">
        <f>'27'!K22</f>
        <v>120000</v>
      </c>
      <c r="AE22" s="166">
        <f>'28'!K22</f>
        <v>120000</v>
      </c>
      <c r="AF22" s="166">
        <f>'29'!K22</f>
        <v>120000</v>
      </c>
      <c r="AG22" s="166">
        <v>140000</v>
      </c>
      <c r="AH22" s="166">
        <f t="shared" si="0"/>
        <v>0</v>
      </c>
      <c r="AI22" s="58">
        <f t="shared" si="1"/>
        <v>120000</v>
      </c>
    </row>
    <row r="23" spans="1:35" ht="15.75" thickBot="1" x14ac:dyDescent="0.3">
      <c r="A23" s="158"/>
      <c r="B23" s="168" t="s">
        <v>20</v>
      </c>
      <c r="C23" s="164" t="s">
        <v>6</v>
      </c>
      <c r="D23" s="165">
        <f>'1'!K23</f>
        <v>110714.28571428571</v>
      </c>
      <c r="E23" s="165">
        <f>'2'!K23</f>
        <v>110714.28571428571</v>
      </c>
      <c r="F23" s="165">
        <f>'3'!K23</f>
        <v>110714.28571428571</v>
      </c>
      <c r="G23" s="165">
        <f>'4'!K23</f>
        <v>110714.28571428571</v>
      </c>
      <c r="H23" s="166">
        <f>'5'!K23</f>
        <v>110714.28571428571</v>
      </c>
      <c r="I23" s="166">
        <f>'6'!K23</f>
        <v>110714.28571428571</v>
      </c>
      <c r="J23" s="166">
        <f>'7'!K23</f>
        <v>110714.28571428571</v>
      </c>
      <c r="K23" s="166">
        <f>'8'!K23</f>
        <v>110714.28571428571</v>
      </c>
      <c r="L23" s="166">
        <f>'9'!K23</f>
        <v>110714.28571428571</v>
      </c>
      <c r="M23" s="166">
        <f>'10'!K23</f>
        <v>110714.28571428571</v>
      </c>
      <c r="N23" s="166">
        <f>'11'!K23</f>
        <v>110714.28571428571</v>
      </c>
      <c r="O23" s="166">
        <f>'12'!K23</f>
        <v>110714.28571428571</v>
      </c>
      <c r="P23" s="166">
        <f>'13'!K23</f>
        <v>110714.28571428571</v>
      </c>
      <c r="Q23" s="166">
        <f>'14'!K23</f>
        <v>110714.28571428571</v>
      </c>
      <c r="R23" s="166">
        <f>'15'!K23</f>
        <v>110714.28571428571</v>
      </c>
      <c r="S23" s="166">
        <f>'16'!K23</f>
        <v>110714.28571428571</v>
      </c>
      <c r="T23" s="166">
        <f>'17'!K23</f>
        <v>110714.28571428571</v>
      </c>
      <c r="U23" s="166">
        <f>'18'!K23</f>
        <v>110714.28571428571</v>
      </c>
      <c r="V23" s="166">
        <f>'19'!K23</f>
        <v>110714.28571428571</v>
      </c>
      <c r="W23" s="166">
        <f>'20'!K23</f>
        <v>110714.28571428571</v>
      </c>
      <c r="X23" s="166">
        <f>'21'!K23</f>
        <v>110714.28571428571</v>
      </c>
      <c r="Y23" s="166">
        <f>'22'!K23</f>
        <v>110714.28571428571</v>
      </c>
      <c r="Z23" s="166">
        <f>'23'!K23</f>
        <v>110714.28571428571</v>
      </c>
      <c r="AA23" s="166">
        <f>'24'!K23</f>
        <v>110714.28571428571</v>
      </c>
      <c r="AB23" s="166">
        <f>'25'!K23</f>
        <v>110714.28571428571</v>
      </c>
      <c r="AC23" s="166">
        <f>'26'!K23</f>
        <v>110714.28571428571</v>
      </c>
      <c r="AD23" s="166">
        <f>'27'!K23</f>
        <v>110714.28571428571</v>
      </c>
      <c r="AE23" s="166">
        <f>'28'!K23</f>
        <v>110714.28571428571</v>
      </c>
      <c r="AF23" s="166">
        <f>'29'!K23</f>
        <v>110714.28571428571</v>
      </c>
      <c r="AG23" s="166"/>
      <c r="AH23" s="166">
        <f t="shared" si="0"/>
        <v>0</v>
      </c>
      <c r="AI23" s="58">
        <f t="shared" si="1"/>
        <v>110714.28571428577</v>
      </c>
    </row>
    <row r="24" spans="1:35" ht="15.75" thickBot="1" x14ac:dyDescent="0.3">
      <c r="A24" s="158"/>
      <c r="B24" s="168" t="s">
        <v>21</v>
      </c>
      <c r="C24" s="164" t="s">
        <v>6</v>
      </c>
      <c r="D24" s="165">
        <f>'1'!K24</f>
        <v>100000</v>
      </c>
      <c r="E24" s="165">
        <f>'2'!K24</f>
        <v>100000</v>
      </c>
      <c r="F24" s="165">
        <f>'3'!K24</f>
        <v>100000</v>
      </c>
      <c r="G24" s="165">
        <f>'4'!K24</f>
        <v>100000</v>
      </c>
      <c r="H24" s="166">
        <f>'5'!K24</f>
        <v>100000</v>
      </c>
      <c r="I24" s="166">
        <f>'6'!K24</f>
        <v>100000</v>
      </c>
      <c r="J24" s="166">
        <f>'7'!K24</f>
        <v>100000</v>
      </c>
      <c r="K24" s="166">
        <f>'8'!K24</f>
        <v>100000</v>
      </c>
      <c r="L24" s="166">
        <f>'9'!K24</f>
        <v>100000</v>
      </c>
      <c r="M24" s="166">
        <f>'10'!K24</f>
        <v>100000</v>
      </c>
      <c r="N24" s="166">
        <f>'11'!K24</f>
        <v>100000</v>
      </c>
      <c r="O24" s="166">
        <f>'12'!K24</f>
        <v>100000</v>
      </c>
      <c r="P24" s="166">
        <f>'13'!K24</f>
        <v>100000</v>
      </c>
      <c r="Q24" s="166">
        <f>'14'!K24</f>
        <v>100000</v>
      </c>
      <c r="R24" s="166">
        <f>'15'!K24</f>
        <v>100000</v>
      </c>
      <c r="S24" s="166">
        <f>'16'!K24</f>
        <v>100000</v>
      </c>
      <c r="T24" s="166">
        <f>'17'!K24</f>
        <v>100000</v>
      </c>
      <c r="U24" s="166">
        <f>'18'!K24</f>
        <v>100000</v>
      </c>
      <c r="V24" s="166">
        <f>'19'!K24</f>
        <v>100000</v>
      </c>
      <c r="W24" s="166">
        <f>'20'!K24</f>
        <v>100000</v>
      </c>
      <c r="X24" s="166">
        <f>'21'!K24</f>
        <v>100000</v>
      </c>
      <c r="Y24" s="166">
        <f>'22'!K24</f>
        <v>100000</v>
      </c>
      <c r="Z24" s="166">
        <f>'23'!K24</f>
        <v>100000</v>
      </c>
      <c r="AA24" s="166">
        <f>'24'!K24</f>
        <v>100000</v>
      </c>
      <c r="AB24" s="166">
        <f>'25'!K24</f>
        <v>100000</v>
      </c>
      <c r="AC24" s="166">
        <f>'26'!K24</f>
        <v>101428.57142857143</v>
      </c>
      <c r="AD24" s="166">
        <f>'27'!K24</f>
        <v>101428.57142857143</v>
      </c>
      <c r="AE24" s="166">
        <f>'28'!K24</f>
        <v>100000</v>
      </c>
      <c r="AF24" s="166">
        <f>'29'!K24</f>
        <v>100000</v>
      </c>
      <c r="AG24" s="166"/>
      <c r="AH24" s="166">
        <f t="shared" si="0"/>
        <v>0</v>
      </c>
      <c r="AI24" s="58">
        <f t="shared" si="1"/>
        <v>100098.52216748768</v>
      </c>
    </row>
    <row r="25" spans="1:35" ht="15.75" thickBot="1" x14ac:dyDescent="0.3">
      <c r="A25" s="158"/>
      <c r="B25" s="167" t="s">
        <v>22</v>
      </c>
      <c r="C25" s="164" t="s">
        <v>6</v>
      </c>
      <c r="D25" s="165">
        <f>'1'!K25</f>
        <v>31714.285714285714</v>
      </c>
      <c r="E25" s="165">
        <f>'2'!K25</f>
        <v>31714.285714285714</v>
      </c>
      <c r="F25" s="165">
        <f>'3'!K25</f>
        <v>31571.428571428572</v>
      </c>
      <c r="G25" s="165">
        <f>'4'!K25</f>
        <v>31714.285714285714</v>
      </c>
      <c r="H25" s="166">
        <f>'5'!K25</f>
        <v>31714.285714285714</v>
      </c>
      <c r="I25" s="166">
        <f>'6'!K25</f>
        <v>31857.142857142859</v>
      </c>
      <c r="J25" s="166">
        <f>'7'!K25</f>
        <v>32428.571428571428</v>
      </c>
      <c r="K25" s="166">
        <f>'8'!K25</f>
        <v>32142.857142857141</v>
      </c>
      <c r="L25" s="166">
        <f>'9'!K25</f>
        <v>32285.714285714286</v>
      </c>
      <c r="M25" s="166">
        <f>'10'!K25</f>
        <v>32714.285714285714</v>
      </c>
      <c r="N25" s="166">
        <f>'11'!K25</f>
        <v>32714.285714285714</v>
      </c>
      <c r="O25" s="166">
        <f>'12'!K25</f>
        <v>33142.857142857145</v>
      </c>
      <c r="P25" s="166">
        <f>'13'!K25</f>
        <v>33142.857142857145</v>
      </c>
      <c r="Q25" s="166">
        <f>'14'!K25</f>
        <v>33000</v>
      </c>
      <c r="R25" s="166">
        <f>'15'!K25</f>
        <v>33571.428571428572</v>
      </c>
      <c r="S25" s="166">
        <f>'16'!K25</f>
        <v>33571.428571428572</v>
      </c>
      <c r="T25" s="166">
        <f>'17'!K25</f>
        <v>33000</v>
      </c>
      <c r="U25" s="166">
        <f>'18'!K25</f>
        <v>32714.285714285714</v>
      </c>
      <c r="V25" s="166">
        <f>'19'!K25</f>
        <v>32857.142857142855</v>
      </c>
      <c r="W25" s="166">
        <f>'20'!K25</f>
        <v>33285.714285714283</v>
      </c>
      <c r="X25" s="166">
        <f>'21'!K25</f>
        <v>33285.714285714283</v>
      </c>
      <c r="Y25" s="166">
        <f>'22'!K25</f>
        <v>32857.142857142855</v>
      </c>
      <c r="Z25" s="166">
        <f>'23'!K25</f>
        <v>33000</v>
      </c>
      <c r="AA25" s="166">
        <f>'24'!K25</f>
        <v>33000</v>
      </c>
      <c r="AB25" s="166">
        <f>'25'!K25</f>
        <v>33000</v>
      </c>
      <c r="AC25" s="166">
        <f>'26'!K25</f>
        <v>33428.571428571428</v>
      </c>
      <c r="AD25" s="166">
        <f>'27'!K25</f>
        <v>33571.428571428572</v>
      </c>
      <c r="AE25" s="166">
        <f>'28'!K25</f>
        <v>33428.571428571428</v>
      </c>
      <c r="AF25" s="166">
        <f>'29'!K25</f>
        <v>33571.428571428572</v>
      </c>
      <c r="AG25" s="166">
        <v>36750</v>
      </c>
      <c r="AH25" s="166">
        <f t="shared" si="0"/>
        <v>1857.1428571428587</v>
      </c>
      <c r="AI25" s="58">
        <f t="shared" si="1"/>
        <v>32758.620689655174</v>
      </c>
    </row>
    <row r="26" spans="1:35" ht="15.75" thickBot="1" x14ac:dyDescent="0.3">
      <c r="A26" s="158">
        <v>6</v>
      </c>
      <c r="B26" s="169" t="s">
        <v>23</v>
      </c>
      <c r="C26" s="160"/>
      <c r="D26" s="165">
        <f>'1'!K26</f>
        <v>0</v>
      </c>
      <c r="E26" s="165">
        <f>'2'!K26</f>
        <v>0</v>
      </c>
      <c r="F26" s="165">
        <f>'3'!K26</f>
        <v>0</v>
      </c>
      <c r="G26" s="165">
        <f>'4'!K26</f>
        <v>0</v>
      </c>
      <c r="H26" s="166">
        <f>'5'!K26</f>
        <v>0</v>
      </c>
      <c r="I26" s="166">
        <f>'6'!K26</f>
        <v>0</v>
      </c>
      <c r="J26" s="166">
        <f>'7'!K26</f>
        <v>0</v>
      </c>
      <c r="K26" s="166">
        <f>'8'!K26</f>
        <v>0</v>
      </c>
      <c r="L26" s="166">
        <f>'9'!K26</f>
        <v>0</v>
      </c>
      <c r="M26" s="166">
        <f>'10'!K26</f>
        <v>0</v>
      </c>
      <c r="N26" s="166">
        <f>'11'!K26</f>
        <v>0</v>
      </c>
      <c r="O26" s="166">
        <f>'12'!K26</f>
        <v>0</v>
      </c>
      <c r="P26" s="166">
        <f>'13'!K26</f>
        <v>0</v>
      </c>
      <c r="Q26" s="166">
        <f>'14'!K26</f>
        <v>0</v>
      </c>
      <c r="R26" s="166">
        <f>'15'!K26</f>
        <v>0</v>
      </c>
      <c r="S26" s="166">
        <f>'16'!K26</f>
        <v>0</v>
      </c>
      <c r="T26" s="166">
        <f>'17'!K26</f>
        <v>0</v>
      </c>
      <c r="U26" s="166">
        <f>'18'!K26</f>
        <v>0</v>
      </c>
      <c r="V26" s="166">
        <f>'19'!K26</f>
        <v>0</v>
      </c>
      <c r="W26" s="166">
        <f>'20'!K26</f>
        <v>0</v>
      </c>
      <c r="X26" s="166">
        <f>'21'!K26</f>
        <v>0</v>
      </c>
      <c r="Y26" s="166">
        <f>'22'!K26</f>
        <v>0</v>
      </c>
      <c r="Z26" s="166">
        <f>'23'!K26</f>
        <v>0</v>
      </c>
      <c r="AA26" s="166">
        <f>'24'!K26</f>
        <v>0</v>
      </c>
      <c r="AB26" s="166">
        <f>'25'!K26</f>
        <v>0</v>
      </c>
      <c r="AC26" s="166">
        <f>'26'!K26</f>
        <v>0</v>
      </c>
      <c r="AD26" s="166">
        <f>'27'!K26</f>
        <v>0</v>
      </c>
      <c r="AE26" s="166">
        <f>'28'!K26</f>
        <v>0</v>
      </c>
      <c r="AF26" s="166">
        <f>'29'!K26</f>
        <v>0</v>
      </c>
      <c r="AG26" s="166"/>
      <c r="AH26" s="166">
        <f t="shared" si="0"/>
        <v>0</v>
      </c>
      <c r="AI26" s="58">
        <f t="shared" si="1"/>
        <v>0</v>
      </c>
    </row>
    <row r="27" spans="1:35" ht="15.75" thickBot="1" x14ac:dyDescent="0.3">
      <c r="A27" s="158"/>
      <c r="B27" s="168" t="s">
        <v>24</v>
      </c>
      <c r="C27" s="164" t="s">
        <v>6</v>
      </c>
      <c r="D27" s="165">
        <f>'1'!K27</f>
        <v>34000</v>
      </c>
      <c r="E27" s="165">
        <f>'2'!K27</f>
        <v>34000</v>
      </c>
      <c r="F27" s="165">
        <f>'3'!K27</f>
        <v>34000</v>
      </c>
      <c r="G27" s="165">
        <f>'4'!K27</f>
        <v>33600</v>
      </c>
      <c r="H27" s="166">
        <f>'5'!K27</f>
        <v>33600</v>
      </c>
      <c r="I27" s="166">
        <f>'6'!K27</f>
        <v>33600</v>
      </c>
      <c r="J27" s="166">
        <f>'7'!K27</f>
        <v>33400</v>
      </c>
      <c r="K27" s="166">
        <f>'8'!K27</f>
        <v>33800</v>
      </c>
      <c r="L27" s="166">
        <f>'9'!K27</f>
        <v>33800</v>
      </c>
      <c r="M27" s="166">
        <f>'10'!K27</f>
        <v>33800</v>
      </c>
      <c r="N27" s="166">
        <f>'11'!K27</f>
        <v>33800</v>
      </c>
      <c r="O27" s="166">
        <f>'12'!K27</f>
        <v>33800</v>
      </c>
      <c r="P27" s="166">
        <f>'13'!K27</f>
        <v>33800</v>
      </c>
      <c r="Q27" s="166">
        <f>'14'!K27</f>
        <v>33800</v>
      </c>
      <c r="R27" s="166">
        <f>'15'!K27</f>
        <v>33800</v>
      </c>
      <c r="S27" s="166">
        <f>'16'!K27</f>
        <v>33800</v>
      </c>
      <c r="T27" s="166">
        <f>'17'!K27</f>
        <v>33800</v>
      </c>
      <c r="U27" s="166">
        <f>'18'!K27</f>
        <v>33800</v>
      </c>
      <c r="V27" s="166">
        <f>'19'!K27</f>
        <v>33800</v>
      </c>
      <c r="W27" s="166">
        <f>'20'!K27</f>
        <v>33400</v>
      </c>
      <c r="X27" s="166">
        <f>'21'!K27</f>
        <v>33400</v>
      </c>
      <c r="Y27" s="166">
        <f>'22'!K27</f>
        <v>33400</v>
      </c>
      <c r="Z27" s="166">
        <f>'23'!K27</f>
        <v>33400</v>
      </c>
      <c r="AA27" s="166">
        <f>'24'!K27</f>
        <v>33000</v>
      </c>
      <c r="AB27" s="166">
        <f>'25'!K27</f>
        <v>33000</v>
      </c>
      <c r="AC27" s="166">
        <f>'26'!K27</f>
        <v>33000</v>
      </c>
      <c r="AD27" s="166">
        <f>'27'!K27</f>
        <v>33000</v>
      </c>
      <c r="AE27" s="166">
        <f>'28'!K27</f>
        <v>33000</v>
      </c>
      <c r="AF27" s="166">
        <f>'29'!K27</f>
        <v>33000</v>
      </c>
      <c r="AG27" s="166"/>
      <c r="AH27" s="166">
        <f t="shared" si="0"/>
        <v>-1000</v>
      </c>
      <c r="AI27" s="58">
        <f t="shared" si="1"/>
        <v>33565.517241379312</v>
      </c>
    </row>
    <row r="28" spans="1:35" ht="15.75" thickBot="1" x14ac:dyDescent="0.3">
      <c r="A28" s="158"/>
      <c r="B28" s="168" t="s">
        <v>25</v>
      </c>
      <c r="C28" s="164" t="s">
        <v>6</v>
      </c>
      <c r="D28" s="165">
        <f>'1'!K28</f>
        <v>30285.714285714286</v>
      </c>
      <c r="E28" s="165">
        <f>'2'!K28</f>
        <v>30285.714285714286</v>
      </c>
      <c r="F28" s="165">
        <f>'3'!K28</f>
        <v>30285.714285714286</v>
      </c>
      <c r="G28" s="165">
        <f>'4'!K28</f>
        <v>30285.714285714286</v>
      </c>
      <c r="H28" s="166">
        <f>'5'!K28</f>
        <v>30285.714285714286</v>
      </c>
      <c r="I28" s="166">
        <f>'6'!K28</f>
        <v>30000</v>
      </c>
      <c r="J28" s="166">
        <f>'7'!K28</f>
        <v>30142.857142857141</v>
      </c>
      <c r="K28" s="166">
        <f>'8'!K28</f>
        <v>30142.857142857141</v>
      </c>
      <c r="L28" s="166">
        <f>'9'!K28</f>
        <v>30142.857142857141</v>
      </c>
      <c r="M28" s="166">
        <f>'10'!K28</f>
        <v>30428.571428571428</v>
      </c>
      <c r="N28" s="166">
        <f>'11'!K28</f>
        <v>30428.571428571428</v>
      </c>
      <c r="O28" s="166">
        <f>'12'!K28</f>
        <v>30142.857142857141</v>
      </c>
      <c r="P28" s="166">
        <f>'13'!K28</f>
        <v>30142.857142857141</v>
      </c>
      <c r="Q28" s="166">
        <f>'14'!K28</f>
        <v>30142.857142857141</v>
      </c>
      <c r="R28" s="166">
        <f>'15'!K28</f>
        <v>30142.857142857141</v>
      </c>
      <c r="S28" s="166">
        <f>'16'!K28</f>
        <v>30142.857142857141</v>
      </c>
      <c r="T28" s="166">
        <f>'17'!K28</f>
        <v>30142.857142857141</v>
      </c>
      <c r="U28" s="166">
        <f>'18'!K28</f>
        <v>30142.857142857141</v>
      </c>
      <c r="V28" s="166">
        <f>'19'!K28</f>
        <v>30142.857142857141</v>
      </c>
      <c r="W28" s="166">
        <f>'20'!K28</f>
        <v>29285.714285714286</v>
      </c>
      <c r="X28" s="166">
        <f>'21'!K28</f>
        <v>29285.714285714286</v>
      </c>
      <c r="Y28" s="166">
        <f>'22'!K28</f>
        <v>29285.714285714286</v>
      </c>
      <c r="Z28" s="166">
        <f>'23'!K28</f>
        <v>28714.285714285714</v>
      </c>
      <c r="AA28" s="166">
        <f>'24'!K28</f>
        <v>28714.285714285714</v>
      </c>
      <c r="AB28" s="166">
        <f>'25'!K28</f>
        <v>28714.285714285714</v>
      </c>
      <c r="AC28" s="166">
        <f>'26'!K28</f>
        <v>28714.285714285714</v>
      </c>
      <c r="AD28" s="166">
        <f>'27'!K28</f>
        <v>28714.285714285714</v>
      </c>
      <c r="AE28" s="166">
        <f>'28'!K28</f>
        <v>30000</v>
      </c>
      <c r="AF28" s="166">
        <f>'29'!K28</f>
        <v>28714.285714285714</v>
      </c>
      <c r="AG28" s="166"/>
      <c r="AH28" s="166">
        <f t="shared" si="0"/>
        <v>-1571.4285714285725</v>
      </c>
      <c r="AI28" s="58">
        <f t="shared" si="1"/>
        <v>29793.103448275862</v>
      </c>
    </row>
    <row r="29" spans="1:35" ht="15.75" thickBot="1" x14ac:dyDescent="0.3">
      <c r="A29" s="158"/>
      <c r="B29" s="168" t="s">
        <v>26</v>
      </c>
      <c r="C29" s="164" t="s">
        <v>6</v>
      </c>
      <c r="D29" s="165">
        <f>'1'!K29</f>
        <v>62571.428571428572</v>
      </c>
      <c r="E29" s="165">
        <f>'2'!K29</f>
        <v>62571.428571428572</v>
      </c>
      <c r="F29" s="165">
        <f>'3'!K29</f>
        <v>61857.142857142855</v>
      </c>
      <c r="G29" s="165">
        <f>'4'!K29</f>
        <v>61857.142857142855</v>
      </c>
      <c r="H29" s="166">
        <f>'5'!K29</f>
        <v>61857.142857142855</v>
      </c>
      <c r="I29" s="166">
        <f>'6'!K29</f>
        <v>61857.142857142855</v>
      </c>
      <c r="J29" s="166">
        <f>'7'!K29</f>
        <v>61857.142857142855</v>
      </c>
      <c r="K29" s="166">
        <f>'8'!K29</f>
        <v>61857.142857142855</v>
      </c>
      <c r="L29" s="166">
        <f>'9'!K29</f>
        <v>61714.285714285717</v>
      </c>
      <c r="M29" s="166">
        <f>'10'!K29</f>
        <v>61857.142857142855</v>
      </c>
      <c r="N29" s="166">
        <f>'11'!K29</f>
        <v>61857.142857142855</v>
      </c>
      <c r="O29" s="166">
        <f>'12'!K29</f>
        <v>61857.142857142855</v>
      </c>
      <c r="P29" s="166">
        <f>'13'!K29</f>
        <v>61857.142857142855</v>
      </c>
      <c r="Q29" s="166">
        <f>'14'!K29</f>
        <v>61857.142857142855</v>
      </c>
      <c r="R29" s="166">
        <f>'15'!K29</f>
        <v>61857.142857142855</v>
      </c>
      <c r="S29" s="166">
        <f>'16'!K29</f>
        <v>62142.857142857145</v>
      </c>
      <c r="T29" s="166">
        <f>'17'!K29</f>
        <v>62142.857142857145</v>
      </c>
      <c r="U29" s="166">
        <f>'18'!K29</f>
        <v>62142.857142857145</v>
      </c>
      <c r="V29" s="166">
        <f>'19'!K29</f>
        <v>62142.857142857145</v>
      </c>
      <c r="W29" s="166">
        <f>'20'!K29</f>
        <v>62142.857142857145</v>
      </c>
      <c r="X29" s="166">
        <f>'21'!K29</f>
        <v>62142.857142857145</v>
      </c>
      <c r="Y29" s="166">
        <f>'22'!K29</f>
        <v>62142.857142857145</v>
      </c>
      <c r="Z29" s="166">
        <f>'23'!K29</f>
        <v>62142.857142857145</v>
      </c>
      <c r="AA29" s="166">
        <f>'24'!K29</f>
        <v>62142.857142857145</v>
      </c>
      <c r="AB29" s="166">
        <f>'25'!K29</f>
        <v>62142.857142857145</v>
      </c>
      <c r="AC29" s="166">
        <f>'26'!K29</f>
        <v>62142.857142857145</v>
      </c>
      <c r="AD29" s="166">
        <f>'27'!K29</f>
        <v>62142.857142857145</v>
      </c>
      <c r="AE29" s="166">
        <f>'28'!K29</f>
        <v>62142.857142857145</v>
      </c>
      <c r="AF29" s="166">
        <f>'29'!K29</f>
        <v>62142.857142857145</v>
      </c>
      <c r="AG29" s="166"/>
      <c r="AH29" s="166">
        <f t="shared" si="0"/>
        <v>-428.57142857142753</v>
      </c>
      <c r="AI29" s="58">
        <f t="shared" si="1"/>
        <v>62039.408866995022</v>
      </c>
    </row>
    <row r="30" spans="1:35" ht="15.75" thickBot="1" x14ac:dyDescent="0.3">
      <c r="A30" s="158"/>
      <c r="B30" s="168" t="s">
        <v>27</v>
      </c>
      <c r="C30" s="164" t="s">
        <v>6</v>
      </c>
      <c r="D30" s="165">
        <f>'1'!K30</f>
        <v>24750</v>
      </c>
      <c r="E30" s="165">
        <f>'2'!K30</f>
        <v>24750</v>
      </c>
      <c r="F30" s="165">
        <f>'3'!K30</f>
        <v>24750</v>
      </c>
      <c r="G30" s="165">
        <f>'4'!K30</f>
        <v>24750</v>
      </c>
      <c r="H30" s="166">
        <f>'5'!K30</f>
        <v>24750</v>
      </c>
      <c r="I30" s="166">
        <f>'6'!K30</f>
        <v>24750</v>
      </c>
      <c r="J30" s="166">
        <f>'7'!K30</f>
        <v>24750</v>
      </c>
      <c r="K30" s="166">
        <f>'8'!K30</f>
        <v>24750</v>
      </c>
      <c r="L30" s="166">
        <f>'9'!K30</f>
        <v>24750</v>
      </c>
      <c r="M30" s="166">
        <f>'10'!K30</f>
        <v>24750</v>
      </c>
      <c r="N30" s="166">
        <f>'11'!K30</f>
        <v>24750</v>
      </c>
      <c r="O30" s="166">
        <f>'12'!K30</f>
        <v>24750</v>
      </c>
      <c r="P30" s="166">
        <f>'13'!K30</f>
        <v>24750</v>
      </c>
      <c r="Q30" s="166">
        <f>'14'!K30</f>
        <v>24750</v>
      </c>
      <c r="R30" s="166">
        <f>'15'!K30</f>
        <v>24750</v>
      </c>
      <c r="S30" s="166">
        <f>'16'!K30</f>
        <v>24750</v>
      </c>
      <c r="T30" s="166">
        <f>'17'!K30</f>
        <v>24750</v>
      </c>
      <c r="U30" s="166">
        <f>'18'!K30</f>
        <v>24750</v>
      </c>
      <c r="V30" s="166">
        <f>'19'!K30</f>
        <v>24750</v>
      </c>
      <c r="W30" s="166">
        <f>'20'!K30</f>
        <v>24750</v>
      </c>
      <c r="X30" s="166">
        <f>'21'!K30</f>
        <v>24750</v>
      </c>
      <c r="Y30" s="166">
        <f>'22'!K30</f>
        <v>24750</v>
      </c>
      <c r="Z30" s="166">
        <f>'23'!K30</f>
        <v>24750</v>
      </c>
      <c r="AA30" s="166">
        <f>'24'!K30</f>
        <v>24750</v>
      </c>
      <c r="AB30" s="166">
        <f>'25'!K30</f>
        <v>24750</v>
      </c>
      <c r="AC30" s="166">
        <f>'26'!K30</f>
        <v>24750</v>
      </c>
      <c r="AD30" s="166">
        <f>'27'!K30</f>
        <v>24750</v>
      </c>
      <c r="AE30" s="166">
        <f>'28'!K30</f>
        <v>24750</v>
      </c>
      <c r="AF30" s="166">
        <f>'29'!K30</f>
        <v>24750</v>
      </c>
      <c r="AG30" s="166"/>
      <c r="AH30" s="166">
        <f t="shared" si="0"/>
        <v>0</v>
      </c>
      <c r="AI30" s="58">
        <f t="shared" si="1"/>
        <v>24750</v>
      </c>
    </row>
    <row r="31" spans="1:35" ht="15.75" thickBot="1" x14ac:dyDescent="0.3">
      <c r="A31" s="158"/>
      <c r="B31" s="168" t="s">
        <v>28</v>
      </c>
      <c r="C31" s="164" t="s">
        <v>6</v>
      </c>
      <c r="D31" s="165">
        <f>'1'!K31</f>
        <v>36571.428571428572</v>
      </c>
      <c r="E31" s="165">
        <f>'2'!K31</f>
        <v>36571.428571428572</v>
      </c>
      <c r="F31" s="165">
        <f>'3'!K31</f>
        <v>36285.714285714283</v>
      </c>
      <c r="G31" s="165">
        <f>'4'!K31</f>
        <v>36285.714285714283</v>
      </c>
      <c r="H31" s="166">
        <f>'5'!K31</f>
        <v>36285.714285714283</v>
      </c>
      <c r="I31" s="166">
        <f>'6'!K31</f>
        <v>36285.714285714283</v>
      </c>
      <c r="J31" s="166">
        <f>'7'!K31</f>
        <v>36285.714285714283</v>
      </c>
      <c r="K31" s="166">
        <f>'8'!K31</f>
        <v>36285.714285714283</v>
      </c>
      <c r="L31" s="166">
        <f>'9'!K31</f>
        <v>35571.428571428572</v>
      </c>
      <c r="M31" s="166">
        <f>'10'!K31</f>
        <v>35000</v>
      </c>
      <c r="N31" s="166">
        <f>'11'!K31</f>
        <v>35000</v>
      </c>
      <c r="O31" s="166">
        <f>'12'!K31</f>
        <v>35714.285714285717</v>
      </c>
      <c r="P31" s="166">
        <f>'13'!K31</f>
        <v>35714.285714285717</v>
      </c>
      <c r="Q31" s="166">
        <f>'14'!K31</f>
        <v>35714.285714285717</v>
      </c>
      <c r="R31" s="166">
        <f>'15'!K31</f>
        <v>35714.285714285717</v>
      </c>
      <c r="S31" s="166">
        <f>'16'!K31</f>
        <v>35571.428571428572</v>
      </c>
      <c r="T31" s="166">
        <f>'17'!K31</f>
        <v>36142.857142857145</v>
      </c>
      <c r="U31" s="166">
        <f>'18'!K31</f>
        <v>36142.857142857145</v>
      </c>
      <c r="V31" s="166">
        <f>'19'!K31</f>
        <v>36142.857142857145</v>
      </c>
      <c r="W31" s="166">
        <f>'20'!K31</f>
        <v>36142.857142857145</v>
      </c>
      <c r="X31" s="166">
        <f>'21'!K31</f>
        <v>36142.857142857145</v>
      </c>
      <c r="Y31" s="166">
        <f>'22'!K31</f>
        <v>36142.857142857145</v>
      </c>
      <c r="Z31" s="166">
        <f>'23'!K31</f>
        <v>36142.857142857145</v>
      </c>
      <c r="AA31" s="166">
        <f>'24'!K31</f>
        <v>36142.857142857145</v>
      </c>
      <c r="AB31" s="166">
        <f>'25'!K31</f>
        <v>35857.142857142855</v>
      </c>
      <c r="AC31" s="166">
        <f>'26'!K31</f>
        <v>35857.142857142855</v>
      </c>
      <c r="AD31" s="166">
        <f>'27'!K31</f>
        <v>34428.571428571428</v>
      </c>
      <c r="AE31" s="166">
        <f>'28'!K31</f>
        <v>35571.428571428572</v>
      </c>
      <c r="AF31" s="166">
        <f>'29'!K31</f>
        <v>34428.571428571428</v>
      </c>
      <c r="AG31" s="166"/>
      <c r="AH31" s="166">
        <f t="shared" si="0"/>
        <v>-2142.8571428571449</v>
      </c>
      <c r="AI31" s="58">
        <f t="shared" si="1"/>
        <v>35866.99507389163</v>
      </c>
    </row>
    <row r="32" spans="1:35" ht="15.75" thickBot="1" x14ac:dyDescent="0.3">
      <c r="A32" s="158"/>
      <c r="B32" s="167" t="s">
        <v>29</v>
      </c>
      <c r="C32" s="164" t="s">
        <v>6</v>
      </c>
      <c r="D32" s="165">
        <f>'1'!K32</f>
        <v>87500</v>
      </c>
      <c r="E32" s="165">
        <f>'2'!K32</f>
        <v>87500</v>
      </c>
      <c r="F32" s="165">
        <f>'3'!K32</f>
        <v>87500</v>
      </c>
      <c r="G32" s="165">
        <f>'4'!K32</f>
        <v>87500</v>
      </c>
      <c r="H32" s="166">
        <f>'5'!K32</f>
        <v>87500</v>
      </c>
      <c r="I32" s="166">
        <f>'6'!K32</f>
        <v>87500</v>
      </c>
      <c r="J32" s="166">
        <f>'7'!K32</f>
        <v>87500</v>
      </c>
      <c r="K32" s="166">
        <f>'8'!K32</f>
        <v>87500</v>
      </c>
      <c r="L32" s="166">
        <f>'9'!K32</f>
        <v>87500</v>
      </c>
      <c r="M32" s="166">
        <f>'10'!K32</f>
        <v>87500</v>
      </c>
      <c r="N32" s="166">
        <f>'11'!K32</f>
        <v>87500</v>
      </c>
      <c r="O32" s="166">
        <f>'12'!K32</f>
        <v>87500</v>
      </c>
      <c r="P32" s="166">
        <f>'13'!K32</f>
        <v>87500</v>
      </c>
      <c r="Q32" s="166">
        <f>'14'!K32</f>
        <v>87500</v>
      </c>
      <c r="R32" s="166">
        <f>'15'!K32</f>
        <v>87500</v>
      </c>
      <c r="S32" s="166">
        <f>'16'!K32</f>
        <v>90000</v>
      </c>
      <c r="T32" s="166">
        <f>'17'!K32</f>
        <v>90000</v>
      </c>
      <c r="U32" s="166">
        <f>'18'!K32</f>
        <v>90000</v>
      </c>
      <c r="V32" s="166">
        <f>'19'!K32</f>
        <v>90000</v>
      </c>
      <c r="W32" s="166">
        <f>'20'!K32</f>
        <v>90000</v>
      </c>
      <c r="X32" s="166">
        <f>'21'!K32</f>
        <v>90000</v>
      </c>
      <c r="Y32" s="166">
        <f>'22'!K32</f>
        <v>90000</v>
      </c>
      <c r="Z32" s="166">
        <f>'23'!K32</f>
        <v>90000</v>
      </c>
      <c r="AA32" s="166">
        <f>'24'!K32</f>
        <v>90000</v>
      </c>
      <c r="AB32" s="166">
        <f>'25'!K32</f>
        <v>90000</v>
      </c>
      <c r="AC32" s="166">
        <f>'26'!K32</f>
        <v>90000</v>
      </c>
      <c r="AD32" s="166">
        <f>'27'!K32</f>
        <v>90000</v>
      </c>
      <c r="AE32" s="166">
        <f>'28'!K32</f>
        <v>90000</v>
      </c>
      <c r="AF32" s="166">
        <f>'29'!K32</f>
        <v>90000</v>
      </c>
      <c r="AG32" s="166"/>
      <c r="AH32" s="166">
        <f t="shared" si="0"/>
        <v>2500</v>
      </c>
      <c r="AI32" s="58">
        <f t="shared" si="1"/>
        <v>88706.896551724145</v>
      </c>
    </row>
    <row r="33" spans="1:35" ht="15.75" thickBot="1" x14ac:dyDescent="0.3">
      <c r="A33" s="158">
        <v>7</v>
      </c>
      <c r="B33" s="169" t="s">
        <v>30</v>
      </c>
      <c r="C33" s="160"/>
      <c r="D33" s="165">
        <f>'1'!K33</f>
        <v>0</v>
      </c>
      <c r="E33" s="165">
        <f>'2'!K33</f>
        <v>0</v>
      </c>
      <c r="F33" s="165">
        <f>'3'!K33</f>
        <v>0</v>
      </c>
      <c r="G33" s="165">
        <f>'4'!K33</f>
        <v>0</v>
      </c>
      <c r="H33" s="166">
        <f>'5'!K33</f>
        <v>0</v>
      </c>
      <c r="I33" s="166">
        <f>'6'!K33</f>
        <v>0</v>
      </c>
      <c r="J33" s="166">
        <f>'7'!K33</f>
        <v>0</v>
      </c>
      <c r="K33" s="166">
        <f>'8'!K33</f>
        <v>0</v>
      </c>
      <c r="L33" s="166">
        <f>'9'!K33</f>
        <v>0</v>
      </c>
      <c r="M33" s="166">
        <f>'10'!K33</f>
        <v>0</v>
      </c>
      <c r="N33" s="166">
        <f>'11'!K33</f>
        <v>0</v>
      </c>
      <c r="O33" s="166">
        <f>'12'!K33</f>
        <v>0</v>
      </c>
      <c r="P33" s="166">
        <f>'13'!K33</f>
        <v>0</v>
      </c>
      <c r="Q33" s="166">
        <f>'14'!K33</f>
        <v>0</v>
      </c>
      <c r="R33" s="166">
        <f>'15'!K33</f>
        <v>0</v>
      </c>
      <c r="S33" s="166">
        <f>'16'!K33</f>
        <v>0</v>
      </c>
      <c r="T33" s="166">
        <f>'17'!K33</f>
        <v>0</v>
      </c>
      <c r="U33" s="166">
        <f>'18'!K33</f>
        <v>0</v>
      </c>
      <c r="V33" s="166">
        <f>'19'!K33</f>
        <v>0</v>
      </c>
      <c r="W33" s="166">
        <f>'20'!K33</f>
        <v>0</v>
      </c>
      <c r="X33" s="166">
        <f>'21'!K33</f>
        <v>0</v>
      </c>
      <c r="Y33" s="166">
        <f>'22'!K33</f>
        <v>0</v>
      </c>
      <c r="Z33" s="166">
        <f>'23'!K33</f>
        <v>0</v>
      </c>
      <c r="AA33" s="166">
        <f>'24'!K33</f>
        <v>0</v>
      </c>
      <c r="AB33" s="166">
        <f>'25'!K33</f>
        <v>0</v>
      </c>
      <c r="AC33" s="166">
        <f>'26'!K33</f>
        <v>0</v>
      </c>
      <c r="AD33" s="166">
        <f>'27'!K33</f>
        <v>0</v>
      </c>
      <c r="AE33" s="166">
        <f>'28'!K33</f>
        <v>0</v>
      </c>
      <c r="AF33" s="166">
        <f>'29'!K33</f>
        <v>0</v>
      </c>
      <c r="AG33" s="166"/>
      <c r="AH33" s="166">
        <f t="shared" si="0"/>
        <v>0</v>
      </c>
      <c r="AI33" s="58">
        <f t="shared" si="1"/>
        <v>0</v>
      </c>
    </row>
    <row r="34" spans="1:35" ht="15.75" thickBot="1" x14ac:dyDescent="0.3">
      <c r="A34" s="158"/>
      <c r="B34" s="168" t="s">
        <v>31</v>
      </c>
      <c r="C34" s="164" t="s">
        <v>6</v>
      </c>
      <c r="D34" s="165">
        <f>'1'!K34</f>
        <v>26000</v>
      </c>
      <c r="E34" s="165">
        <f>'2'!K34</f>
        <v>26142.857142857141</v>
      </c>
      <c r="F34" s="165">
        <f>'3'!K34</f>
        <v>26000</v>
      </c>
      <c r="G34" s="165">
        <f>'4'!K34</f>
        <v>26000</v>
      </c>
      <c r="H34" s="166">
        <f>'5'!K34</f>
        <v>26142.857142857141</v>
      </c>
      <c r="I34" s="166">
        <f>'6'!K34</f>
        <v>26142.857142857141</v>
      </c>
      <c r="J34" s="166">
        <f>'7'!K34</f>
        <v>26285.714285714286</v>
      </c>
      <c r="K34" s="166">
        <f>'8'!K34</f>
        <v>26285.714285714286</v>
      </c>
      <c r="L34" s="166">
        <f>'9'!K34</f>
        <v>26357.142857142859</v>
      </c>
      <c r="M34" s="166">
        <f>'10'!K34</f>
        <v>26571.428571428572</v>
      </c>
      <c r="N34" s="166">
        <f>'11'!K34</f>
        <v>26428.571428571428</v>
      </c>
      <c r="O34" s="166">
        <f>'12'!K34</f>
        <v>26714.285714285714</v>
      </c>
      <c r="P34" s="166">
        <f>'13'!K34</f>
        <v>26571.428571428572</v>
      </c>
      <c r="Q34" s="166">
        <f>'14'!K34</f>
        <v>26571.428571428572</v>
      </c>
      <c r="R34" s="166">
        <f>'15'!K34</f>
        <v>26928.571428571428</v>
      </c>
      <c r="S34" s="166">
        <f>'16'!K34</f>
        <v>26928.571428571428</v>
      </c>
      <c r="T34" s="166">
        <f>'17'!K34</f>
        <v>27357.142857142859</v>
      </c>
      <c r="U34" s="166">
        <f>'18'!K34</f>
        <v>27214.285714285714</v>
      </c>
      <c r="V34" s="166">
        <f>'19'!K34</f>
        <v>27142.857142857141</v>
      </c>
      <c r="W34" s="166">
        <f>'20'!K34</f>
        <v>28000</v>
      </c>
      <c r="X34" s="166">
        <f>'21'!K34</f>
        <v>28000</v>
      </c>
      <c r="Y34" s="166">
        <f>'22'!K34</f>
        <v>27714.285714285714</v>
      </c>
      <c r="Z34" s="166">
        <f>'23'!K34</f>
        <v>27500</v>
      </c>
      <c r="AA34" s="166">
        <f>'24'!K34</f>
        <v>27928.571428571428</v>
      </c>
      <c r="AB34" s="166">
        <f>'25'!K34</f>
        <v>27928.571428571428</v>
      </c>
      <c r="AC34" s="166">
        <f>'26'!K34</f>
        <v>28571.428571428572</v>
      </c>
      <c r="AD34" s="166">
        <f>'27'!K34</f>
        <v>29571.428571428572</v>
      </c>
      <c r="AE34" s="166">
        <f>'28'!K34</f>
        <v>30000</v>
      </c>
      <c r="AF34" s="166">
        <f>'29'!K34</f>
        <v>30000</v>
      </c>
      <c r="AG34" s="166">
        <v>27000</v>
      </c>
      <c r="AH34" s="166">
        <f t="shared" si="0"/>
        <v>4000</v>
      </c>
      <c r="AI34" s="58">
        <f t="shared" si="1"/>
        <v>27206.896551724138</v>
      </c>
    </row>
    <row r="35" spans="1:35" ht="15.75" thickBot="1" x14ac:dyDescent="0.3">
      <c r="A35" s="158"/>
      <c r="B35" s="168" t="s">
        <v>32</v>
      </c>
      <c r="C35" s="164" t="s">
        <v>33</v>
      </c>
      <c r="D35" s="165">
        <f>'1'!K35</f>
        <v>2742.8571428571427</v>
      </c>
      <c r="E35" s="165">
        <f>'2'!K35</f>
        <v>2757.1428571428573</v>
      </c>
      <c r="F35" s="165">
        <f>'3'!K35</f>
        <v>2757.1428571428573</v>
      </c>
      <c r="G35" s="165">
        <f>'4'!K35</f>
        <v>2757.1428571428573</v>
      </c>
      <c r="H35" s="166">
        <f>'5'!K35</f>
        <v>2757.1428571428573</v>
      </c>
      <c r="I35" s="166">
        <f>'6'!K35</f>
        <v>2757.1428571428573</v>
      </c>
      <c r="J35" s="166">
        <f>'7'!K35</f>
        <v>2757.1428571428573</v>
      </c>
      <c r="K35" s="166">
        <f>'8'!K35</f>
        <v>2757.1428571428573</v>
      </c>
      <c r="L35" s="166">
        <f>'9'!K35</f>
        <v>2757.1428571428573</v>
      </c>
      <c r="M35" s="166">
        <f>'10'!K35</f>
        <v>2757.1428571428573</v>
      </c>
      <c r="N35" s="166">
        <f>'11'!K35</f>
        <v>2757.1428571428573</v>
      </c>
      <c r="O35" s="166">
        <f>'12'!K35</f>
        <v>2757.1428571428573</v>
      </c>
      <c r="P35" s="166">
        <f>'13'!K35</f>
        <v>2757.1428571428573</v>
      </c>
      <c r="Q35" s="166">
        <f>'14'!K35</f>
        <v>2757.1428571428573</v>
      </c>
      <c r="R35" s="166">
        <f>'15'!K35</f>
        <v>2757.1428571428573</v>
      </c>
      <c r="S35" s="166">
        <f>'16'!K35</f>
        <v>2757.1428571428573</v>
      </c>
      <c r="T35" s="166">
        <f>'17'!K35</f>
        <v>2771.4285714285716</v>
      </c>
      <c r="U35" s="166">
        <f>'18'!K35</f>
        <v>2771.4285714285716</v>
      </c>
      <c r="V35" s="166">
        <f>'19'!K35</f>
        <v>2771.4285714285716</v>
      </c>
      <c r="W35" s="166">
        <f>'20'!K35</f>
        <v>2771.4285714285716</v>
      </c>
      <c r="X35" s="166">
        <f>'21'!K35</f>
        <v>2771.4285714285716</v>
      </c>
      <c r="Y35" s="166">
        <f>'22'!K35</f>
        <v>2771.4285714285716</v>
      </c>
      <c r="Z35" s="166">
        <f>'23'!K35</f>
        <v>2771.4285714285716</v>
      </c>
      <c r="AA35" s="166">
        <f>'24'!K35</f>
        <v>2800</v>
      </c>
      <c r="AB35" s="166">
        <f>'25'!K35</f>
        <v>2800</v>
      </c>
      <c r="AC35" s="166">
        <f>'26'!K35</f>
        <v>2800</v>
      </c>
      <c r="AD35" s="166">
        <f>'27'!K35</f>
        <v>2800</v>
      </c>
      <c r="AE35" s="166">
        <f>'28'!K35</f>
        <v>2800</v>
      </c>
      <c r="AF35" s="166">
        <f>'29'!K35</f>
        <v>2800</v>
      </c>
      <c r="AG35" s="166"/>
      <c r="AH35" s="166">
        <f t="shared" si="0"/>
        <v>57.142857142857338</v>
      </c>
      <c r="AI35" s="58">
        <f t="shared" si="1"/>
        <v>2768.9655172413795</v>
      </c>
    </row>
    <row r="36" spans="1:35" ht="15.75" thickBot="1" x14ac:dyDescent="0.3">
      <c r="A36" s="158">
        <v>8</v>
      </c>
      <c r="B36" s="169" t="s">
        <v>117</v>
      </c>
      <c r="C36" s="160"/>
      <c r="D36" s="165">
        <f>'1'!K36</f>
        <v>0</v>
      </c>
      <c r="E36" s="165">
        <f>'2'!K36</f>
        <v>0</v>
      </c>
      <c r="F36" s="165">
        <f>'3'!K36</f>
        <v>0</v>
      </c>
      <c r="G36" s="165">
        <f>'4'!K36</f>
        <v>0</v>
      </c>
      <c r="H36" s="166">
        <f>'5'!K36</f>
        <v>0</v>
      </c>
      <c r="I36" s="166">
        <f>'6'!K36</f>
        <v>0</v>
      </c>
      <c r="J36" s="166">
        <f>'7'!K36</f>
        <v>0</v>
      </c>
      <c r="K36" s="166">
        <f>'8'!K36</f>
        <v>0</v>
      </c>
      <c r="L36" s="166">
        <f>'9'!K36</f>
        <v>0</v>
      </c>
      <c r="M36" s="166">
        <f>'10'!K36</f>
        <v>0</v>
      </c>
      <c r="N36" s="166">
        <f>'11'!K36</f>
        <v>0</v>
      </c>
      <c r="O36" s="166">
        <f>'12'!K36</f>
        <v>0</v>
      </c>
      <c r="P36" s="166">
        <f>'13'!K36</f>
        <v>0</v>
      </c>
      <c r="Q36" s="166">
        <f>'14'!K36</f>
        <v>0</v>
      </c>
      <c r="R36" s="166">
        <f>'15'!K36</f>
        <v>0</v>
      </c>
      <c r="S36" s="166">
        <f>'16'!K36</f>
        <v>0</v>
      </c>
      <c r="T36" s="166">
        <f>'17'!K36</f>
        <v>0</v>
      </c>
      <c r="U36" s="166">
        <f>'18'!K36</f>
        <v>0</v>
      </c>
      <c r="V36" s="166">
        <f>'19'!K36</f>
        <v>0</v>
      </c>
      <c r="W36" s="166">
        <f>'20'!K36</f>
        <v>0</v>
      </c>
      <c r="X36" s="166">
        <f>'21'!K36</f>
        <v>0</v>
      </c>
      <c r="Y36" s="166">
        <f>'22'!K36</f>
        <v>0</v>
      </c>
      <c r="Z36" s="166">
        <f>'23'!K36</f>
        <v>0</v>
      </c>
      <c r="AA36" s="166">
        <f>'24'!K36</f>
        <v>0</v>
      </c>
      <c r="AB36" s="166">
        <f>'25'!K36</f>
        <v>0</v>
      </c>
      <c r="AC36" s="166">
        <f>'26'!K36</f>
        <v>0</v>
      </c>
      <c r="AD36" s="166">
        <f>'27'!K36</f>
        <v>0</v>
      </c>
      <c r="AE36" s="166">
        <f>'28'!K36</f>
        <v>0</v>
      </c>
      <c r="AF36" s="166">
        <f>'29'!K36</f>
        <v>0</v>
      </c>
      <c r="AG36" s="166"/>
      <c r="AH36" s="166">
        <f t="shared" si="0"/>
        <v>0</v>
      </c>
      <c r="AI36" s="58">
        <f t="shared" si="1"/>
        <v>0</v>
      </c>
    </row>
    <row r="37" spans="1:35" ht="15.75" thickBot="1" x14ac:dyDescent="0.3">
      <c r="A37" s="158"/>
      <c r="B37" s="168" t="s">
        <v>118</v>
      </c>
      <c r="C37" s="164" t="s">
        <v>6</v>
      </c>
      <c r="D37" s="165">
        <f>'1'!K37</f>
        <v>8178.5714285714284</v>
      </c>
      <c r="E37" s="165">
        <f>'2'!K37</f>
        <v>8178.5714285714284</v>
      </c>
      <c r="F37" s="165">
        <f>'3'!K37</f>
        <v>8178.5714285714284</v>
      </c>
      <c r="G37" s="165">
        <f>'4'!K37</f>
        <v>8178.5714285714284</v>
      </c>
      <c r="H37" s="166">
        <f>'5'!K37</f>
        <v>8178.5714285714284</v>
      </c>
      <c r="I37" s="166">
        <f>'6'!K37</f>
        <v>8178.5714285714284</v>
      </c>
      <c r="J37" s="166">
        <f>'7'!K37</f>
        <v>8178.5714285714284</v>
      </c>
      <c r="K37" s="166">
        <f>'8'!K37</f>
        <v>8178.5714285714284</v>
      </c>
      <c r="L37" s="166">
        <f>'9'!K37</f>
        <v>8178.5714285714284</v>
      </c>
      <c r="M37" s="166">
        <f>'10'!K37</f>
        <v>8178.5714285714284</v>
      </c>
      <c r="N37" s="166">
        <f>'11'!K37</f>
        <v>8178.5714285714284</v>
      </c>
      <c r="O37" s="166">
        <f>'12'!K37</f>
        <v>8178.5714285714284</v>
      </c>
      <c r="P37" s="166">
        <f>'13'!K37</f>
        <v>8178.5714285714284</v>
      </c>
      <c r="Q37" s="166">
        <f>'14'!K37</f>
        <v>8178.5714285714284</v>
      </c>
      <c r="R37" s="166">
        <f>'15'!K37</f>
        <v>8178.5714285714284</v>
      </c>
      <c r="S37" s="166">
        <f>'16'!K37</f>
        <v>8178.5714285714284</v>
      </c>
      <c r="T37" s="166">
        <f>'17'!K37</f>
        <v>8178.5714285714284</v>
      </c>
      <c r="U37" s="166">
        <f>'18'!K37</f>
        <v>8178.5714285714284</v>
      </c>
      <c r="V37" s="166">
        <f>'19'!K37</f>
        <v>8178.5714285714284</v>
      </c>
      <c r="W37" s="166">
        <f>'20'!K37</f>
        <v>8178.5714285714284</v>
      </c>
      <c r="X37" s="166">
        <f>'21'!K37</f>
        <v>8178.5714285714284</v>
      </c>
      <c r="Y37" s="166">
        <f>'22'!K37</f>
        <v>8178.5714285714284</v>
      </c>
      <c r="Z37" s="166">
        <f>'23'!K37</f>
        <v>8178.5714285714284</v>
      </c>
      <c r="AA37" s="166">
        <f>'24'!K37</f>
        <v>8178.5714285714284</v>
      </c>
      <c r="AB37" s="166">
        <f>'25'!K37</f>
        <v>8178.5714285714284</v>
      </c>
      <c r="AC37" s="166">
        <f>'26'!K37</f>
        <v>8178.5714285714284</v>
      </c>
      <c r="AD37" s="166">
        <f>'27'!K37</f>
        <v>8178.5714285714284</v>
      </c>
      <c r="AE37" s="166">
        <f>'28'!K37</f>
        <v>8178.5714285714284</v>
      </c>
      <c r="AF37" s="166">
        <f>'29'!K37</f>
        <v>8178.5714285714284</v>
      </c>
      <c r="AG37" s="166"/>
      <c r="AH37" s="166">
        <f t="shared" si="0"/>
        <v>0</v>
      </c>
      <c r="AI37" s="58">
        <f t="shared" si="1"/>
        <v>8178.5714285714266</v>
      </c>
    </row>
    <row r="38" spans="1:35" ht="15.75" thickBot="1" x14ac:dyDescent="0.3">
      <c r="A38" s="158"/>
      <c r="B38" s="167" t="s">
        <v>119</v>
      </c>
      <c r="C38" s="164" t="s">
        <v>6</v>
      </c>
      <c r="D38" s="165">
        <f>'1'!K38</f>
        <v>12000</v>
      </c>
      <c r="E38" s="165">
        <f>'2'!K38</f>
        <v>12000</v>
      </c>
      <c r="F38" s="165">
        <f>'3'!K38</f>
        <v>12000</v>
      </c>
      <c r="G38" s="165">
        <f>'4'!K38</f>
        <v>12000</v>
      </c>
      <c r="H38" s="166">
        <f>'5'!K38</f>
        <v>12000</v>
      </c>
      <c r="I38" s="166">
        <f>'6'!K38</f>
        <v>12000</v>
      </c>
      <c r="J38" s="166">
        <f>'7'!K38</f>
        <v>12000</v>
      </c>
      <c r="K38" s="166">
        <f>'8'!K38</f>
        <v>12000</v>
      </c>
      <c r="L38" s="166">
        <f>'9'!K38</f>
        <v>12000</v>
      </c>
      <c r="M38" s="166">
        <f>'10'!K38</f>
        <v>12000</v>
      </c>
      <c r="N38" s="166">
        <f>'11'!K38</f>
        <v>12000</v>
      </c>
      <c r="O38" s="166">
        <f>'12'!K38</f>
        <v>12000</v>
      </c>
      <c r="P38" s="166">
        <f>'13'!K38</f>
        <v>12000</v>
      </c>
      <c r="Q38" s="166">
        <f>'14'!K38</f>
        <v>12000</v>
      </c>
      <c r="R38" s="166">
        <f>'15'!K38</f>
        <v>12000</v>
      </c>
      <c r="S38" s="166">
        <f>'16'!K38</f>
        <v>12000</v>
      </c>
      <c r="T38" s="166">
        <f>'17'!K38</f>
        <v>12000</v>
      </c>
      <c r="U38" s="166">
        <f>'18'!K38</f>
        <v>12000</v>
      </c>
      <c r="V38" s="166">
        <f>'19'!K38</f>
        <v>12000</v>
      </c>
      <c r="W38" s="166">
        <f>'20'!K38</f>
        <v>12000</v>
      </c>
      <c r="X38" s="166">
        <f>'21'!K38</f>
        <v>12000</v>
      </c>
      <c r="Y38" s="166">
        <f>'22'!K38</f>
        <v>12000</v>
      </c>
      <c r="Z38" s="166">
        <f>'23'!K38</f>
        <v>12000</v>
      </c>
      <c r="AA38" s="166">
        <f>'24'!K38</f>
        <v>12000</v>
      </c>
      <c r="AB38" s="166">
        <f>'25'!K38</f>
        <v>12000</v>
      </c>
      <c r="AC38" s="166">
        <f>'26'!K38</f>
        <v>12000</v>
      </c>
      <c r="AD38" s="166">
        <f>'27'!K38</f>
        <v>12000</v>
      </c>
      <c r="AE38" s="166">
        <f>'28'!K38</f>
        <v>12000</v>
      </c>
      <c r="AF38" s="166">
        <f>'29'!K38</f>
        <v>12000</v>
      </c>
      <c r="AG38" s="166"/>
      <c r="AH38" s="166">
        <f t="shared" si="0"/>
        <v>0</v>
      </c>
      <c r="AI38" s="58">
        <f t="shared" si="1"/>
        <v>12000</v>
      </c>
    </row>
    <row r="39" spans="1:35" ht="15.75" thickBot="1" x14ac:dyDescent="0.3">
      <c r="A39" s="158">
        <v>9</v>
      </c>
      <c r="B39" s="169" t="s">
        <v>120</v>
      </c>
      <c r="C39" s="160"/>
      <c r="D39" s="165">
        <f>'1'!K39</f>
        <v>0</v>
      </c>
      <c r="E39" s="165">
        <f>'2'!K39</f>
        <v>0</v>
      </c>
      <c r="F39" s="165">
        <f>'3'!K39</f>
        <v>0</v>
      </c>
      <c r="G39" s="165">
        <f>'4'!K39</f>
        <v>0</v>
      </c>
      <c r="H39" s="166">
        <f>'5'!K39</f>
        <v>0</v>
      </c>
      <c r="I39" s="166">
        <f>'6'!K39</f>
        <v>0</v>
      </c>
      <c r="J39" s="166">
        <f>'7'!K39</f>
        <v>0</v>
      </c>
      <c r="K39" s="166">
        <f>'8'!K39</f>
        <v>0</v>
      </c>
      <c r="L39" s="166">
        <f>'9'!K39</f>
        <v>0</v>
      </c>
      <c r="M39" s="166">
        <f>'10'!K39</f>
        <v>0</v>
      </c>
      <c r="N39" s="166">
        <f>'11'!K39</f>
        <v>0</v>
      </c>
      <c r="O39" s="166">
        <f>'12'!K39</f>
        <v>0</v>
      </c>
      <c r="P39" s="166">
        <f>'13'!K39</f>
        <v>0</v>
      </c>
      <c r="Q39" s="166">
        <f>'14'!K39</f>
        <v>0</v>
      </c>
      <c r="R39" s="166">
        <f>'15'!K39</f>
        <v>0</v>
      </c>
      <c r="S39" s="166">
        <f>'16'!K39</f>
        <v>0</v>
      </c>
      <c r="T39" s="166">
        <f>'17'!K39</f>
        <v>0</v>
      </c>
      <c r="U39" s="166">
        <f>'18'!K39</f>
        <v>0</v>
      </c>
      <c r="V39" s="166">
        <f>'19'!K39</f>
        <v>0</v>
      </c>
      <c r="W39" s="166">
        <f>'20'!K39</f>
        <v>0</v>
      </c>
      <c r="X39" s="166">
        <f>'21'!K39</f>
        <v>0</v>
      </c>
      <c r="Y39" s="166">
        <f>'22'!K39</f>
        <v>0</v>
      </c>
      <c r="Z39" s="166">
        <f>'23'!K39</f>
        <v>0</v>
      </c>
      <c r="AA39" s="166">
        <f>'24'!K39</f>
        <v>0</v>
      </c>
      <c r="AB39" s="166">
        <f>'25'!K39</f>
        <v>0</v>
      </c>
      <c r="AC39" s="166">
        <f>'26'!K39</f>
        <v>0</v>
      </c>
      <c r="AD39" s="166">
        <f>'27'!K39</f>
        <v>0</v>
      </c>
      <c r="AE39" s="166">
        <f>'28'!K39</f>
        <v>0</v>
      </c>
      <c r="AF39" s="166">
        <f>'29'!K39</f>
        <v>0</v>
      </c>
      <c r="AG39" s="166"/>
      <c r="AH39" s="166">
        <f t="shared" si="0"/>
        <v>0</v>
      </c>
      <c r="AI39" s="58">
        <f t="shared" si="1"/>
        <v>0</v>
      </c>
    </row>
    <row r="40" spans="1:35" ht="15.75" thickBot="1" x14ac:dyDescent="0.3">
      <c r="A40" s="158"/>
      <c r="B40" s="168" t="s">
        <v>121</v>
      </c>
      <c r="C40" s="164" t="s">
        <v>6</v>
      </c>
      <c r="D40" s="165">
        <f>'1'!K40</f>
        <v>15000</v>
      </c>
      <c r="E40" s="165">
        <f>'2'!K40</f>
        <v>15000</v>
      </c>
      <c r="F40" s="165">
        <f>'3'!K40</f>
        <v>15000</v>
      </c>
      <c r="G40" s="165">
        <f>'4'!K40</f>
        <v>15000</v>
      </c>
      <c r="H40" s="166">
        <f>'5'!K40</f>
        <v>15000</v>
      </c>
      <c r="I40" s="166">
        <f>'6'!K40</f>
        <v>15000</v>
      </c>
      <c r="J40" s="166">
        <f>'7'!K40</f>
        <v>15000</v>
      </c>
      <c r="K40" s="166">
        <f>'8'!K40</f>
        <v>15000</v>
      </c>
      <c r="L40" s="166">
        <f>'9'!K40</f>
        <v>15000</v>
      </c>
      <c r="M40" s="166">
        <f>'10'!K40</f>
        <v>15000</v>
      </c>
      <c r="N40" s="166">
        <f>'11'!K40</f>
        <v>15000</v>
      </c>
      <c r="O40" s="166">
        <f>'12'!K40</f>
        <v>15000</v>
      </c>
      <c r="P40" s="166">
        <f>'13'!K40</f>
        <v>15000</v>
      </c>
      <c r="Q40" s="166">
        <f>'14'!K40</f>
        <v>15000</v>
      </c>
      <c r="R40" s="166">
        <f>'15'!K40</f>
        <v>15000</v>
      </c>
      <c r="S40" s="166">
        <f>'16'!K40</f>
        <v>15000</v>
      </c>
      <c r="T40" s="166">
        <f>'17'!K40</f>
        <v>15000</v>
      </c>
      <c r="U40" s="166">
        <f>'18'!K40</f>
        <v>15000</v>
      </c>
      <c r="V40" s="166">
        <f>'19'!K40</f>
        <v>15000</v>
      </c>
      <c r="W40" s="166">
        <f>'20'!K40</f>
        <v>15000</v>
      </c>
      <c r="X40" s="166">
        <f>'21'!K40</f>
        <v>15000</v>
      </c>
      <c r="Y40" s="166">
        <f>'22'!K40</f>
        <v>15000</v>
      </c>
      <c r="Z40" s="166">
        <f>'23'!K40</f>
        <v>15000</v>
      </c>
      <c r="AA40" s="166">
        <f>'24'!K40</f>
        <v>15000</v>
      </c>
      <c r="AB40" s="166">
        <f>'25'!K40</f>
        <v>15000</v>
      </c>
      <c r="AC40" s="166">
        <f>'26'!K40</f>
        <v>15000</v>
      </c>
      <c r="AD40" s="166">
        <f>'27'!K40</f>
        <v>15000</v>
      </c>
      <c r="AE40" s="166">
        <f>'28'!K40</f>
        <v>15000</v>
      </c>
      <c r="AF40" s="166">
        <f>'29'!K40</f>
        <v>15000</v>
      </c>
      <c r="AG40" s="166"/>
      <c r="AH40" s="166">
        <f t="shared" si="0"/>
        <v>0</v>
      </c>
      <c r="AI40" s="58">
        <f t="shared" si="1"/>
        <v>15000</v>
      </c>
    </row>
    <row r="41" spans="1:35" ht="15.75" thickBot="1" x14ac:dyDescent="0.3">
      <c r="A41" s="158"/>
      <c r="B41" s="167" t="s">
        <v>122</v>
      </c>
      <c r="C41" s="164" t="s">
        <v>6</v>
      </c>
      <c r="D41" s="165">
        <f>'1'!K41</f>
        <v>6000</v>
      </c>
      <c r="E41" s="165">
        <f>'2'!K41</f>
        <v>6000</v>
      </c>
      <c r="F41" s="165">
        <f>'3'!K41</f>
        <v>6000</v>
      </c>
      <c r="G41" s="165">
        <f>'4'!K41</f>
        <v>6000</v>
      </c>
      <c r="H41" s="166">
        <f>'5'!K41</f>
        <v>6000</v>
      </c>
      <c r="I41" s="166">
        <f>'6'!K41</f>
        <v>6000</v>
      </c>
      <c r="J41" s="166">
        <f>'7'!K41</f>
        <v>6000</v>
      </c>
      <c r="K41" s="166">
        <f>'8'!K41</f>
        <v>6000</v>
      </c>
      <c r="L41" s="166">
        <f>'9'!K41</f>
        <v>6000</v>
      </c>
      <c r="M41" s="166">
        <f>'10'!K41</f>
        <v>6000</v>
      </c>
      <c r="N41" s="166">
        <f>'11'!K41</f>
        <v>6000</v>
      </c>
      <c r="O41" s="166">
        <f>'12'!K41</f>
        <v>6000</v>
      </c>
      <c r="P41" s="166">
        <f>'13'!K41</f>
        <v>6000</v>
      </c>
      <c r="Q41" s="166">
        <f>'14'!K41</f>
        <v>6000</v>
      </c>
      <c r="R41" s="166">
        <f>'15'!K41</f>
        <v>6000</v>
      </c>
      <c r="S41" s="166">
        <f>'16'!K41</f>
        <v>6000</v>
      </c>
      <c r="T41" s="166">
        <f>'17'!K41</f>
        <v>6000</v>
      </c>
      <c r="U41" s="166">
        <f>'18'!K41</f>
        <v>6000</v>
      </c>
      <c r="V41" s="166">
        <f>'19'!K41</f>
        <v>6000</v>
      </c>
      <c r="W41" s="166">
        <f>'20'!K41</f>
        <v>6000</v>
      </c>
      <c r="X41" s="166">
        <f>'21'!K41</f>
        <v>6000</v>
      </c>
      <c r="Y41" s="166">
        <f>'22'!K41</f>
        <v>6000</v>
      </c>
      <c r="Z41" s="166">
        <f>'23'!K41</f>
        <v>6000</v>
      </c>
      <c r="AA41" s="166">
        <f>'24'!K41</f>
        <v>6000</v>
      </c>
      <c r="AB41" s="166">
        <f>'25'!K41</f>
        <v>6000</v>
      </c>
      <c r="AC41" s="166">
        <f>'26'!K41</f>
        <v>6000</v>
      </c>
      <c r="AD41" s="166">
        <f>'27'!K41</f>
        <v>6000</v>
      </c>
      <c r="AE41" s="166">
        <f>'28'!K41</f>
        <v>6000</v>
      </c>
      <c r="AF41" s="166">
        <f>'29'!K41</f>
        <v>6000</v>
      </c>
      <c r="AG41" s="166"/>
      <c r="AH41" s="166">
        <f t="shared" si="0"/>
        <v>0</v>
      </c>
      <c r="AI41" s="58">
        <f t="shared" si="1"/>
        <v>6000</v>
      </c>
    </row>
    <row r="42" spans="1:35" ht="15.75" thickBot="1" x14ac:dyDescent="0.3">
      <c r="A42" s="158"/>
      <c r="B42" s="168" t="s">
        <v>123</v>
      </c>
      <c r="C42" s="164" t="s">
        <v>6</v>
      </c>
      <c r="D42" s="165">
        <f>'1'!K42</f>
        <v>2500</v>
      </c>
      <c r="E42" s="165">
        <f>'2'!K42</f>
        <v>2500</v>
      </c>
      <c r="F42" s="165">
        <f>'3'!K42</f>
        <v>2500</v>
      </c>
      <c r="G42" s="165">
        <f>'4'!K42</f>
        <v>2500</v>
      </c>
      <c r="H42" s="166">
        <f>'5'!K42</f>
        <v>2500</v>
      </c>
      <c r="I42" s="166">
        <f>'6'!K42</f>
        <v>2500</v>
      </c>
      <c r="J42" s="166">
        <f>'7'!K42</f>
        <v>2500</v>
      </c>
      <c r="K42" s="166">
        <f>'8'!K42</f>
        <v>2500</v>
      </c>
      <c r="L42" s="166">
        <f>'9'!K42</f>
        <v>2500</v>
      </c>
      <c r="M42" s="166">
        <f>'10'!K42</f>
        <v>2500</v>
      </c>
      <c r="N42" s="166">
        <f>'11'!K42</f>
        <v>2500</v>
      </c>
      <c r="O42" s="166">
        <f>'12'!K42</f>
        <v>2500</v>
      </c>
      <c r="P42" s="166">
        <f>'13'!K42</f>
        <v>2500</v>
      </c>
      <c r="Q42" s="166">
        <f>'14'!K42</f>
        <v>2500</v>
      </c>
      <c r="R42" s="166">
        <f>'15'!K42</f>
        <v>2500</v>
      </c>
      <c r="S42" s="166">
        <f>'16'!K42</f>
        <v>2500</v>
      </c>
      <c r="T42" s="166">
        <f>'17'!K42</f>
        <v>2500</v>
      </c>
      <c r="U42" s="166">
        <f>'18'!K42</f>
        <v>2500</v>
      </c>
      <c r="V42" s="166">
        <f>'19'!K42</f>
        <v>2500</v>
      </c>
      <c r="W42" s="166">
        <f>'20'!K42</f>
        <v>2500</v>
      </c>
      <c r="X42" s="166">
        <f>'21'!K42</f>
        <v>2500</v>
      </c>
      <c r="Y42" s="166">
        <f>'22'!K42</f>
        <v>2500</v>
      </c>
      <c r="Z42" s="166">
        <f>'23'!K42</f>
        <v>2500</v>
      </c>
      <c r="AA42" s="166">
        <f>'24'!K42</f>
        <v>2500</v>
      </c>
      <c r="AB42" s="166">
        <f>'25'!K42</f>
        <v>2500</v>
      </c>
      <c r="AC42" s="166">
        <f>'26'!K42</f>
        <v>2500</v>
      </c>
      <c r="AD42" s="166">
        <f>'27'!K42</f>
        <v>2500</v>
      </c>
      <c r="AE42" s="166">
        <f>'28'!K42</f>
        <v>2500</v>
      </c>
      <c r="AF42" s="166">
        <f>'29'!K42</f>
        <v>2500</v>
      </c>
      <c r="AG42" s="166"/>
      <c r="AH42" s="166">
        <f t="shared" si="0"/>
        <v>0</v>
      </c>
      <c r="AI42" s="58">
        <f t="shared" si="1"/>
        <v>2500</v>
      </c>
    </row>
    <row r="43" spans="1:35" ht="15.75" thickBot="1" x14ac:dyDescent="0.3">
      <c r="A43" s="158">
        <v>10</v>
      </c>
      <c r="B43" s="169" t="s">
        <v>34</v>
      </c>
      <c r="C43" s="160"/>
      <c r="D43" s="165">
        <f>'1'!K43</f>
        <v>0</v>
      </c>
      <c r="E43" s="165">
        <f>'2'!K43</f>
        <v>0</v>
      </c>
      <c r="F43" s="165">
        <f>'3'!K43</f>
        <v>0</v>
      </c>
      <c r="G43" s="165">
        <f>'4'!K43</f>
        <v>0</v>
      </c>
      <c r="H43" s="166">
        <f>'5'!K43</f>
        <v>0</v>
      </c>
      <c r="I43" s="166">
        <f>'6'!K43</f>
        <v>0</v>
      </c>
      <c r="J43" s="166">
        <f>'7'!K43</f>
        <v>0</v>
      </c>
      <c r="K43" s="166">
        <f>'8'!K43</f>
        <v>0</v>
      </c>
      <c r="L43" s="166">
        <f>'9'!K43</f>
        <v>0</v>
      </c>
      <c r="M43" s="166">
        <f>'10'!K43</f>
        <v>0</v>
      </c>
      <c r="N43" s="166">
        <f>'11'!K43</f>
        <v>0</v>
      </c>
      <c r="O43" s="166">
        <f>'12'!K43</f>
        <v>0</v>
      </c>
      <c r="P43" s="166">
        <f>'13'!K43</f>
        <v>0</v>
      </c>
      <c r="Q43" s="166">
        <f>'14'!K43</f>
        <v>0</v>
      </c>
      <c r="R43" s="166">
        <f>'15'!K43</f>
        <v>0</v>
      </c>
      <c r="S43" s="166">
        <f>'16'!K43</f>
        <v>0</v>
      </c>
      <c r="T43" s="166">
        <f>'17'!K43</f>
        <v>0</v>
      </c>
      <c r="U43" s="166">
        <f>'18'!K43</f>
        <v>0</v>
      </c>
      <c r="V43" s="166">
        <f>'19'!K43</f>
        <v>0</v>
      </c>
      <c r="W43" s="166">
        <f>'20'!K43</f>
        <v>0</v>
      </c>
      <c r="X43" s="166">
        <f>'21'!K43</f>
        <v>0</v>
      </c>
      <c r="Y43" s="166">
        <f>'22'!K43</f>
        <v>0</v>
      </c>
      <c r="Z43" s="166">
        <f>'23'!K43</f>
        <v>0</v>
      </c>
      <c r="AA43" s="166">
        <f>'24'!K43</f>
        <v>0</v>
      </c>
      <c r="AB43" s="166">
        <f>'25'!K43</f>
        <v>0</v>
      </c>
      <c r="AC43" s="166">
        <f>'26'!K43</f>
        <v>0</v>
      </c>
      <c r="AD43" s="166">
        <f>'27'!K43</f>
        <v>0</v>
      </c>
      <c r="AE43" s="166">
        <f>'28'!K43</f>
        <v>0</v>
      </c>
      <c r="AF43" s="166">
        <f>'29'!K43</f>
        <v>0</v>
      </c>
      <c r="AG43" s="166"/>
      <c r="AH43" s="166">
        <f t="shared" si="0"/>
        <v>0</v>
      </c>
      <c r="AI43" s="58">
        <f t="shared" si="1"/>
        <v>0</v>
      </c>
    </row>
    <row r="44" spans="1:35" ht="15.75" thickBot="1" x14ac:dyDescent="0.3">
      <c r="A44" s="158"/>
      <c r="B44" s="170" t="s">
        <v>35</v>
      </c>
      <c r="C44" s="164" t="s">
        <v>36</v>
      </c>
      <c r="D44" s="165">
        <f>'1'!K44</f>
        <v>12333.333333333334</v>
      </c>
      <c r="E44" s="165">
        <f>'2'!K44</f>
        <v>12333.333333333334</v>
      </c>
      <c r="F44" s="165">
        <f>'3'!K44</f>
        <v>12333.333333333334</v>
      </c>
      <c r="G44" s="165">
        <f>'4'!K44</f>
        <v>12333.333333333334</v>
      </c>
      <c r="H44" s="166">
        <f>'5'!K44</f>
        <v>12333.333333333334</v>
      </c>
      <c r="I44" s="166">
        <f>'6'!K44</f>
        <v>12333.333333333334</v>
      </c>
      <c r="J44" s="166">
        <f>'7'!K44</f>
        <v>12333.333333333334</v>
      </c>
      <c r="K44" s="166">
        <f>'8'!K44</f>
        <v>12333.333333333334</v>
      </c>
      <c r="L44" s="166">
        <f>'9'!K44</f>
        <v>12333.333333333334</v>
      </c>
      <c r="M44" s="166">
        <f>'10'!K44</f>
        <v>12333.333333333334</v>
      </c>
      <c r="N44" s="166">
        <f>'11'!K44</f>
        <v>12333.333333333334</v>
      </c>
      <c r="O44" s="166">
        <f>'12'!K44</f>
        <v>12333.333333333334</v>
      </c>
      <c r="P44" s="166">
        <f>'13'!K44</f>
        <v>12333.333333333334</v>
      </c>
      <c r="Q44" s="166">
        <f>'14'!K44</f>
        <v>12333.333333333334</v>
      </c>
      <c r="R44" s="166">
        <f>'15'!K44</f>
        <v>12333.333333333334</v>
      </c>
      <c r="S44" s="166">
        <f>'16'!K44</f>
        <v>12333.333333333334</v>
      </c>
      <c r="T44" s="166">
        <f>'17'!K44</f>
        <v>12333.333333333334</v>
      </c>
      <c r="U44" s="166">
        <f>'18'!K44</f>
        <v>12333.333333333334</v>
      </c>
      <c r="V44" s="166">
        <f>'19'!K44</f>
        <v>12333.333333333334</v>
      </c>
      <c r="W44" s="166">
        <f>'20'!K44</f>
        <v>12333.333333333334</v>
      </c>
      <c r="X44" s="166">
        <f>'21'!K44</f>
        <v>12333.333333333334</v>
      </c>
      <c r="Y44" s="166">
        <f>'22'!K44</f>
        <v>12333.333333333334</v>
      </c>
      <c r="Z44" s="166">
        <f>'23'!K44</f>
        <v>12333.333333333334</v>
      </c>
      <c r="AA44" s="166">
        <f>'24'!K44</f>
        <v>12333.333333333334</v>
      </c>
      <c r="AB44" s="166">
        <f>'25'!K44</f>
        <v>12333.333333333334</v>
      </c>
      <c r="AC44" s="166">
        <f>'26'!K44</f>
        <v>12333.333333333334</v>
      </c>
      <c r="AD44" s="166">
        <f>'27'!K44</f>
        <v>12333.333333333334</v>
      </c>
      <c r="AE44" s="166">
        <f>'28'!K44</f>
        <v>12333.333333333334</v>
      </c>
      <c r="AF44" s="166">
        <f>'29'!K44</f>
        <v>12333.333333333334</v>
      </c>
      <c r="AG44" s="166"/>
      <c r="AH44" s="166">
        <f t="shared" si="0"/>
        <v>0</v>
      </c>
      <c r="AI44" s="58">
        <f t="shared" si="1"/>
        <v>12333.333333333332</v>
      </c>
    </row>
    <row r="45" spans="1:35" ht="15.75" thickBot="1" x14ac:dyDescent="0.3">
      <c r="A45" s="158"/>
      <c r="B45" s="168" t="s">
        <v>124</v>
      </c>
      <c r="C45" s="164" t="s">
        <v>36</v>
      </c>
      <c r="D45" s="165">
        <f>'1'!K45</f>
        <v>12500</v>
      </c>
      <c r="E45" s="165">
        <f>'2'!K45</f>
        <v>12500</v>
      </c>
      <c r="F45" s="165">
        <f>'3'!K45</f>
        <v>12500</v>
      </c>
      <c r="G45" s="165">
        <f>'4'!K45</f>
        <v>12500</v>
      </c>
      <c r="H45" s="166">
        <f>'5'!K45</f>
        <v>12500</v>
      </c>
      <c r="I45" s="166">
        <f>'6'!K45</f>
        <v>12500</v>
      </c>
      <c r="J45" s="166">
        <f>'7'!K45</f>
        <v>12500</v>
      </c>
      <c r="K45" s="166">
        <f>'8'!K45</f>
        <v>12500</v>
      </c>
      <c r="L45" s="166">
        <f>'9'!K45</f>
        <v>12500</v>
      </c>
      <c r="M45" s="166">
        <f>'10'!K45</f>
        <v>12500</v>
      </c>
      <c r="N45" s="166">
        <f>'11'!K45</f>
        <v>12500</v>
      </c>
      <c r="O45" s="166">
        <f>'12'!K45</f>
        <v>12500</v>
      </c>
      <c r="P45" s="166">
        <f>'13'!K45</f>
        <v>12500</v>
      </c>
      <c r="Q45" s="166">
        <f>'14'!K45</f>
        <v>12500</v>
      </c>
      <c r="R45" s="166">
        <f>'15'!K45</f>
        <v>12500</v>
      </c>
      <c r="S45" s="166">
        <f>'16'!K45</f>
        <v>12500</v>
      </c>
      <c r="T45" s="166">
        <f>'17'!K45</f>
        <v>12500</v>
      </c>
      <c r="U45" s="166">
        <f>'18'!K45</f>
        <v>12500</v>
      </c>
      <c r="V45" s="166">
        <f>'19'!K45</f>
        <v>12500</v>
      </c>
      <c r="W45" s="166">
        <f>'20'!K45</f>
        <v>12500</v>
      </c>
      <c r="X45" s="166">
        <f>'21'!K45</f>
        <v>12500</v>
      </c>
      <c r="Y45" s="166">
        <f>'22'!K45</f>
        <v>12500</v>
      </c>
      <c r="Z45" s="166">
        <f>'23'!K45</f>
        <v>12500</v>
      </c>
      <c r="AA45" s="166">
        <f>'24'!K45</f>
        <v>12500</v>
      </c>
      <c r="AB45" s="166">
        <f>'25'!K45</f>
        <v>12500</v>
      </c>
      <c r="AC45" s="166">
        <f>'26'!K45</f>
        <v>12500</v>
      </c>
      <c r="AD45" s="166">
        <f>'27'!K45</f>
        <v>12500</v>
      </c>
      <c r="AE45" s="166">
        <f>'28'!K45</f>
        <v>12500</v>
      </c>
      <c r="AF45" s="166">
        <f>'29'!K45</f>
        <v>12500</v>
      </c>
      <c r="AG45" s="166"/>
      <c r="AH45" s="166">
        <f t="shared" si="0"/>
        <v>0</v>
      </c>
      <c r="AI45" s="58">
        <f t="shared" si="1"/>
        <v>12500</v>
      </c>
    </row>
    <row r="46" spans="1:35" ht="15.75" thickBot="1" x14ac:dyDescent="0.3">
      <c r="A46" s="158">
        <v>11</v>
      </c>
      <c r="B46" s="169" t="s">
        <v>38</v>
      </c>
      <c r="C46" s="160"/>
      <c r="D46" s="165">
        <f>'1'!K46</f>
        <v>0</v>
      </c>
      <c r="E46" s="165">
        <f>'2'!K46</f>
        <v>0</v>
      </c>
      <c r="F46" s="165">
        <f>'3'!K46</f>
        <v>0</v>
      </c>
      <c r="G46" s="165">
        <f>'4'!K46</f>
        <v>0</v>
      </c>
      <c r="H46" s="166">
        <f>'5'!K46</f>
        <v>0</v>
      </c>
      <c r="I46" s="166">
        <f>'6'!K46</f>
        <v>0</v>
      </c>
      <c r="J46" s="166">
        <f>'7'!K46</f>
        <v>0</v>
      </c>
      <c r="K46" s="166">
        <f>'8'!K46</f>
        <v>0</v>
      </c>
      <c r="L46" s="166">
        <f>'9'!K46</f>
        <v>0</v>
      </c>
      <c r="M46" s="166">
        <f>'10'!K46</f>
        <v>0</v>
      </c>
      <c r="N46" s="166">
        <f>'11'!K46</f>
        <v>0</v>
      </c>
      <c r="O46" s="166">
        <f>'12'!K46</f>
        <v>0</v>
      </c>
      <c r="P46" s="166">
        <f>'13'!K46</f>
        <v>0</v>
      </c>
      <c r="Q46" s="166">
        <f>'14'!K46</f>
        <v>0</v>
      </c>
      <c r="R46" s="166">
        <f>'15'!K46</f>
        <v>0</v>
      </c>
      <c r="S46" s="166">
        <f>'16'!K46</f>
        <v>0</v>
      </c>
      <c r="T46" s="166">
        <f>'17'!K46</f>
        <v>0</v>
      </c>
      <c r="U46" s="166">
        <f>'18'!K46</f>
        <v>0</v>
      </c>
      <c r="V46" s="166">
        <f>'19'!K46</f>
        <v>0</v>
      </c>
      <c r="W46" s="166">
        <f>'20'!K46</f>
        <v>0</v>
      </c>
      <c r="X46" s="166">
        <f>'21'!K46</f>
        <v>0</v>
      </c>
      <c r="Y46" s="166">
        <f>'22'!K46</f>
        <v>0</v>
      </c>
      <c r="Z46" s="166">
        <f>'23'!K46</f>
        <v>0</v>
      </c>
      <c r="AA46" s="166">
        <f>'24'!K46</f>
        <v>0</v>
      </c>
      <c r="AB46" s="166">
        <f>'25'!K46</f>
        <v>0</v>
      </c>
      <c r="AC46" s="166">
        <f>'26'!K46</f>
        <v>0</v>
      </c>
      <c r="AD46" s="166">
        <f>'27'!K46</f>
        <v>0</v>
      </c>
      <c r="AE46" s="166">
        <f>'28'!K46</f>
        <v>0</v>
      </c>
      <c r="AF46" s="166">
        <f>'29'!K46</f>
        <v>0</v>
      </c>
      <c r="AG46" s="166"/>
      <c r="AH46" s="166">
        <f t="shared" si="0"/>
        <v>0</v>
      </c>
      <c r="AI46" s="58">
        <f t="shared" si="1"/>
        <v>0</v>
      </c>
    </row>
    <row r="47" spans="1:35" ht="15.75" thickBot="1" x14ac:dyDescent="0.3">
      <c r="A47" s="158"/>
      <c r="B47" s="167" t="s">
        <v>39</v>
      </c>
      <c r="C47" s="164" t="s">
        <v>40</v>
      </c>
      <c r="D47" s="165">
        <f>'1'!K47</f>
        <v>17500</v>
      </c>
      <c r="E47" s="165">
        <f>'2'!K47</f>
        <v>17500</v>
      </c>
      <c r="F47" s="165">
        <f>'3'!K47</f>
        <v>17500</v>
      </c>
      <c r="G47" s="165">
        <f>'4'!K47</f>
        <v>17500</v>
      </c>
      <c r="H47" s="166">
        <f>'5'!K47</f>
        <v>17500</v>
      </c>
      <c r="I47" s="166">
        <f>'6'!K47</f>
        <v>17500</v>
      </c>
      <c r="J47" s="166">
        <f>'7'!K47</f>
        <v>17500</v>
      </c>
      <c r="K47" s="166">
        <f>'8'!K47</f>
        <v>17500</v>
      </c>
      <c r="L47" s="166">
        <f>'9'!K47</f>
        <v>17500</v>
      </c>
      <c r="M47" s="166">
        <f>'10'!K47</f>
        <v>17500</v>
      </c>
      <c r="N47" s="166">
        <f>'11'!K47</f>
        <v>17500</v>
      </c>
      <c r="O47" s="166">
        <f>'12'!K47</f>
        <v>17500</v>
      </c>
      <c r="P47" s="166">
        <f>'13'!K47</f>
        <v>17500</v>
      </c>
      <c r="Q47" s="166">
        <f>'14'!K47</f>
        <v>17500</v>
      </c>
      <c r="R47" s="166">
        <f>'15'!K47</f>
        <v>17500</v>
      </c>
      <c r="S47" s="166">
        <f>'16'!K47</f>
        <v>17500</v>
      </c>
      <c r="T47" s="166">
        <f>'17'!K47</f>
        <v>17500</v>
      </c>
      <c r="U47" s="166">
        <f>'18'!K47</f>
        <v>17500</v>
      </c>
      <c r="V47" s="166">
        <f>'19'!K47</f>
        <v>17500</v>
      </c>
      <c r="W47" s="166">
        <f>'20'!K47</f>
        <v>17500</v>
      </c>
      <c r="X47" s="166">
        <f>'21'!K47</f>
        <v>17500</v>
      </c>
      <c r="Y47" s="166">
        <f>'22'!K47</f>
        <v>17500</v>
      </c>
      <c r="Z47" s="166">
        <f>'23'!K47</f>
        <v>17500</v>
      </c>
      <c r="AA47" s="166">
        <f>'24'!K47</f>
        <v>17500</v>
      </c>
      <c r="AB47" s="166">
        <f>'25'!K47</f>
        <v>17500</v>
      </c>
      <c r="AC47" s="166">
        <f>'26'!K47</f>
        <v>17500</v>
      </c>
      <c r="AD47" s="166">
        <f>'27'!K47</f>
        <v>17500</v>
      </c>
      <c r="AE47" s="166">
        <f>'28'!K47</f>
        <v>17500</v>
      </c>
      <c r="AF47" s="166">
        <f>'29'!K47</f>
        <v>17500</v>
      </c>
      <c r="AG47" s="166"/>
      <c r="AH47" s="166">
        <f t="shared" si="0"/>
        <v>0</v>
      </c>
      <c r="AI47" s="58">
        <f t="shared" si="1"/>
        <v>17500</v>
      </c>
    </row>
    <row r="48" spans="1:35" ht="15.75" thickBot="1" x14ac:dyDescent="0.3">
      <c r="A48" s="158"/>
      <c r="B48" s="168" t="s">
        <v>41</v>
      </c>
      <c r="C48" s="164" t="s">
        <v>42</v>
      </c>
      <c r="D48" s="165">
        <f>'1'!K48</f>
        <v>2000</v>
      </c>
      <c r="E48" s="165">
        <f>'2'!K48</f>
        <v>2000</v>
      </c>
      <c r="F48" s="165">
        <f>'3'!K48</f>
        <v>2000</v>
      </c>
      <c r="G48" s="165">
        <f>'4'!K48</f>
        <v>2000</v>
      </c>
      <c r="H48" s="166">
        <f>'5'!K48</f>
        <v>2000</v>
      </c>
      <c r="I48" s="166">
        <f>'6'!K48</f>
        <v>2000</v>
      </c>
      <c r="J48" s="166">
        <f>'7'!K48</f>
        <v>2000</v>
      </c>
      <c r="K48" s="166">
        <f>'8'!K48</f>
        <v>2000</v>
      </c>
      <c r="L48" s="166">
        <f>'9'!K48</f>
        <v>2000</v>
      </c>
      <c r="M48" s="166">
        <f>'10'!K48</f>
        <v>2000</v>
      </c>
      <c r="N48" s="166">
        <f>'11'!K48</f>
        <v>2000</v>
      </c>
      <c r="O48" s="166">
        <f>'12'!K48</f>
        <v>2000</v>
      </c>
      <c r="P48" s="166">
        <f>'13'!K48</f>
        <v>2000</v>
      </c>
      <c r="Q48" s="166">
        <f>'14'!K48</f>
        <v>2000</v>
      </c>
      <c r="R48" s="166">
        <f>'15'!K48</f>
        <v>2000</v>
      </c>
      <c r="S48" s="166">
        <f>'16'!K48</f>
        <v>2000</v>
      </c>
      <c r="T48" s="166">
        <f>'17'!K48</f>
        <v>2000</v>
      </c>
      <c r="U48" s="166">
        <f>'18'!K48</f>
        <v>2000</v>
      </c>
      <c r="V48" s="166">
        <f>'19'!K48</f>
        <v>2000</v>
      </c>
      <c r="W48" s="166">
        <f>'20'!K48</f>
        <v>2000</v>
      </c>
      <c r="X48" s="166">
        <f>'21'!K48</f>
        <v>2000</v>
      </c>
      <c r="Y48" s="166">
        <f>'22'!K48</f>
        <v>2000</v>
      </c>
      <c r="Z48" s="166">
        <f>'23'!K48</f>
        <v>2000</v>
      </c>
      <c r="AA48" s="166">
        <f>'24'!K48</f>
        <v>2000</v>
      </c>
      <c r="AB48" s="166">
        <f>'25'!K48</f>
        <v>2000</v>
      </c>
      <c r="AC48" s="166">
        <f>'26'!K48</f>
        <v>2000</v>
      </c>
      <c r="AD48" s="166">
        <f>'27'!K48</f>
        <v>2000</v>
      </c>
      <c r="AE48" s="166">
        <f>'28'!K48</f>
        <v>2000</v>
      </c>
      <c r="AF48" s="166">
        <f>'29'!K48</f>
        <v>2000</v>
      </c>
      <c r="AG48" s="166"/>
      <c r="AH48" s="166">
        <f t="shared" si="0"/>
        <v>0</v>
      </c>
      <c r="AI48" s="58">
        <f t="shared" si="1"/>
        <v>2000</v>
      </c>
    </row>
    <row r="49" spans="1:35" ht="15.75" thickBot="1" x14ac:dyDescent="0.3">
      <c r="A49" s="171">
        <v>12</v>
      </c>
      <c r="B49" s="159" t="s">
        <v>43</v>
      </c>
      <c r="C49" s="160"/>
      <c r="D49" s="165">
        <f>'1'!K49</f>
        <v>0</v>
      </c>
      <c r="E49" s="165">
        <f>'2'!K49</f>
        <v>0</v>
      </c>
      <c r="F49" s="165">
        <f>'3'!K49</f>
        <v>0</v>
      </c>
      <c r="G49" s="165">
        <f>'4'!K49</f>
        <v>0</v>
      </c>
      <c r="H49" s="166">
        <f>'5'!K49</f>
        <v>0</v>
      </c>
      <c r="I49" s="166">
        <f>'6'!K49</f>
        <v>0</v>
      </c>
      <c r="J49" s="166">
        <f>'7'!K49</f>
        <v>0</v>
      </c>
      <c r="K49" s="166">
        <f>'8'!K49</f>
        <v>0</v>
      </c>
      <c r="L49" s="166">
        <f>'9'!K49</f>
        <v>0</v>
      </c>
      <c r="M49" s="166">
        <f>'10'!K49</f>
        <v>0</v>
      </c>
      <c r="N49" s="166">
        <f>'11'!K49</f>
        <v>0</v>
      </c>
      <c r="O49" s="166">
        <f>'12'!K49</f>
        <v>0</v>
      </c>
      <c r="P49" s="166">
        <f>'13'!K49</f>
        <v>0</v>
      </c>
      <c r="Q49" s="166">
        <f>'14'!K49</f>
        <v>0</v>
      </c>
      <c r="R49" s="166">
        <f>'15'!K49</f>
        <v>0</v>
      </c>
      <c r="S49" s="166">
        <f>'16'!K49</f>
        <v>0</v>
      </c>
      <c r="T49" s="166">
        <f>'17'!K49</f>
        <v>0</v>
      </c>
      <c r="U49" s="166">
        <f>'18'!K49</f>
        <v>0</v>
      </c>
      <c r="V49" s="166">
        <f>'19'!K49</f>
        <v>0</v>
      </c>
      <c r="W49" s="166">
        <f>'20'!K49</f>
        <v>0</v>
      </c>
      <c r="X49" s="166">
        <f>'21'!K49</f>
        <v>0</v>
      </c>
      <c r="Y49" s="166">
        <f>'22'!K49</f>
        <v>0</v>
      </c>
      <c r="Z49" s="166">
        <f>'23'!K49</f>
        <v>0</v>
      </c>
      <c r="AA49" s="166">
        <f>'24'!K49</f>
        <v>0</v>
      </c>
      <c r="AB49" s="166">
        <f>'25'!K49</f>
        <v>0</v>
      </c>
      <c r="AC49" s="166">
        <f>'26'!K49</f>
        <v>0</v>
      </c>
      <c r="AD49" s="166">
        <f>'27'!K49</f>
        <v>0</v>
      </c>
      <c r="AE49" s="166">
        <f>'28'!K49</f>
        <v>0</v>
      </c>
      <c r="AF49" s="166">
        <f>'29'!K49</f>
        <v>0</v>
      </c>
      <c r="AG49" s="166"/>
      <c r="AH49" s="166">
        <f t="shared" si="0"/>
        <v>0</v>
      </c>
      <c r="AI49" s="58">
        <f t="shared" si="1"/>
        <v>0</v>
      </c>
    </row>
    <row r="50" spans="1:35" ht="15.75" thickBot="1" x14ac:dyDescent="0.3">
      <c r="A50" s="171"/>
      <c r="B50" s="168" t="s">
        <v>44</v>
      </c>
      <c r="C50" s="164" t="s">
        <v>6</v>
      </c>
      <c r="D50" s="165">
        <f>'1'!K50</f>
        <v>11333.333333333334</v>
      </c>
      <c r="E50" s="165">
        <f>'2'!K50</f>
        <v>11333.333333333334</v>
      </c>
      <c r="F50" s="165">
        <f>'3'!K50</f>
        <v>12166.666666666666</v>
      </c>
      <c r="G50" s="165">
        <f>'4'!K50</f>
        <v>12166.666666666666</v>
      </c>
      <c r="H50" s="166">
        <f>'5'!K50</f>
        <v>12166.666666666666</v>
      </c>
      <c r="I50" s="166">
        <f>'6'!K50</f>
        <v>12166.666666666666</v>
      </c>
      <c r="J50" s="166">
        <f>'7'!K50</f>
        <v>12166.666666666666</v>
      </c>
      <c r="K50" s="166">
        <f>'8'!K50</f>
        <v>12166.666666666666</v>
      </c>
      <c r="L50" s="166">
        <f>'9'!K50</f>
        <v>12166.666666666666</v>
      </c>
      <c r="M50" s="166">
        <f>'10'!K50</f>
        <v>12166.666666666666</v>
      </c>
      <c r="N50" s="166">
        <f>'11'!K50</f>
        <v>12166.666666666666</v>
      </c>
      <c r="O50" s="166">
        <f>'12'!K50</f>
        <v>12166.666666666666</v>
      </c>
      <c r="P50" s="166">
        <f>'13'!K50</f>
        <v>12166.666666666666</v>
      </c>
      <c r="Q50" s="166">
        <f>'14'!K50</f>
        <v>12166.666666666666</v>
      </c>
      <c r="R50" s="166">
        <f>'15'!K50</f>
        <v>12166.666666666666</v>
      </c>
      <c r="S50" s="166">
        <f>'16'!K50</f>
        <v>12166.666666666666</v>
      </c>
      <c r="T50" s="166">
        <f>'17'!K50</f>
        <v>12166.666666666666</v>
      </c>
      <c r="U50" s="166">
        <f>'18'!K50</f>
        <v>12166.666666666666</v>
      </c>
      <c r="V50" s="166">
        <f>'19'!K50</f>
        <v>12166.666666666666</v>
      </c>
      <c r="W50" s="166">
        <f>'20'!K50</f>
        <v>11857.142857142857</v>
      </c>
      <c r="X50" s="166">
        <f>'21'!K50</f>
        <v>11857.142857142857</v>
      </c>
      <c r="Y50" s="166">
        <f>'22'!K50</f>
        <v>11857.142857142857</v>
      </c>
      <c r="Z50" s="166">
        <f>'23'!K50</f>
        <v>11857.142857142857</v>
      </c>
      <c r="AA50" s="166">
        <f>'24'!K50</f>
        <v>11857.142857142857</v>
      </c>
      <c r="AB50" s="166">
        <f>'25'!K50</f>
        <v>11857.142857142857</v>
      </c>
      <c r="AC50" s="166">
        <f>'26'!K50</f>
        <v>11857.142857142857</v>
      </c>
      <c r="AD50" s="166">
        <f>'27'!K50</f>
        <v>11857.142857142857</v>
      </c>
      <c r="AE50" s="166">
        <f>'28'!K50</f>
        <v>11857.142857142857</v>
      </c>
      <c r="AF50" s="166">
        <f>'29'!K50</f>
        <v>11857.142857142857</v>
      </c>
      <c r="AG50" s="166"/>
      <c r="AH50" s="166">
        <f t="shared" si="0"/>
        <v>523.80952380952294</v>
      </c>
      <c r="AI50" s="58">
        <f t="shared" si="1"/>
        <v>12002.463054187187</v>
      </c>
    </row>
    <row r="51" spans="1:35" ht="15.75" thickBot="1" x14ac:dyDescent="0.3">
      <c r="A51" s="171"/>
      <c r="B51" s="167" t="s">
        <v>45</v>
      </c>
      <c r="C51" s="164" t="s">
        <v>6</v>
      </c>
      <c r="D51" s="165">
        <f>'1'!K51</f>
        <v>10000</v>
      </c>
      <c r="E51" s="165">
        <f>'2'!K51</f>
        <v>10000</v>
      </c>
      <c r="F51" s="165">
        <f>'3'!K51</f>
        <v>10571.428571428571</v>
      </c>
      <c r="G51" s="165">
        <f>'4'!K51</f>
        <v>10571.428571428571</v>
      </c>
      <c r="H51" s="166">
        <f>'5'!K51</f>
        <v>10571.428571428571</v>
      </c>
      <c r="I51" s="166">
        <f>'6'!K51</f>
        <v>10571.428571428571</v>
      </c>
      <c r="J51" s="166">
        <f>'7'!K51</f>
        <v>10571.428571428571</v>
      </c>
      <c r="K51" s="166">
        <f>'8'!K51</f>
        <v>11285.714285714286</v>
      </c>
      <c r="L51" s="166">
        <f>'9'!K51</f>
        <v>11285.714285714286</v>
      </c>
      <c r="M51" s="166">
        <f>'10'!K51</f>
        <v>11285.714285714286</v>
      </c>
      <c r="N51" s="166">
        <f>'11'!K51</f>
        <v>11285.714285714286</v>
      </c>
      <c r="O51" s="166">
        <f>'12'!K51</f>
        <v>11142.857142857143</v>
      </c>
      <c r="P51" s="166">
        <f>'13'!K51</f>
        <v>11142.857142857143</v>
      </c>
      <c r="Q51" s="166">
        <f>'14'!K51</f>
        <v>11142.857142857143</v>
      </c>
      <c r="R51" s="166">
        <f>'15'!K51</f>
        <v>11142.857142857143</v>
      </c>
      <c r="S51" s="166">
        <f>'16'!K51</f>
        <v>11142.857142857143</v>
      </c>
      <c r="T51" s="166">
        <f>'17'!K51</f>
        <v>11142.857142857143</v>
      </c>
      <c r="U51" s="166">
        <f>'18'!K51</f>
        <v>11142.857142857143</v>
      </c>
      <c r="V51" s="166">
        <f>'19'!K51</f>
        <v>11142.857142857143</v>
      </c>
      <c r="W51" s="166">
        <f>'20'!K51</f>
        <v>10500</v>
      </c>
      <c r="X51" s="166">
        <f>'21'!K51</f>
        <v>10500</v>
      </c>
      <c r="Y51" s="166">
        <f>'22'!K51</f>
        <v>10500</v>
      </c>
      <c r="Z51" s="166">
        <f>'23'!K51</f>
        <v>10500</v>
      </c>
      <c r="AA51" s="166">
        <f>'24'!K51</f>
        <v>10500</v>
      </c>
      <c r="AB51" s="166">
        <f>'25'!K51</f>
        <v>10500</v>
      </c>
      <c r="AC51" s="166">
        <f>'26'!K51</f>
        <v>10500</v>
      </c>
      <c r="AD51" s="166">
        <f>'27'!K51</f>
        <v>10500</v>
      </c>
      <c r="AE51" s="166">
        <f>'28'!K51</f>
        <v>10500</v>
      </c>
      <c r="AF51" s="166">
        <f>'29'!K51</f>
        <v>10500</v>
      </c>
      <c r="AG51" s="166"/>
      <c r="AH51" s="166">
        <f t="shared" si="0"/>
        <v>500</v>
      </c>
      <c r="AI51" s="58">
        <f t="shared" si="1"/>
        <v>10763.546798029553</v>
      </c>
    </row>
    <row r="52" spans="1:35" ht="15.75" thickBot="1" x14ac:dyDescent="0.3">
      <c r="A52" s="171"/>
      <c r="B52" s="169" t="s">
        <v>46</v>
      </c>
      <c r="C52" s="160"/>
      <c r="D52" s="165">
        <f>'1'!K52</f>
        <v>0</v>
      </c>
      <c r="E52" s="165">
        <f>'2'!K52</f>
        <v>0</v>
      </c>
      <c r="F52" s="165">
        <f>'3'!K52</f>
        <v>0</v>
      </c>
      <c r="G52" s="165">
        <f>'4'!K52</f>
        <v>0</v>
      </c>
      <c r="H52" s="166">
        <f>'5'!K52</f>
        <v>0</v>
      </c>
      <c r="I52" s="166">
        <f>'6'!K52</f>
        <v>0</v>
      </c>
      <c r="J52" s="166">
        <f>'7'!K52</f>
        <v>0</v>
      </c>
      <c r="K52" s="166">
        <f>'8'!K52</f>
        <v>0</v>
      </c>
      <c r="L52" s="166">
        <f>'9'!K52</f>
        <v>0</v>
      </c>
      <c r="M52" s="166">
        <f>'10'!K52</f>
        <v>0</v>
      </c>
      <c r="N52" s="166">
        <f>'11'!K52</f>
        <v>0</v>
      </c>
      <c r="O52" s="166">
        <f>'12'!K52</f>
        <v>0</v>
      </c>
      <c r="P52" s="166">
        <f>'13'!K52</f>
        <v>0</v>
      </c>
      <c r="Q52" s="166">
        <f>'14'!K52</f>
        <v>0</v>
      </c>
      <c r="R52" s="166">
        <f>'15'!K52</f>
        <v>0</v>
      </c>
      <c r="S52" s="166">
        <f>'16'!K52</f>
        <v>0</v>
      </c>
      <c r="T52" s="166">
        <f>'17'!K52</f>
        <v>0</v>
      </c>
      <c r="U52" s="166">
        <f>'18'!K52</f>
        <v>0</v>
      </c>
      <c r="V52" s="166">
        <f>'19'!K52</f>
        <v>0</v>
      </c>
      <c r="W52" s="166">
        <f>'20'!K52</f>
        <v>0</v>
      </c>
      <c r="X52" s="166">
        <f>'21'!K52</f>
        <v>0</v>
      </c>
      <c r="Y52" s="166">
        <f>'22'!K52</f>
        <v>0</v>
      </c>
      <c r="Z52" s="166">
        <f>'23'!K52</f>
        <v>0</v>
      </c>
      <c r="AA52" s="166">
        <f>'24'!K52</f>
        <v>0</v>
      </c>
      <c r="AB52" s="166">
        <f>'25'!K52</f>
        <v>0</v>
      </c>
      <c r="AC52" s="166">
        <f>'26'!K52</f>
        <v>0</v>
      </c>
      <c r="AD52" s="166">
        <f>'27'!K52</f>
        <v>0</v>
      </c>
      <c r="AE52" s="166">
        <f>'28'!K52</f>
        <v>0</v>
      </c>
      <c r="AF52" s="166">
        <f>'29'!K52</f>
        <v>0</v>
      </c>
      <c r="AG52" s="166"/>
      <c r="AH52" s="166">
        <f t="shared" si="0"/>
        <v>0</v>
      </c>
      <c r="AI52" s="58">
        <f t="shared" si="1"/>
        <v>0</v>
      </c>
    </row>
    <row r="53" spans="1:35" ht="15.75" thickBot="1" x14ac:dyDescent="0.3">
      <c r="A53" s="171"/>
      <c r="B53" s="168" t="s">
        <v>47</v>
      </c>
      <c r="C53" s="164" t="s">
        <v>125</v>
      </c>
      <c r="D53" s="165">
        <f>'1'!K53</f>
        <v>3857.1428571428573</v>
      </c>
      <c r="E53" s="165">
        <f>'2'!K53</f>
        <v>3857.1428571428573</v>
      </c>
      <c r="F53" s="165">
        <f>'3'!K53</f>
        <v>3857.1428571428573</v>
      </c>
      <c r="G53" s="165">
        <f>'4'!K53</f>
        <v>3857.1428571428573</v>
      </c>
      <c r="H53" s="166">
        <f>'5'!K53</f>
        <v>3857.1428571428573</v>
      </c>
      <c r="I53" s="166">
        <f>'6'!K53</f>
        <v>3857.1428571428573</v>
      </c>
      <c r="J53" s="166">
        <f>'7'!K53</f>
        <v>3857.1428571428573</v>
      </c>
      <c r="K53" s="166">
        <f>'8'!K53</f>
        <v>3857.1428571428573</v>
      </c>
      <c r="L53" s="166">
        <f>'9'!K53</f>
        <v>3857.1428571428573</v>
      </c>
      <c r="M53" s="166">
        <f>'10'!K53</f>
        <v>3857.1428571428573</v>
      </c>
      <c r="N53" s="166">
        <f>'11'!K53</f>
        <v>3857.1428571428573</v>
      </c>
      <c r="O53" s="166">
        <f>'12'!K53</f>
        <v>3857.1428571428573</v>
      </c>
      <c r="P53" s="166">
        <f>'13'!K53</f>
        <v>3857.1428571428573</v>
      </c>
      <c r="Q53" s="166">
        <f>'14'!K53</f>
        <v>3857.1428571428573</v>
      </c>
      <c r="R53" s="166">
        <f>'15'!K53</f>
        <v>3857.1428571428573</v>
      </c>
      <c r="S53" s="166">
        <f>'16'!K53</f>
        <v>3857.1428571428573</v>
      </c>
      <c r="T53" s="166">
        <f>'17'!K53</f>
        <v>3857.1428571428573</v>
      </c>
      <c r="U53" s="166">
        <f>'18'!K53</f>
        <v>3857.1428571428573</v>
      </c>
      <c r="V53" s="166">
        <f>'19'!K53</f>
        <v>3857.1428571428573</v>
      </c>
      <c r="W53" s="166">
        <f>'20'!K53</f>
        <v>3857.1428571428573</v>
      </c>
      <c r="X53" s="166">
        <f>'21'!K53</f>
        <v>3857.1428571428573</v>
      </c>
      <c r="Y53" s="166">
        <f>'22'!K53</f>
        <v>3857.1428571428573</v>
      </c>
      <c r="Z53" s="166">
        <f>'23'!K53</f>
        <v>3857.1428571428573</v>
      </c>
      <c r="AA53" s="166">
        <f>'24'!K53</f>
        <v>3857.1428571428573</v>
      </c>
      <c r="AB53" s="166">
        <f>'25'!K53</f>
        <v>3857.1428571428573</v>
      </c>
      <c r="AC53" s="166">
        <f>'26'!K53</f>
        <v>3857.1428571428573</v>
      </c>
      <c r="AD53" s="166">
        <f>'27'!K53</f>
        <v>3857.1428571428573</v>
      </c>
      <c r="AE53" s="166">
        <f>'28'!K53</f>
        <v>3857.1428571428573</v>
      </c>
      <c r="AF53" s="166">
        <f>'29'!K53</f>
        <v>3857.1428571428573</v>
      </c>
      <c r="AG53" s="166"/>
      <c r="AH53" s="166">
        <f t="shared" si="0"/>
        <v>0</v>
      </c>
      <c r="AI53" s="58">
        <f t="shared" si="1"/>
        <v>3857.142857142856</v>
      </c>
    </row>
    <row r="54" spans="1:35" ht="15.75" thickBot="1" x14ac:dyDescent="0.3">
      <c r="A54" s="171"/>
      <c r="B54" s="169" t="s">
        <v>49</v>
      </c>
      <c r="C54" s="160"/>
      <c r="D54" s="165">
        <f>'1'!K54</f>
        <v>0</v>
      </c>
      <c r="E54" s="165">
        <f>'2'!K54</f>
        <v>0</v>
      </c>
      <c r="F54" s="165">
        <f>'3'!K54</f>
        <v>0</v>
      </c>
      <c r="G54" s="165">
        <f>'4'!K54</f>
        <v>0</v>
      </c>
      <c r="H54" s="166">
        <f>'5'!K54</f>
        <v>0</v>
      </c>
      <c r="I54" s="166">
        <f>'6'!K54</f>
        <v>0</v>
      </c>
      <c r="J54" s="166">
        <f>'7'!K54</f>
        <v>0</v>
      </c>
      <c r="K54" s="166">
        <f>'8'!K54</f>
        <v>0</v>
      </c>
      <c r="L54" s="166">
        <f>'9'!K54</f>
        <v>0</v>
      </c>
      <c r="M54" s="166">
        <f>'10'!K54</f>
        <v>0</v>
      </c>
      <c r="N54" s="166">
        <f>'11'!K54</f>
        <v>0</v>
      </c>
      <c r="O54" s="166">
        <f>'12'!K54</f>
        <v>0</v>
      </c>
      <c r="P54" s="166">
        <f>'13'!K54</f>
        <v>0</v>
      </c>
      <c r="Q54" s="166">
        <f>'14'!K54</f>
        <v>0</v>
      </c>
      <c r="R54" s="166">
        <f>'15'!K54</f>
        <v>0</v>
      </c>
      <c r="S54" s="166">
        <f>'16'!K54</f>
        <v>0</v>
      </c>
      <c r="T54" s="166">
        <f>'17'!K54</f>
        <v>0</v>
      </c>
      <c r="U54" s="166">
        <f>'18'!K54</f>
        <v>0</v>
      </c>
      <c r="V54" s="166">
        <f>'19'!K54</f>
        <v>0</v>
      </c>
      <c r="W54" s="166">
        <f>'20'!K54</f>
        <v>0</v>
      </c>
      <c r="X54" s="166">
        <f>'21'!K54</f>
        <v>0</v>
      </c>
      <c r="Y54" s="166">
        <f>'22'!K54</f>
        <v>0</v>
      </c>
      <c r="Z54" s="166">
        <f>'23'!K54</f>
        <v>0</v>
      </c>
      <c r="AA54" s="166">
        <f>'24'!K54</f>
        <v>0</v>
      </c>
      <c r="AB54" s="166">
        <f>'25'!K54</f>
        <v>0</v>
      </c>
      <c r="AC54" s="166">
        <f>'26'!K54</f>
        <v>0</v>
      </c>
      <c r="AD54" s="166">
        <f>'27'!K54</f>
        <v>0</v>
      </c>
      <c r="AE54" s="166">
        <f>'28'!K54</f>
        <v>0</v>
      </c>
      <c r="AF54" s="166">
        <f>'29'!K54</f>
        <v>0</v>
      </c>
      <c r="AG54" s="166"/>
      <c r="AH54" s="166">
        <f t="shared" si="0"/>
        <v>0</v>
      </c>
      <c r="AI54" s="58">
        <f t="shared" si="1"/>
        <v>0</v>
      </c>
    </row>
    <row r="55" spans="1:35" ht="15.75" thickBot="1" x14ac:dyDescent="0.3">
      <c r="A55" s="171"/>
      <c r="B55" s="168" t="s">
        <v>50</v>
      </c>
      <c r="C55" s="164" t="s">
        <v>6</v>
      </c>
      <c r="D55" s="165">
        <f>'1'!K55</f>
        <v>10500</v>
      </c>
      <c r="E55" s="165">
        <f>'2'!K55</f>
        <v>10500</v>
      </c>
      <c r="F55" s="165">
        <f>'3'!K55</f>
        <v>10500</v>
      </c>
      <c r="G55" s="165">
        <f>'4'!K55</f>
        <v>10500</v>
      </c>
      <c r="H55" s="166">
        <f>'5'!K55</f>
        <v>10500</v>
      </c>
      <c r="I55" s="166">
        <f>'6'!K55</f>
        <v>10500</v>
      </c>
      <c r="J55" s="166">
        <f>'7'!K55</f>
        <v>10500</v>
      </c>
      <c r="K55" s="166">
        <f>'8'!K55</f>
        <v>10500</v>
      </c>
      <c r="L55" s="166">
        <f>'9'!K55</f>
        <v>10500</v>
      </c>
      <c r="M55" s="166">
        <f>'10'!K55</f>
        <v>10500</v>
      </c>
      <c r="N55" s="166">
        <f>'11'!K55</f>
        <v>10500</v>
      </c>
      <c r="O55" s="166">
        <f>'12'!K55</f>
        <v>10500</v>
      </c>
      <c r="P55" s="166">
        <f>'13'!K55</f>
        <v>10500</v>
      </c>
      <c r="Q55" s="166">
        <f>'14'!K55</f>
        <v>10500</v>
      </c>
      <c r="R55" s="166">
        <f>'15'!K55</f>
        <v>10500</v>
      </c>
      <c r="S55" s="166">
        <f>'16'!K55</f>
        <v>10500</v>
      </c>
      <c r="T55" s="166">
        <f>'17'!K55</f>
        <v>10500</v>
      </c>
      <c r="U55" s="166">
        <f>'18'!K55</f>
        <v>10500</v>
      </c>
      <c r="V55" s="166">
        <f>'19'!K55</f>
        <v>10500</v>
      </c>
      <c r="W55" s="166">
        <f>'20'!K55</f>
        <v>10500</v>
      </c>
      <c r="X55" s="166">
        <f>'21'!K55</f>
        <v>10500</v>
      </c>
      <c r="Y55" s="166">
        <f>'22'!K55</f>
        <v>10500</v>
      </c>
      <c r="Z55" s="166">
        <f>'23'!K55</f>
        <v>10500</v>
      </c>
      <c r="AA55" s="166">
        <f>'24'!K55</f>
        <v>10500</v>
      </c>
      <c r="AB55" s="166">
        <f>'25'!K55</f>
        <v>10500</v>
      </c>
      <c r="AC55" s="166">
        <f>'26'!K55</f>
        <v>10500</v>
      </c>
      <c r="AD55" s="166">
        <f>'27'!K55</f>
        <v>10500</v>
      </c>
      <c r="AE55" s="166">
        <f>'28'!K55</f>
        <v>10500</v>
      </c>
      <c r="AF55" s="166">
        <f>'29'!K55</f>
        <v>10500</v>
      </c>
      <c r="AG55" s="166"/>
      <c r="AH55" s="166">
        <f t="shared" si="0"/>
        <v>0</v>
      </c>
      <c r="AI55" s="58">
        <f t="shared" si="1"/>
        <v>10500</v>
      </c>
    </row>
    <row r="56" spans="1:35" ht="15.75" thickBot="1" x14ac:dyDescent="0.3">
      <c r="A56" s="172"/>
      <c r="B56" s="159" t="s">
        <v>51</v>
      </c>
      <c r="C56" s="160"/>
      <c r="D56" s="165">
        <f>'1'!K56</f>
        <v>0</v>
      </c>
      <c r="E56" s="165">
        <f>'2'!K56</f>
        <v>0</v>
      </c>
      <c r="F56" s="165">
        <f>'3'!K56</f>
        <v>0</v>
      </c>
      <c r="G56" s="165">
        <f>'4'!K56</f>
        <v>0</v>
      </c>
      <c r="H56" s="166">
        <f>'5'!K56</f>
        <v>0</v>
      </c>
      <c r="I56" s="166">
        <f>'6'!K56</f>
        <v>0</v>
      </c>
      <c r="J56" s="166">
        <f>'7'!K56</f>
        <v>0</v>
      </c>
      <c r="K56" s="166">
        <f>'8'!K56</f>
        <v>0</v>
      </c>
      <c r="L56" s="166">
        <f>'9'!K56</f>
        <v>0</v>
      </c>
      <c r="M56" s="166">
        <f>'10'!K56</f>
        <v>0</v>
      </c>
      <c r="N56" s="166">
        <f>'11'!K56</f>
        <v>0</v>
      </c>
      <c r="O56" s="166">
        <f>'12'!K56</f>
        <v>0</v>
      </c>
      <c r="P56" s="166">
        <f>'13'!K56</f>
        <v>0</v>
      </c>
      <c r="Q56" s="166">
        <f>'14'!K56</f>
        <v>0</v>
      </c>
      <c r="R56" s="166">
        <f>'15'!K56</f>
        <v>0</v>
      </c>
      <c r="S56" s="166">
        <f>'16'!K56</f>
        <v>0</v>
      </c>
      <c r="T56" s="166">
        <f>'17'!K56</f>
        <v>0</v>
      </c>
      <c r="U56" s="166">
        <f>'18'!K56</f>
        <v>0</v>
      </c>
      <c r="V56" s="166">
        <f>'19'!K56</f>
        <v>0</v>
      </c>
      <c r="W56" s="166">
        <f>'20'!K56</f>
        <v>0</v>
      </c>
      <c r="X56" s="166">
        <f>'21'!K56</f>
        <v>0</v>
      </c>
      <c r="Y56" s="166">
        <f>'22'!K56</f>
        <v>0</v>
      </c>
      <c r="Z56" s="166">
        <f>'23'!K56</f>
        <v>0</v>
      </c>
      <c r="AA56" s="166">
        <f>'24'!K56</f>
        <v>0</v>
      </c>
      <c r="AB56" s="166">
        <f>'25'!K56</f>
        <v>0</v>
      </c>
      <c r="AC56" s="166">
        <f>'26'!K56</f>
        <v>0</v>
      </c>
      <c r="AD56" s="166">
        <f>'27'!K56</f>
        <v>0</v>
      </c>
      <c r="AE56" s="166">
        <f>'28'!K56</f>
        <v>0</v>
      </c>
      <c r="AF56" s="166">
        <f>'29'!K56</f>
        <v>0</v>
      </c>
      <c r="AG56" s="166"/>
      <c r="AH56" s="166">
        <f t="shared" si="0"/>
        <v>0</v>
      </c>
      <c r="AI56" s="58">
        <f t="shared" si="1"/>
        <v>0</v>
      </c>
    </row>
    <row r="57" spans="1:35" ht="15.75" thickBot="1" x14ac:dyDescent="0.3">
      <c r="A57" s="172"/>
      <c r="B57" s="168" t="s">
        <v>52</v>
      </c>
      <c r="C57" s="164" t="s">
        <v>6</v>
      </c>
      <c r="D57" s="165">
        <f>'1'!K57</f>
        <v>13916.666666666666</v>
      </c>
      <c r="E57" s="165">
        <f>'2'!K57</f>
        <v>13916.666666666666</v>
      </c>
      <c r="F57" s="165">
        <f>'3'!K57</f>
        <v>14250</v>
      </c>
      <c r="G57" s="165">
        <f>'4'!K57</f>
        <v>14250</v>
      </c>
      <c r="H57" s="166">
        <f>'5'!K57</f>
        <v>14250</v>
      </c>
      <c r="I57" s="166">
        <f>'6'!K57</f>
        <v>14250</v>
      </c>
      <c r="J57" s="166">
        <f>'7'!K57</f>
        <v>14250</v>
      </c>
      <c r="K57" s="166">
        <f>'8'!K57</f>
        <v>14250</v>
      </c>
      <c r="L57" s="166">
        <f>'9'!K57</f>
        <v>14250</v>
      </c>
      <c r="M57" s="166">
        <f>'10'!K57</f>
        <v>14250</v>
      </c>
      <c r="N57" s="166">
        <f>'11'!K57</f>
        <v>14250</v>
      </c>
      <c r="O57" s="166">
        <f>'12'!K57</f>
        <v>14250</v>
      </c>
      <c r="P57" s="166">
        <f>'13'!K57</f>
        <v>14250</v>
      </c>
      <c r="Q57" s="166">
        <f>'14'!K57</f>
        <v>14250</v>
      </c>
      <c r="R57" s="166">
        <f>'15'!K57</f>
        <v>14250</v>
      </c>
      <c r="S57" s="166">
        <f>'16'!K57</f>
        <v>14250</v>
      </c>
      <c r="T57" s="166">
        <f>'17'!K57</f>
        <v>14250</v>
      </c>
      <c r="U57" s="166">
        <f>'18'!K57</f>
        <v>14250</v>
      </c>
      <c r="V57" s="166">
        <f>'19'!K57</f>
        <v>14250</v>
      </c>
      <c r="W57" s="166">
        <f>'20'!K57</f>
        <v>14250</v>
      </c>
      <c r="X57" s="166">
        <f>'21'!K57</f>
        <v>14250</v>
      </c>
      <c r="Y57" s="166">
        <f>'22'!K57</f>
        <v>14250</v>
      </c>
      <c r="Z57" s="166">
        <f>'23'!K57</f>
        <v>14250</v>
      </c>
      <c r="AA57" s="166">
        <f>'24'!K57</f>
        <v>14250</v>
      </c>
      <c r="AB57" s="166">
        <f>'25'!K57</f>
        <v>14250</v>
      </c>
      <c r="AC57" s="166">
        <f>'26'!K57</f>
        <v>14250</v>
      </c>
      <c r="AD57" s="166">
        <f>'27'!K57</f>
        <v>14250</v>
      </c>
      <c r="AE57" s="166">
        <f>'28'!K57</f>
        <v>14250</v>
      </c>
      <c r="AF57" s="166">
        <f>'29'!K57</f>
        <v>14250</v>
      </c>
      <c r="AG57" s="166">
        <v>6800</v>
      </c>
      <c r="AH57" s="166">
        <f t="shared" si="0"/>
        <v>333.33333333333394</v>
      </c>
      <c r="AI57" s="58">
        <f t="shared" si="1"/>
        <v>14227.011494252873</v>
      </c>
    </row>
    <row r="58" spans="1:35" ht="15.75" thickBot="1" x14ac:dyDescent="0.3">
      <c r="A58" s="171"/>
      <c r="B58" s="167" t="s">
        <v>53</v>
      </c>
      <c r="C58" s="164" t="s">
        <v>6</v>
      </c>
      <c r="D58" s="165">
        <f>'1'!K58</f>
        <v>14000</v>
      </c>
      <c r="E58" s="165">
        <f>'2'!K58</f>
        <v>14000</v>
      </c>
      <c r="F58" s="165">
        <f>'3'!K58</f>
        <v>14250</v>
      </c>
      <c r="G58" s="165">
        <f>'4'!K58</f>
        <v>14250</v>
      </c>
      <c r="H58" s="166">
        <f>'5'!K58</f>
        <v>14250</v>
      </c>
      <c r="I58" s="166">
        <f>'6'!K58</f>
        <v>14250</v>
      </c>
      <c r="J58" s="166">
        <f>'7'!K58</f>
        <v>14250</v>
      </c>
      <c r="K58" s="166">
        <f>'8'!K58</f>
        <v>14250</v>
      </c>
      <c r="L58" s="166">
        <f>'9'!K58</f>
        <v>14250</v>
      </c>
      <c r="M58" s="166">
        <f>'10'!K58</f>
        <v>14250</v>
      </c>
      <c r="N58" s="166">
        <f>'11'!K58</f>
        <v>14250</v>
      </c>
      <c r="O58" s="166">
        <f>'12'!K58</f>
        <v>14250</v>
      </c>
      <c r="P58" s="166">
        <f>'13'!K58</f>
        <v>14250</v>
      </c>
      <c r="Q58" s="166">
        <f>'14'!K58</f>
        <v>14250</v>
      </c>
      <c r="R58" s="166">
        <f>'15'!K58</f>
        <v>14250</v>
      </c>
      <c r="S58" s="166">
        <f>'16'!K58</f>
        <v>14250</v>
      </c>
      <c r="T58" s="166">
        <f>'17'!K58</f>
        <v>14250</v>
      </c>
      <c r="U58" s="166">
        <f>'18'!K58</f>
        <v>14250</v>
      </c>
      <c r="V58" s="166">
        <f>'19'!K58</f>
        <v>14250</v>
      </c>
      <c r="W58" s="166">
        <f>'20'!K58</f>
        <v>14250</v>
      </c>
      <c r="X58" s="166">
        <f>'21'!K58</f>
        <v>14250</v>
      </c>
      <c r="Y58" s="166">
        <f>'22'!K58</f>
        <v>14250</v>
      </c>
      <c r="Z58" s="166">
        <f>'23'!K58</f>
        <v>14250</v>
      </c>
      <c r="AA58" s="166">
        <f>'24'!K58</f>
        <v>14250</v>
      </c>
      <c r="AB58" s="166">
        <f>'25'!K58</f>
        <v>14250</v>
      </c>
      <c r="AC58" s="166">
        <f>'26'!K58</f>
        <v>14250</v>
      </c>
      <c r="AD58" s="166">
        <f>'27'!K58</f>
        <v>14250</v>
      </c>
      <c r="AE58" s="166">
        <f>'28'!K58</f>
        <v>14250</v>
      </c>
      <c r="AF58" s="166">
        <f>'29'!K58</f>
        <v>14250</v>
      </c>
      <c r="AG58" s="166">
        <v>9200</v>
      </c>
      <c r="AH58" s="166">
        <f t="shared" si="0"/>
        <v>250</v>
      </c>
      <c r="AI58" s="58">
        <f t="shared" si="1"/>
        <v>14232.758620689656</v>
      </c>
    </row>
    <row r="59" spans="1:35" ht="15.75" thickBot="1" x14ac:dyDescent="0.3">
      <c r="A59" s="171"/>
      <c r="B59" s="168" t="s">
        <v>54</v>
      </c>
      <c r="C59" s="164" t="s">
        <v>6</v>
      </c>
      <c r="D59" s="165">
        <f>'1'!K59</f>
        <v>22857.142857142859</v>
      </c>
      <c r="E59" s="165">
        <f>'2'!K59</f>
        <v>22857.142857142859</v>
      </c>
      <c r="F59" s="165">
        <f>'3'!K59</f>
        <v>22857.142857142859</v>
      </c>
      <c r="G59" s="165">
        <f>'4'!K59</f>
        <v>22857.142857142859</v>
      </c>
      <c r="H59" s="166">
        <f>'5'!K59</f>
        <v>22857.142857142859</v>
      </c>
      <c r="I59" s="166">
        <f>'6'!K59</f>
        <v>22857.142857142859</v>
      </c>
      <c r="J59" s="166">
        <f>'7'!K59</f>
        <v>22571.428571428572</v>
      </c>
      <c r="K59" s="166">
        <f>'8'!K59</f>
        <v>22571.428571428572</v>
      </c>
      <c r="L59" s="166">
        <f>'9'!K59</f>
        <v>22571.428571428572</v>
      </c>
      <c r="M59" s="166">
        <f>'10'!K59</f>
        <v>22571.428571428572</v>
      </c>
      <c r="N59" s="166">
        <f>'11'!K59</f>
        <v>22571.428571428572</v>
      </c>
      <c r="O59" s="166">
        <f>'12'!K59</f>
        <v>22571.428571428572</v>
      </c>
      <c r="P59" s="166">
        <f>'13'!K59</f>
        <v>22571.428571428572</v>
      </c>
      <c r="Q59" s="166">
        <f>'14'!K59</f>
        <v>22571.428571428572</v>
      </c>
      <c r="R59" s="166">
        <f>'15'!K59</f>
        <v>22571.428571428572</v>
      </c>
      <c r="S59" s="166">
        <f>'16'!K59</f>
        <v>22571.428571428572</v>
      </c>
      <c r="T59" s="166">
        <f>'17'!K59</f>
        <v>22571.428571428572</v>
      </c>
      <c r="U59" s="166">
        <f>'18'!K59</f>
        <v>22571.428571428572</v>
      </c>
      <c r="V59" s="166">
        <f>'19'!K59</f>
        <v>22571.428571428572</v>
      </c>
      <c r="W59" s="166">
        <f>'20'!K59</f>
        <v>22571.428571428572</v>
      </c>
      <c r="X59" s="166">
        <f>'21'!K59</f>
        <v>22571.428571428572</v>
      </c>
      <c r="Y59" s="166">
        <f>'22'!K59</f>
        <v>22571.428571428572</v>
      </c>
      <c r="Z59" s="166">
        <f>'23'!K59</f>
        <v>22571.428571428572</v>
      </c>
      <c r="AA59" s="166">
        <f>'24'!K59</f>
        <v>22571.428571428572</v>
      </c>
      <c r="AB59" s="166">
        <f>'25'!K59</f>
        <v>22571.428571428572</v>
      </c>
      <c r="AC59" s="166">
        <f>'26'!K59</f>
        <v>23000</v>
      </c>
      <c r="AD59" s="166">
        <f>'27'!K59</f>
        <v>23000</v>
      </c>
      <c r="AE59" s="166">
        <f>'28'!K59</f>
        <v>23000</v>
      </c>
      <c r="AF59" s="166">
        <f>'29'!K59</f>
        <v>23000</v>
      </c>
      <c r="AG59" s="166"/>
      <c r="AH59" s="166">
        <f t="shared" si="0"/>
        <v>142.8571428571413</v>
      </c>
      <c r="AI59" s="58">
        <f t="shared" si="1"/>
        <v>22689.655172413797</v>
      </c>
    </row>
    <row r="60" spans="1:35" ht="15.75" thickBot="1" x14ac:dyDescent="0.3">
      <c r="A60" s="171"/>
      <c r="B60" s="168" t="s">
        <v>55</v>
      </c>
      <c r="C60" s="164" t="s">
        <v>6</v>
      </c>
      <c r="D60" s="165">
        <f>'1'!K60</f>
        <v>28714.285714285714</v>
      </c>
      <c r="E60" s="165">
        <f>'2'!K60</f>
        <v>28714.285714285714</v>
      </c>
      <c r="F60" s="165">
        <f>'3'!K60</f>
        <v>28714.285714285714</v>
      </c>
      <c r="G60" s="165">
        <f>'4'!K60</f>
        <v>28714.285714285714</v>
      </c>
      <c r="H60" s="166">
        <f>'5'!K60</f>
        <v>28714.285714285714</v>
      </c>
      <c r="I60" s="166">
        <f>'6'!K60</f>
        <v>28714.285714285714</v>
      </c>
      <c r="J60" s="166">
        <f>'7'!K60</f>
        <v>28714.285714285714</v>
      </c>
      <c r="K60" s="166">
        <f>'8'!K60</f>
        <v>28714.285714285714</v>
      </c>
      <c r="L60" s="166">
        <f>'9'!K60</f>
        <v>28714.285714285714</v>
      </c>
      <c r="M60" s="166">
        <f>'10'!K60</f>
        <v>28714.285714285714</v>
      </c>
      <c r="N60" s="166">
        <f>'11'!K60</f>
        <v>28714.285714285714</v>
      </c>
      <c r="O60" s="166">
        <f>'12'!K60</f>
        <v>28142.857142857141</v>
      </c>
      <c r="P60" s="166">
        <f>'13'!K60</f>
        <v>28142.857142857141</v>
      </c>
      <c r="Q60" s="166">
        <f>'14'!K60</f>
        <v>28142.857142857141</v>
      </c>
      <c r="R60" s="166">
        <f>'15'!K60</f>
        <v>28142.857142857141</v>
      </c>
      <c r="S60" s="166">
        <f>'16'!K60</f>
        <v>28142.857142857141</v>
      </c>
      <c r="T60" s="166">
        <f>'17'!K60</f>
        <v>28142.857142857141</v>
      </c>
      <c r="U60" s="166">
        <f>'18'!K60</f>
        <v>28142.857142857141</v>
      </c>
      <c r="V60" s="166">
        <f>'19'!K60</f>
        <v>28142.857142857141</v>
      </c>
      <c r="W60" s="166">
        <f>'20'!K60</f>
        <v>28142.857142857141</v>
      </c>
      <c r="X60" s="166">
        <f>'21'!K60</f>
        <v>28142.857142857141</v>
      </c>
      <c r="Y60" s="166">
        <f>'22'!K60</f>
        <v>28142.857142857141</v>
      </c>
      <c r="Z60" s="166">
        <f>'23'!K60</f>
        <v>28142.857142857141</v>
      </c>
      <c r="AA60" s="166">
        <f>'24'!K60</f>
        <v>28142.857142857141</v>
      </c>
      <c r="AB60" s="166">
        <f>'25'!K60</f>
        <v>28142.857142857141</v>
      </c>
      <c r="AC60" s="166">
        <f>'26'!K60</f>
        <v>28857.142857142859</v>
      </c>
      <c r="AD60" s="166">
        <f>'27'!K60</f>
        <v>28857.142857142859</v>
      </c>
      <c r="AE60" s="166">
        <f>'28'!K60</f>
        <v>28857.142857142859</v>
      </c>
      <c r="AF60" s="166">
        <f>'29'!K60</f>
        <v>28857.142857142859</v>
      </c>
      <c r="AG60" s="166"/>
      <c r="AH60" s="166">
        <f t="shared" si="0"/>
        <v>142.85714285714494</v>
      </c>
      <c r="AI60" s="58">
        <f t="shared" si="1"/>
        <v>28458.128078817739</v>
      </c>
    </row>
    <row r="61" spans="1:35" ht="15.75" thickBot="1" x14ac:dyDescent="0.3">
      <c r="A61" s="171"/>
      <c r="B61" s="169" t="s">
        <v>56</v>
      </c>
      <c r="C61" s="160"/>
      <c r="D61" s="165">
        <f>'1'!K61</f>
        <v>0</v>
      </c>
      <c r="E61" s="165">
        <f>'2'!K61</f>
        <v>0</v>
      </c>
      <c r="F61" s="165">
        <f>'3'!K61</f>
        <v>0</v>
      </c>
      <c r="G61" s="165">
        <f>'4'!K61</f>
        <v>0</v>
      </c>
      <c r="H61" s="166">
        <f>'5'!K61</f>
        <v>0</v>
      </c>
      <c r="I61" s="166">
        <f>'6'!K61</f>
        <v>0</v>
      </c>
      <c r="J61" s="166">
        <f>'7'!K61</f>
        <v>0</v>
      </c>
      <c r="K61" s="166">
        <f>'8'!K61</f>
        <v>0</v>
      </c>
      <c r="L61" s="166">
        <f>'9'!K61</f>
        <v>0</v>
      </c>
      <c r="M61" s="166">
        <f>'10'!K61</f>
        <v>0</v>
      </c>
      <c r="N61" s="166">
        <f>'11'!K61</f>
        <v>0</v>
      </c>
      <c r="O61" s="166">
        <f>'12'!K61</f>
        <v>0</v>
      </c>
      <c r="P61" s="166">
        <f>'13'!K61</f>
        <v>0</v>
      </c>
      <c r="Q61" s="166">
        <f>'14'!K61</f>
        <v>0</v>
      </c>
      <c r="R61" s="166">
        <f>'15'!K61</f>
        <v>0</v>
      </c>
      <c r="S61" s="166">
        <f>'16'!K61</f>
        <v>0</v>
      </c>
      <c r="T61" s="166">
        <f>'17'!K61</f>
        <v>0</v>
      </c>
      <c r="U61" s="166">
        <f>'18'!K61</f>
        <v>0</v>
      </c>
      <c r="V61" s="166">
        <f>'19'!K61</f>
        <v>0</v>
      </c>
      <c r="W61" s="166">
        <f>'20'!K61</f>
        <v>0</v>
      </c>
      <c r="X61" s="166">
        <f>'21'!K61</f>
        <v>0</v>
      </c>
      <c r="Y61" s="166">
        <f>'22'!K61</f>
        <v>0</v>
      </c>
      <c r="Z61" s="166">
        <f>'23'!K61</f>
        <v>0</v>
      </c>
      <c r="AA61" s="166">
        <f>'24'!K61</f>
        <v>0</v>
      </c>
      <c r="AB61" s="166">
        <f>'25'!K61</f>
        <v>0</v>
      </c>
      <c r="AC61" s="166">
        <f>'26'!K61</f>
        <v>0</v>
      </c>
      <c r="AD61" s="166">
        <f>'27'!K61</f>
        <v>0</v>
      </c>
      <c r="AE61" s="166">
        <f>'28'!K61</f>
        <v>0</v>
      </c>
      <c r="AF61" s="166">
        <f>'29'!K61</f>
        <v>0</v>
      </c>
      <c r="AG61" s="166"/>
      <c r="AH61" s="166">
        <f t="shared" si="0"/>
        <v>0</v>
      </c>
      <c r="AI61" s="58">
        <f t="shared" si="1"/>
        <v>0</v>
      </c>
    </row>
    <row r="62" spans="1:35" ht="15.75" thickBot="1" x14ac:dyDescent="0.3">
      <c r="A62" s="172"/>
      <c r="B62" s="167" t="s">
        <v>57</v>
      </c>
      <c r="C62" s="164" t="s">
        <v>58</v>
      </c>
      <c r="D62" s="165">
        <f>'1'!K62</f>
        <v>3116.6666666666665</v>
      </c>
      <c r="E62" s="165">
        <f>'2'!K62</f>
        <v>3116.6666666666665</v>
      </c>
      <c r="F62" s="165">
        <f>'3'!K62</f>
        <v>3116.6666666666665</v>
      </c>
      <c r="G62" s="165">
        <f>'4'!K62</f>
        <v>3116.6666666666665</v>
      </c>
      <c r="H62" s="166">
        <f>'5'!K62</f>
        <v>3116.6666666666665</v>
      </c>
      <c r="I62" s="166">
        <f>'6'!K62</f>
        <v>3116.6666666666665</v>
      </c>
      <c r="J62" s="166">
        <f>'7'!K62</f>
        <v>3116.6666666666665</v>
      </c>
      <c r="K62" s="166">
        <f>'8'!K62</f>
        <v>3116.6666666666665</v>
      </c>
      <c r="L62" s="166">
        <f>'9'!K62</f>
        <v>3116.6666666666665</v>
      </c>
      <c r="M62" s="166">
        <f>'10'!K62</f>
        <v>3116.6666666666665</v>
      </c>
      <c r="N62" s="166">
        <f>'11'!K62</f>
        <v>3116.6666666666665</v>
      </c>
      <c r="O62" s="166">
        <f>'12'!K62</f>
        <v>3116.6666666666665</v>
      </c>
      <c r="P62" s="166">
        <f>'13'!K62</f>
        <v>3116.6666666666665</v>
      </c>
      <c r="Q62" s="166">
        <f>'14'!K62</f>
        <v>3116.6666666666665</v>
      </c>
      <c r="R62" s="166">
        <f>'15'!K62</f>
        <v>3116.6666666666665</v>
      </c>
      <c r="S62" s="166">
        <f>'16'!K62</f>
        <v>3116.6666666666665</v>
      </c>
      <c r="T62" s="166">
        <f>'17'!K62</f>
        <v>3116.6666666666665</v>
      </c>
      <c r="U62" s="166">
        <f>'18'!K62</f>
        <v>3116.6666666666665</v>
      </c>
      <c r="V62" s="166">
        <f>'19'!K62</f>
        <v>3116.6666666666665</v>
      </c>
      <c r="W62" s="166">
        <f>'20'!K62</f>
        <v>3116.6666666666665</v>
      </c>
      <c r="X62" s="166">
        <f>'21'!K62</f>
        <v>3116.6666666666665</v>
      </c>
      <c r="Y62" s="166">
        <f>'22'!K62</f>
        <v>3116.6666666666665</v>
      </c>
      <c r="Z62" s="166">
        <f>'23'!K62</f>
        <v>3116.6666666666665</v>
      </c>
      <c r="AA62" s="166">
        <f>'24'!K62</f>
        <v>3116.6666666666665</v>
      </c>
      <c r="AB62" s="166">
        <f>'25'!K62</f>
        <v>3116.6666666666665</v>
      </c>
      <c r="AC62" s="166">
        <f>'26'!K62</f>
        <v>3116.6666666666665</v>
      </c>
      <c r="AD62" s="166">
        <f>'27'!K62</f>
        <v>3116.6666666666665</v>
      </c>
      <c r="AE62" s="166">
        <f>'28'!K62</f>
        <v>3116.6666666666665</v>
      </c>
      <c r="AF62" s="166">
        <f>'29'!K62</f>
        <v>3116.6666666666665</v>
      </c>
      <c r="AG62" s="166"/>
      <c r="AH62" s="166">
        <f t="shared" si="0"/>
        <v>0</v>
      </c>
      <c r="AI62" s="58">
        <f t="shared" si="1"/>
        <v>3116.666666666667</v>
      </c>
    </row>
    <row r="63" spans="1:35" ht="15.75" thickBot="1" x14ac:dyDescent="0.3">
      <c r="A63" s="172"/>
      <c r="B63" s="169" t="s">
        <v>59</v>
      </c>
      <c r="C63" s="160"/>
      <c r="D63" s="165">
        <f>'1'!K63</f>
        <v>0</v>
      </c>
      <c r="E63" s="165">
        <f>'2'!K63</f>
        <v>0</v>
      </c>
      <c r="F63" s="165">
        <f>'3'!K63</f>
        <v>0</v>
      </c>
      <c r="G63" s="165">
        <f>'4'!K63</f>
        <v>0</v>
      </c>
      <c r="H63" s="166">
        <f>'5'!K63</f>
        <v>0</v>
      </c>
      <c r="I63" s="166">
        <f>'6'!K63</f>
        <v>0</v>
      </c>
      <c r="J63" s="166">
        <f>'7'!K63</f>
        <v>0</v>
      </c>
      <c r="K63" s="166">
        <f>'8'!K63</f>
        <v>0</v>
      </c>
      <c r="L63" s="166">
        <f>'9'!K63</f>
        <v>0</v>
      </c>
      <c r="M63" s="166">
        <f>'10'!K63</f>
        <v>0</v>
      </c>
      <c r="N63" s="166">
        <f>'11'!K63</f>
        <v>0</v>
      </c>
      <c r="O63" s="166">
        <f>'12'!K63</f>
        <v>0</v>
      </c>
      <c r="P63" s="166">
        <f>'13'!K63</f>
        <v>0</v>
      </c>
      <c r="Q63" s="166">
        <f>'14'!K63</f>
        <v>0</v>
      </c>
      <c r="R63" s="166">
        <f>'15'!K63</f>
        <v>0</v>
      </c>
      <c r="S63" s="166">
        <f>'16'!K63</f>
        <v>0</v>
      </c>
      <c r="T63" s="166">
        <f>'17'!K63</f>
        <v>0</v>
      </c>
      <c r="U63" s="166">
        <f>'18'!K63</f>
        <v>0</v>
      </c>
      <c r="V63" s="166">
        <f>'19'!K63</f>
        <v>0</v>
      </c>
      <c r="W63" s="166">
        <f>'20'!K63</f>
        <v>0</v>
      </c>
      <c r="X63" s="166">
        <f>'21'!K63</f>
        <v>0</v>
      </c>
      <c r="Y63" s="166">
        <f>'22'!K63</f>
        <v>0</v>
      </c>
      <c r="Z63" s="166">
        <f>'23'!K63</f>
        <v>0</v>
      </c>
      <c r="AA63" s="166">
        <f>'24'!K63</f>
        <v>0</v>
      </c>
      <c r="AB63" s="166">
        <f>'25'!K63</f>
        <v>0</v>
      </c>
      <c r="AC63" s="166">
        <f>'26'!K63</f>
        <v>0</v>
      </c>
      <c r="AD63" s="166">
        <f>'27'!K63</f>
        <v>0</v>
      </c>
      <c r="AE63" s="166">
        <f>'28'!K63</f>
        <v>0</v>
      </c>
      <c r="AF63" s="166">
        <f>'29'!K63</f>
        <v>0</v>
      </c>
      <c r="AG63" s="166"/>
      <c r="AH63" s="166">
        <f t="shared" si="0"/>
        <v>0</v>
      </c>
      <c r="AI63" s="58">
        <f t="shared" si="1"/>
        <v>0</v>
      </c>
    </row>
    <row r="64" spans="1:35" ht="15.75" thickBot="1" x14ac:dyDescent="0.3">
      <c r="A64" s="171"/>
      <c r="B64" s="167" t="s">
        <v>60</v>
      </c>
      <c r="C64" s="164" t="s">
        <v>6</v>
      </c>
      <c r="D64" s="165">
        <f>'1'!K64</f>
        <v>63285.714285714283</v>
      </c>
      <c r="E64" s="165">
        <f>'2'!K64</f>
        <v>62571.428571428572</v>
      </c>
      <c r="F64" s="165">
        <f>'3'!K64</f>
        <v>65571.428571428565</v>
      </c>
      <c r="G64" s="165">
        <f>'4'!K64</f>
        <v>66571.428571428565</v>
      </c>
      <c r="H64" s="166">
        <f>'5'!K64</f>
        <v>68714.28571428571</v>
      </c>
      <c r="I64" s="166">
        <f>'6'!K64</f>
        <v>65000</v>
      </c>
      <c r="J64" s="166">
        <f>'7'!K64</f>
        <v>65285.714285714283</v>
      </c>
      <c r="K64" s="166">
        <f>'8'!K64</f>
        <v>64571.428571428572</v>
      </c>
      <c r="L64" s="166">
        <f>'9'!K64</f>
        <v>62857.142857142855</v>
      </c>
      <c r="M64" s="166">
        <f>'10'!K64</f>
        <v>67000</v>
      </c>
      <c r="N64" s="166">
        <f>'11'!K64</f>
        <v>66428.571428571435</v>
      </c>
      <c r="O64" s="166">
        <f>'12'!K64</f>
        <v>65000</v>
      </c>
      <c r="P64" s="166">
        <f>'13'!K64</f>
        <v>65000</v>
      </c>
      <c r="Q64" s="166">
        <f>'14'!K64</f>
        <v>65000</v>
      </c>
      <c r="R64" s="166">
        <f>'15'!K64</f>
        <v>72000</v>
      </c>
      <c r="S64" s="166">
        <f>'16'!K64</f>
        <v>71000</v>
      </c>
      <c r="T64" s="166">
        <f>'17'!K64</f>
        <v>71714.28571428571</v>
      </c>
      <c r="U64" s="166">
        <f>'18'!K64</f>
        <v>71714.28571428571</v>
      </c>
      <c r="V64" s="166">
        <f>'19'!K64</f>
        <v>75000</v>
      </c>
      <c r="W64" s="166">
        <f>'20'!K64</f>
        <v>75714.28571428571</v>
      </c>
      <c r="X64" s="166">
        <f>'21'!K64</f>
        <v>77142.857142857145</v>
      </c>
      <c r="Y64" s="166">
        <f>'22'!K64</f>
        <v>82142.857142857145</v>
      </c>
      <c r="Z64" s="166">
        <f>'23'!K64</f>
        <v>81714.28571428571</v>
      </c>
      <c r="AA64" s="166">
        <f>'24'!K64</f>
        <v>80285.71428571429</v>
      </c>
      <c r="AB64" s="166">
        <f>'25'!K64</f>
        <v>81000</v>
      </c>
      <c r="AC64" s="166">
        <f>'26'!K64</f>
        <v>81000</v>
      </c>
      <c r="AD64" s="166">
        <f>'27'!K64</f>
        <v>78857.142857142855</v>
      </c>
      <c r="AE64" s="166">
        <f>'28'!K64</f>
        <v>79714.28571428571</v>
      </c>
      <c r="AF64" s="166">
        <f>'29'!K64</f>
        <v>71000</v>
      </c>
      <c r="AG64" s="166"/>
      <c r="AH64" s="166">
        <f t="shared" si="0"/>
        <v>7714.2857142857174</v>
      </c>
      <c r="AI64" s="58">
        <f t="shared" si="1"/>
        <v>71133.004926108362</v>
      </c>
    </row>
    <row r="65" spans="1:35" ht="15.75" thickBot="1" x14ac:dyDescent="0.3">
      <c r="A65" s="171"/>
      <c r="B65" s="168" t="s">
        <v>61</v>
      </c>
      <c r="C65" s="164" t="s">
        <v>6</v>
      </c>
      <c r="D65" s="165">
        <f>'1'!K65</f>
        <v>50428.571428571428</v>
      </c>
      <c r="E65" s="165">
        <f>'2'!K65</f>
        <v>47857.142857142855</v>
      </c>
      <c r="F65" s="165">
        <f>'3'!K65</f>
        <v>51000</v>
      </c>
      <c r="G65" s="165">
        <f>'4'!K65</f>
        <v>52857.142857142855</v>
      </c>
      <c r="H65" s="166">
        <f>'5'!K65</f>
        <v>52857.142857142855</v>
      </c>
      <c r="I65" s="166">
        <f>'6'!K65</f>
        <v>54000</v>
      </c>
      <c r="J65" s="166">
        <f>'7'!K65</f>
        <v>56142.857142857145</v>
      </c>
      <c r="K65" s="166">
        <f>'8'!K65</f>
        <v>56000</v>
      </c>
      <c r="L65" s="166">
        <f>'9'!K65</f>
        <v>55714.285714285717</v>
      </c>
      <c r="M65" s="166">
        <f>'10'!K65</f>
        <v>55285.714285714283</v>
      </c>
      <c r="N65" s="166">
        <f>'11'!K65</f>
        <v>56714.285714285717</v>
      </c>
      <c r="O65" s="166">
        <f>'12'!K65</f>
        <v>56857.142857142855</v>
      </c>
      <c r="P65" s="166">
        <f>'13'!K65</f>
        <v>58571.428571428572</v>
      </c>
      <c r="Q65" s="166">
        <f>'14'!K65</f>
        <v>57857.142857142855</v>
      </c>
      <c r="R65" s="166">
        <f>'15'!K65</f>
        <v>62142.857142857145</v>
      </c>
      <c r="S65" s="166">
        <f>'16'!K65</f>
        <v>66714.28571428571</v>
      </c>
      <c r="T65" s="166">
        <f>'17'!K65</f>
        <v>67428.571428571435</v>
      </c>
      <c r="U65" s="166">
        <f>'18'!K65</f>
        <v>66714.28571428571</v>
      </c>
      <c r="V65" s="166">
        <f>'19'!K65</f>
        <v>64857.142857142855</v>
      </c>
      <c r="W65" s="166">
        <f>'20'!K65</f>
        <v>67857.142857142855</v>
      </c>
      <c r="X65" s="166">
        <f>'21'!K65</f>
        <v>70000</v>
      </c>
      <c r="Y65" s="166">
        <f>'22'!K65</f>
        <v>73571.428571428565</v>
      </c>
      <c r="Z65" s="166">
        <f>'23'!K65</f>
        <v>78142.857142857145</v>
      </c>
      <c r="AA65" s="166">
        <f>'24'!K65</f>
        <v>76714.28571428571</v>
      </c>
      <c r="AB65" s="166">
        <f>'25'!K65</f>
        <v>78142.857142857145</v>
      </c>
      <c r="AC65" s="166">
        <f>'26'!K65</f>
        <v>72428.571428571435</v>
      </c>
      <c r="AD65" s="166">
        <f>'27'!K65</f>
        <v>69571.428571428565</v>
      </c>
      <c r="AE65" s="166">
        <f>'28'!K65</f>
        <v>65285.714285714283</v>
      </c>
      <c r="AF65" s="166">
        <f>'29'!K65</f>
        <v>67428.571428571435</v>
      </c>
      <c r="AG65" s="166">
        <v>55000</v>
      </c>
      <c r="AH65" s="166">
        <f t="shared" si="0"/>
        <v>17000.000000000007</v>
      </c>
      <c r="AI65" s="58">
        <f t="shared" si="1"/>
        <v>62384.236453201964</v>
      </c>
    </row>
    <row r="66" spans="1:35" ht="15.75" thickBot="1" x14ac:dyDescent="0.3">
      <c r="A66" s="171"/>
      <c r="B66" s="168" t="s">
        <v>62</v>
      </c>
      <c r="C66" s="164" t="s">
        <v>6</v>
      </c>
      <c r="D66" s="165">
        <f>'1'!K66</f>
        <v>30428.571428571428</v>
      </c>
      <c r="E66" s="165">
        <f>'2'!K66</f>
        <v>29000</v>
      </c>
      <c r="F66" s="165">
        <f>'3'!K66</f>
        <v>29285.714285714286</v>
      </c>
      <c r="G66" s="165">
        <f>'4'!K66</f>
        <v>29571.428571428572</v>
      </c>
      <c r="H66" s="166">
        <f>'5'!K66</f>
        <v>30000</v>
      </c>
      <c r="I66" s="166">
        <f>'6'!K66</f>
        <v>29857.142857142859</v>
      </c>
      <c r="J66" s="166">
        <f>'7'!K66</f>
        <v>32714.285714285714</v>
      </c>
      <c r="K66" s="166">
        <f>'8'!K66</f>
        <v>33285.714285714283</v>
      </c>
      <c r="L66" s="166">
        <f>'9'!K66</f>
        <v>35571.428571428572</v>
      </c>
      <c r="M66" s="166">
        <f>'10'!K66</f>
        <v>39285.714285714283</v>
      </c>
      <c r="N66" s="166">
        <f>'11'!K66</f>
        <v>38714.285714285717</v>
      </c>
      <c r="O66" s="166">
        <f>'12'!K66</f>
        <v>44000</v>
      </c>
      <c r="P66" s="166">
        <f>'13'!K66</f>
        <v>43714.285714285717</v>
      </c>
      <c r="Q66" s="166">
        <f>'14'!K66</f>
        <v>48000</v>
      </c>
      <c r="R66" s="166">
        <f>'15'!K66</f>
        <v>59428.571428571428</v>
      </c>
      <c r="S66" s="166">
        <f>'16'!K66</f>
        <v>67857.142857142855</v>
      </c>
      <c r="T66" s="166">
        <f>'17'!K66</f>
        <v>67428.571428571435</v>
      </c>
      <c r="U66" s="166">
        <f>'18'!K66</f>
        <v>66714.28571428571</v>
      </c>
      <c r="V66" s="166">
        <f>'19'!K66</f>
        <v>64285.714285714283</v>
      </c>
      <c r="W66" s="166">
        <f>'20'!K66</f>
        <v>60285.714285714283</v>
      </c>
      <c r="X66" s="166">
        <f>'21'!K66</f>
        <v>65285.714285714283</v>
      </c>
      <c r="Y66" s="166">
        <f>'22'!K66</f>
        <v>68857.142857142855</v>
      </c>
      <c r="Z66" s="166">
        <f>'23'!K66</f>
        <v>67428.571428571435</v>
      </c>
      <c r="AA66" s="166">
        <f>'24'!K66</f>
        <v>56714.285714285717</v>
      </c>
      <c r="AB66" s="166">
        <f>'25'!K66</f>
        <v>58142.857142857145</v>
      </c>
      <c r="AC66" s="166">
        <f>'26'!K66</f>
        <v>57285.714285714283</v>
      </c>
      <c r="AD66" s="166">
        <f>'27'!K66</f>
        <v>56571.428571428572</v>
      </c>
      <c r="AE66" s="166">
        <f>'28'!K66</f>
        <v>55285.714285714283</v>
      </c>
      <c r="AF66" s="166">
        <f>'29'!K66</f>
        <v>54285.714285714283</v>
      </c>
      <c r="AG66" s="166">
        <v>57000</v>
      </c>
      <c r="AH66" s="166">
        <f t="shared" si="0"/>
        <v>23857.142857142855</v>
      </c>
      <c r="AI66" s="58">
        <f t="shared" si="1"/>
        <v>48940.886699507399</v>
      </c>
    </row>
    <row r="67" spans="1:35" ht="15.75" thickBot="1" x14ac:dyDescent="0.3">
      <c r="A67" s="171"/>
      <c r="B67" s="169" t="s">
        <v>63</v>
      </c>
      <c r="C67" s="160"/>
      <c r="D67" s="165">
        <f>'1'!K67</f>
        <v>0</v>
      </c>
      <c r="E67" s="165">
        <f>'2'!K67</f>
        <v>0</v>
      </c>
      <c r="F67" s="165">
        <f>'3'!K67</f>
        <v>0</v>
      </c>
      <c r="G67" s="165">
        <f>'4'!K67</f>
        <v>0</v>
      </c>
      <c r="H67" s="166">
        <f>'5'!K67</f>
        <v>0</v>
      </c>
      <c r="I67" s="166">
        <f>'6'!K67</f>
        <v>0</v>
      </c>
      <c r="J67" s="166">
        <f>'7'!K67</f>
        <v>0</v>
      </c>
      <c r="K67" s="166">
        <f>'8'!K67</f>
        <v>0</v>
      </c>
      <c r="L67" s="166">
        <f>'9'!K67</f>
        <v>0</v>
      </c>
      <c r="M67" s="166">
        <f>'10'!K67</f>
        <v>0</v>
      </c>
      <c r="N67" s="166">
        <f>'11'!K67</f>
        <v>0</v>
      </c>
      <c r="O67" s="166">
        <f>'12'!K67</f>
        <v>0</v>
      </c>
      <c r="P67" s="166">
        <f>'13'!K67</f>
        <v>0</v>
      </c>
      <c r="Q67" s="166">
        <f>'14'!K67</f>
        <v>0</v>
      </c>
      <c r="R67" s="166">
        <f>'15'!K67</f>
        <v>0</v>
      </c>
      <c r="S67" s="166">
        <f>'16'!K67</f>
        <v>0</v>
      </c>
      <c r="T67" s="166">
        <f>'17'!K67</f>
        <v>0</v>
      </c>
      <c r="U67" s="166">
        <f>'18'!K67</f>
        <v>0</v>
      </c>
      <c r="V67" s="166">
        <f>'19'!K67</f>
        <v>0</v>
      </c>
      <c r="W67" s="166">
        <f>'20'!K67</f>
        <v>0</v>
      </c>
      <c r="X67" s="166">
        <f>'21'!K67</f>
        <v>0</v>
      </c>
      <c r="Y67" s="166">
        <f>'22'!K67</f>
        <v>0</v>
      </c>
      <c r="Z67" s="166">
        <f>'23'!K67</f>
        <v>0</v>
      </c>
      <c r="AA67" s="166">
        <f>'24'!K67</f>
        <v>0</v>
      </c>
      <c r="AB67" s="166">
        <f>'25'!K67</f>
        <v>0</v>
      </c>
      <c r="AC67" s="166">
        <f>'26'!K67</f>
        <v>0</v>
      </c>
      <c r="AD67" s="166">
        <f>'27'!K67</f>
        <v>0</v>
      </c>
      <c r="AE67" s="166">
        <f>'28'!K67</f>
        <v>0</v>
      </c>
      <c r="AF67" s="166">
        <f>'29'!K67</f>
        <v>0</v>
      </c>
      <c r="AG67" s="166"/>
      <c r="AH67" s="166">
        <f t="shared" si="0"/>
        <v>0</v>
      </c>
      <c r="AI67" s="58">
        <f t="shared" si="1"/>
        <v>0</v>
      </c>
    </row>
    <row r="68" spans="1:35" ht="15.75" thickBot="1" x14ac:dyDescent="0.3">
      <c r="A68" s="171"/>
      <c r="B68" s="168" t="s">
        <v>64</v>
      </c>
      <c r="C68" s="164" t="s">
        <v>65</v>
      </c>
      <c r="D68" s="165">
        <f>'1'!K68</f>
        <v>18333.333333333332</v>
      </c>
      <c r="E68" s="165">
        <f>'2'!K68</f>
        <v>18333.333333333332</v>
      </c>
      <c r="F68" s="165">
        <f>'3'!K68</f>
        <v>18333.333333333332</v>
      </c>
      <c r="G68" s="165">
        <f>'4'!K68</f>
        <v>18333.333333333332</v>
      </c>
      <c r="H68" s="166">
        <f>'5'!K68</f>
        <v>18333.333333333332</v>
      </c>
      <c r="I68" s="166">
        <f>'6'!K68</f>
        <v>18333.333333333332</v>
      </c>
      <c r="J68" s="166">
        <f>'7'!K68</f>
        <v>18333.333333333332</v>
      </c>
      <c r="K68" s="166">
        <f>'8'!K68</f>
        <v>18333.333333333332</v>
      </c>
      <c r="L68" s="166">
        <f>'9'!K68</f>
        <v>18333.333333333332</v>
      </c>
      <c r="M68" s="166">
        <f>'10'!K68</f>
        <v>18333.333333333332</v>
      </c>
      <c r="N68" s="166">
        <f>'11'!K68</f>
        <v>18333.333333333332</v>
      </c>
      <c r="O68" s="166">
        <f>'12'!K68</f>
        <v>18333.333333333332</v>
      </c>
      <c r="P68" s="166">
        <f>'13'!K68</f>
        <v>18333.333333333332</v>
      </c>
      <c r="Q68" s="166">
        <f>'14'!K68</f>
        <v>18333.333333333332</v>
      </c>
      <c r="R68" s="166">
        <f>'15'!K68</f>
        <v>18333.333333333332</v>
      </c>
      <c r="S68" s="166">
        <f>'16'!K68</f>
        <v>18333.333333333332</v>
      </c>
      <c r="T68" s="166">
        <f>'17'!K68</f>
        <v>18333.333333333332</v>
      </c>
      <c r="U68" s="166">
        <f>'18'!K68</f>
        <v>18333.333333333332</v>
      </c>
      <c r="V68" s="166">
        <f>'19'!K68</f>
        <v>18333.333333333332</v>
      </c>
      <c r="W68" s="166">
        <f>'20'!K68</f>
        <v>18333.333333333332</v>
      </c>
      <c r="X68" s="166">
        <f>'21'!K68</f>
        <v>18333.333333333332</v>
      </c>
      <c r="Y68" s="166">
        <f>'22'!K68</f>
        <v>18333.333333333332</v>
      </c>
      <c r="Z68" s="166">
        <f>'23'!K68</f>
        <v>18333.333333333332</v>
      </c>
      <c r="AA68" s="166">
        <f>'24'!K68</f>
        <v>18333.333333333332</v>
      </c>
      <c r="AB68" s="166">
        <f>'25'!K68</f>
        <v>18333.333333333332</v>
      </c>
      <c r="AC68" s="166">
        <f>'26'!K68</f>
        <v>18333.333333333332</v>
      </c>
      <c r="AD68" s="166">
        <f>'27'!K68</f>
        <v>18333.333333333332</v>
      </c>
      <c r="AE68" s="166">
        <f>'28'!K68</f>
        <v>18333.333333333332</v>
      </c>
      <c r="AF68" s="166">
        <f>'29'!K68</f>
        <v>18333.333333333332</v>
      </c>
      <c r="AG68" s="166"/>
      <c r="AH68" s="166">
        <f t="shared" si="0"/>
        <v>0</v>
      </c>
      <c r="AI68" s="58">
        <f t="shared" si="1"/>
        <v>18333.333333333328</v>
      </c>
    </row>
    <row r="69" spans="1:35" ht="15.75" thickBot="1" x14ac:dyDescent="0.3">
      <c r="A69" s="172"/>
      <c r="B69" s="159" t="s">
        <v>66</v>
      </c>
      <c r="C69" s="160"/>
      <c r="D69" s="165">
        <f>'1'!K69</f>
        <v>0</v>
      </c>
      <c r="E69" s="165">
        <f>'2'!K69</f>
        <v>0</v>
      </c>
      <c r="F69" s="165">
        <f>'3'!K69</f>
        <v>0</v>
      </c>
      <c r="G69" s="165">
        <f>'4'!K69</f>
        <v>0</v>
      </c>
      <c r="H69" s="166">
        <f>'5'!K69</f>
        <v>0</v>
      </c>
      <c r="I69" s="166">
        <f>'6'!K69</f>
        <v>0</v>
      </c>
      <c r="J69" s="166">
        <f>'7'!K69</f>
        <v>0</v>
      </c>
      <c r="K69" s="166">
        <f>'8'!K69</f>
        <v>0</v>
      </c>
      <c r="L69" s="166">
        <f>'9'!K69</f>
        <v>0</v>
      </c>
      <c r="M69" s="166">
        <f>'10'!K69</f>
        <v>0</v>
      </c>
      <c r="N69" s="166">
        <f>'11'!K69</f>
        <v>0</v>
      </c>
      <c r="O69" s="166">
        <f>'12'!K69</f>
        <v>0</v>
      </c>
      <c r="P69" s="166">
        <f>'13'!K69</f>
        <v>0</v>
      </c>
      <c r="Q69" s="166">
        <f>'14'!K69</f>
        <v>0</v>
      </c>
      <c r="R69" s="166">
        <f>'15'!K69</f>
        <v>0</v>
      </c>
      <c r="S69" s="166">
        <f>'16'!K69</f>
        <v>0</v>
      </c>
      <c r="T69" s="166">
        <f>'17'!K69</f>
        <v>0</v>
      </c>
      <c r="U69" s="166">
        <f>'18'!K69</f>
        <v>0</v>
      </c>
      <c r="V69" s="166">
        <f>'19'!K69</f>
        <v>0</v>
      </c>
      <c r="W69" s="166">
        <f>'20'!K69</f>
        <v>0</v>
      </c>
      <c r="X69" s="166">
        <f>'21'!K69</f>
        <v>0</v>
      </c>
      <c r="Y69" s="166">
        <f>'22'!K69</f>
        <v>0</v>
      </c>
      <c r="Z69" s="166">
        <f>'23'!K69</f>
        <v>0</v>
      </c>
      <c r="AA69" s="166">
        <f>'24'!K69</f>
        <v>0</v>
      </c>
      <c r="AB69" s="166">
        <f>'25'!K69</f>
        <v>0</v>
      </c>
      <c r="AC69" s="166">
        <f>'26'!K69</f>
        <v>0</v>
      </c>
      <c r="AD69" s="166">
        <f>'27'!K69</f>
        <v>0</v>
      </c>
      <c r="AE69" s="166">
        <f>'28'!K69</f>
        <v>0</v>
      </c>
      <c r="AF69" s="166">
        <f>'29'!K69</f>
        <v>0</v>
      </c>
      <c r="AG69" s="166"/>
      <c r="AH69" s="166">
        <f t="shared" si="0"/>
        <v>0</v>
      </c>
      <c r="AI69" s="58">
        <f t="shared" si="1"/>
        <v>0</v>
      </c>
    </row>
    <row r="70" spans="1:35" ht="15.75" thickBot="1" x14ac:dyDescent="0.3">
      <c r="A70" s="172"/>
      <c r="B70" s="168" t="s">
        <v>67</v>
      </c>
      <c r="C70" s="164" t="s">
        <v>6</v>
      </c>
      <c r="D70" s="165">
        <f>'1'!K70</f>
        <v>36142.857142857145</v>
      </c>
      <c r="E70" s="165">
        <f>'2'!K70</f>
        <v>36142.857142857145</v>
      </c>
      <c r="F70" s="165">
        <f>'3'!K70</f>
        <v>36857.142857142855</v>
      </c>
      <c r="G70" s="165">
        <f>'4'!K70</f>
        <v>36857.142857142855</v>
      </c>
      <c r="H70" s="166">
        <f>'5'!K70</f>
        <v>36857.142857142855</v>
      </c>
      <c r="I70" s="166">
        <f>'6'!K70</f>
        <v>36428.571428571428</v>
      </c>
      <c r="J70" s="166">
        <f>'7'!K70</f>
        <v>36428.571428571428</v>
      </c>
      <c r="K70" s="166">
        <f>'8'!K70</f>
        <v>36428.571428571428</v>
      </c>
      <c r="L70" s="166">
        <f>'9'!K70</f>
        <v>36857.142857142855</v>
      </c>
      <c r="M70" s="166">
        <f>'10'!K70</f>
        <v>37000</v>
      </c>
      <c r="N70" s="166">
        <f>'11'!K70</f>
        <v>37000</v>
      </c>
      <c r="O70" s="166">
        <f>'12'!K70</f>
        <v>37000</v>
      </c>
      <c r="P70" s="166">
        <f>'13'!K70</f>
        <v>37000</v>
      </c>
      <c r="Q70" s="166">
        <f>'14'!K70</f>
        <v>36857.142857142855</v>
      </c>
      <c r="R70" s="166">
        <f>'15'!K70</f>
        <v>37000</v>
      </c>
      <c r="S70" s="166">
        <f>'16'!K70</f>
        <v>37285.714285714283</v>
      </c>
      <c r="T70" s="166">
        <f>'17'!K70</f>
        <v>36714.285714285717</v>
      </c>
      <c r="U70" s="166">
        <f>'18'!K70</f>
        <v>36714.285714285717</v>
      </c>
      <c r="V70" s="166">
        <f>'19'!K70</f>
        <v>36714.285714285717</v>
      </c>
      <c r="W70" s="166">
        <f>'20'!K70</f>
        <v>37000</v>
      </c>
      <c r="X70" s="166">
        <f>'21'!K70</f>
        <v>37000</v>
      </c>
      <c r="Y70" s="166">
        <f>'22'!K70</f>
        <v>37142.857142857145</v>
      </c>
      <c r="Z70" s="166">
        <f>'23'!K70</f>
        <v>37142.857142857145</v>
      </c>
      <c r="AA70" s="166">
        <f>'24'!K70</f>
        <v>37142.857142857145</v>
      </c>
      <c r="AB70" s="166">
        <f>'25'!K70</f>
        <v>37142.857142857145</v>
      </c>
      <c r="AC70" s="166">
        <f>'26'!K70</f>
        <v>37142.857142857145</v>
      </c>
      <c r="AD70" s="166">
        <f>'27'!K70</f>
        <v>37142.857142857145</v>
      </c>
      <c r="AE70" s="166">
        <f>'28'!K70</f>
        <v>37142.857142857145</v>
      </c>
      <c r="AF70" s="166">
        <f>'29'!K70</f>
        <v>37142.857142857145</v>
      </c>
      <c r="AG70" s="166"/>
      <c r="AH70" s="166">
        <f t="shared" si="0"/>
        <v>1000</v>
      </c>
      <c r="AI70" s="58">
        <f t="shared" si="1"/>
        <v>36876.847290640391</v>
      </c>
    </row>
    <row r="71" spans="1:35" ht="15.75" thickBot="1" x14ac:dyDescent="0.3">
      <c r="A71" s="172"/>
      <c r="B71" s="168" t="s">
        <v>68</v>
      </c>
      <c r="C71" s="164" t="s">
        <v>6</v>
      </c>
      <c r="D71" s="165">
        <f>'1'!K71</f>
        <v>32857.142857142855</v>
      </c>
      <c r="E71" s="165">
        <f>'2'!K71</f>
        <v>32857.142857142855</v>
      </c>
      <c r="F71" s="165">
        <f>'3'!K71</f>
        <v>33000</v>
      </c>
      <c r="G71" s="165">
        <f>'4'!K71</f>
        <v>33000</v>
      </c>
      <c r="H71" s="166">
        <f>'5'!K71</f>
        <v>33000</v>
      </c>
      <c r="I71" s="166">
        <f>'6'!K71</f>
        <v>32571.428571428572</v>
      </c>
      <c r="J71" s="166">
        <f>'7'!K71</f>
        <v>32714.285714285714</v>
      </c>
      <c r="K71" s="166">
        <f>'8'!K71</f>
        <v>32714.285714285714</v>
      </c>
      <c r="L71" s="166">
        <f>'9'!K71</f>
        <v>33142.857142857145</v>
      </c>
      <c r="M71" s="166">
        <f>'10'!K71</f>
        <v>33142.857142857145</v>
      </c>
      <c r="N71" s="166">
        <f>'11'!K71</f>
        <v>33142.857142857145</v>
      </c>
      <c r="O71" s="166">
        <f>'12'!K71</f>
        <v>33142.857142857145</v>
      </c>
      <c r="P71" s="166">
        <f>'13'!K71</f>
        <v>33142.857142857145</v>
      </c>
      <c r="Q71" s="166">
        <f>'14'!K71</f>
        <v>33142.857142857145</v>
      </c>
      <c r="R71" s="166">
        <f>'15'!K71</f>
        <v>33142.857142857145</v>
      </c>
      <c r="S71" s="166">
        <f>'16'!K71</f>
        <v>33000</v>
      </c>
      <c r="T71" s="166">
        <f>'17'!K71</f>
        <v>32571.428571428572</v>
      </c>
      <c r="U71" s="166">
        <f>'18'!K71</f>
        <v>32571.428571428572</v>
      </c>
      <c r="V71" s="166">
        <f>'19'!K71</f>
        <v>32571.428571428572</v>
      </c>
      <c r="W71" s="166">
        <f>'20'!K71</f>
        <v>32571.428571428572</v>
      </c>
      <c r="X71" s="166">
        <f>'21'!K71</f>
        <v>32571.428571428572</v>
      </c>
      <c r="Y71" s="166">
        <f>'22'!K71</f>
        <v>32571.428571428572</v>
      </c>
      <c r="Z71" s="166">
        <f>'23'!K71</f>
        <v>32428.571428571428</v>
      </c>
      <c r="AA71" s="166">
        <f>'24'!K71</f>
        <v>32714.285714285714</v>
      </c>
      <c r="AB71" s="166">
        <f>'25'!K71</f>
        <v>32714.285714285714</v>
      </c>
      <c r="AC71" s="166">
        <f>'26'!K71</f>
        <v>32714.285714285714</v>
      </c>
      <c r="AD71" s="166">
        <f>'27'!K71</f>
        <v>32714.285714285714</v>
      </c>
      <c r="AE71" s="166">
        <f>'28'!K71</f>
        <v>32714.285714285714</v>
      </c>
      <c r="AF71" s="166">
        <f>'29'!K71</f>
        <v>32714.285714285714</v>
      </c>
      <c r="AG71" s="166"/>
      <c r="AH71" s="166">
        <f t="shared" si="0"/>
        <v>-142.8571428571413</v>
      </c>
      <c r="AI71" s="58">
        <f t="shared" si="1"/>
        <v>32822.660098522159</v>
      </c>
    </row>
    <row r="72" spans="1:35" ht="15.75" thickBot="1" x14ac:dyDescent="0.3">
      <c r="A72" s="172"/>
      <c r="B72" s="167" t="s">
        <v>69</v>
      </c>
      <c r="C72" s="164" t="s">
        <v>6</v>
      </c>
      <c r="D72" s="165">
        <f>'1'!K72</f>
        <v>25571.428571428572</v>
      </c>
      <c r="E72" s="165">
        <f>'2'!K72</f>
        <v>25571.428571428572</v>
      </c>
      <c r="F72" s="165">
        <f>'3'!K72</f>
        <v>25857.142857142859</v>
      </c>
      <c r="G72" s="165">
        <f>'4'!K72</f>
        <v>25857.142857142859</v>
      </c>
      <c r="H72" s="166">
        <f>'5'!K72</f>
        <v>25857.142857142859</v>
      </c>
      <c r="I72" s="166">
        <f>'6'!K72</f>
        <v>24428.571428571428</v>
      </c>
      <c r="J72" s="166">
        <f>'7'!K72</f>
        <v>24714.285714285714</v>
      </c>
      <c r="K72" s="166">
        <f>'8'!K72</f>
        <v>24714.285714285714</v>
      </c>
      <c r="L72" s="166">
        <f>'9'!K72</f>
        <v>24142.857142857141</v>
      </c>
      <c r="M72" s="166">
        <f>'10'!K72</f>
        <v>24285.714285714286</v>
      </c>
      <c r="N72" s="166">
        <f>'11'!K72</f>
        <v>24285.714285714286</v>
      </c>
      <c r="O72" s="166">
        <f>'12'!K72</f>
        <v>25000</v>
      </c>
      <c r="P72" s="166">
        <f>'13'!K72</f>
        <v>25571.428571428572</v>
      </c>
      <c r="Q72" s="166">
        <f>'14'!K72</f>
        <v>25428.571428571428</v>
      </c>
      <c r="R72" s="166">
        <f>'15'!K72</f>
        <v>25714.285714285714</v>
      </c>
      <c r="S72" s="166">
        <f>'16'!K72</f>
        <v>25857.142857142859</v>
      </c>
      <c r="T72" s="166">
        <f>'17'!K72</f>
        <v>24428.571428571428</v>
      </c>
      <c r="U72" s="166">
        <f>'18'!K72</f>
        <v>24428.571428571428</v>
      </c>
      <c r="V72" s="166">
        <f>'19'!K72</f>
        <v>23285.714285714286</v>
      </c>
      <c r="W72" s="166">
        <f>'20'!K72</f>
        <v>24571.428571428572</v>
      </c>
      <c r="X72" s="166">
        <f>'21'!K72</f>
        <v>25285.714285714286</v>
      </c>
      <c r="Y72" s="166">
        <f>'22'!K72</f>
        <v>25857.142857142859</v>
      </c>
      <c r="Z72" s="166">
        <f>'23'!K72</f>
        <v>25571.428571428572</v>
      </c>
      <c r="AA72" s="166">
        <f>'24'!K72</f>
        <v>25142.857142857141</v>
      </c>
      <c r="AB72" s="166">
        <f>'25'!K72</f>
        <v>25142.857142857141</v>
      </c>
      <c r="AC72" s="166">
        <f>'26'!K72</f>
        <v>25142.857142857141</v>
      </c>
      <c r="AD72" s="166">
        <f>'27'!K72</f>
        <v>25142.857142857141</v>
      </c>
      <c r="AE72" s="166">
        <f>'28'!K72</f>
        <v>25142.857142857141</v>
      </c>
      <c r="AF72" s="166">
        <f>'29'!K72</f>
        <v>25142.857142857141</v>
      </c>
      <c r="AG72" s="166">
        <v>41500</v>
      </c>
      <c r="AH72" s="166">
        <f t="shared" si="0"/>
        <v>-428.57142857143117</v>
      </c>
      <c r="AI72" s="58">
        <f t="shared" si="1"/>
        <v>25073.891625615764</v>
      </c>
    </row>
    <row r="73" spans="1:35" ht="15.75" thickBot="1" x14ac:dyDescent="0.3">
      <c r="A73" s="172"/>
      <c r="B73" s="168" t="s">
        <v>70</v>
      </c>
      <c r="C73" s="164" t="s">
        <v>6</v>
      </c>
      <c r="D73" s="165">
        <f>'1'!K73</f>
        <v>26833.333333333332</v>
      </c>
      <c r="E73" s="165">
        <f>'2'!K73</f>
        <v>26833.333333333332</v>
      </c>
      <c r="F73" s="165">
        <f>'3'!K73</f>
        <v>26833.333333333332</v>
      </c>
      <c r="G73" s="165">
        <f>'4'!K73</f>
        <v>26833.333333333332</v>
      </c>
      <c r="H73" s="166">
        <f>'5'!K73</f>
        <v>26833.333333333332</v>
      </c>
      <c r="I73" s="166">
        <f>'6'!K73</f>
        <v>26833.333333333332</v>
      </c>
      <c r="J73" s="166">
        <f>'7'!K73</f>
        <v>26833.333333333332</v>
      </c>
      <c r="K73" s="166">
        <f>'8'!K73</f>
        <v>26833.333333333332</v>
      </c>
      <c r="L73" s="166">
        <f>'9'!K73</f>
        <v>27285.714285714286</v>
      </c>
      <c r="M73" s="166">
        <f>'10'!K73</f>
        <v>27285.714285714286</v>
      </c>
      <c r="N73" s="166">
        <f>'11'!K73</f>
        <v>27285.714285714286</v>
      </c>
      <c r="O73" s="166">
        <f>'12'!K73</f>
        <v>27285.714285714286</v>
      </c>
      <c r="P73" s="166">
        <f>'13'!K73</f>
        <v>27285.714285714286</v>
      </c>
      <c r="Q73" s="166">
        <f>'14'!K73</f>
        <v>27285.714285714286</v>
      </c>
      <c r="R73" s="166">
        <f>'15'!K73</f>
        <v>27285.714285714286</v>
      </c>
      <c r="S73" s="166">
        <f>'16'!K73</f>
        <v>27285.714285714286</v>
      </c>
      <c r="T73" s="166">
        <f>'17'!K73</f>
        <v>27285.714285714286</v>
      </c>
      <c r="U73" s="166">
        <f>'18'!K73</f>
        <v>27285.714285714286</v>
      </c>
      <c r="V73" s="166">
        <f>'19'!K73</f>
        <v>27285.714285714286</v>
      </c>
      <c r="W73" s="166">
        <f>'20'!K73</f>
        <v>27714.285714285714</v>
      </c>
      <c r="X73" s="166">
        <f>'21'!K73</f>
        <v>27714.285714285714</v>
      </c>
      <c r="Y73" s="166">
        <f>'22'!K73</f>
        <v>27714.285714285714</v>
      </c>
      <c r="Z73" s="166">
        <f>'23'!K73</f>
        <v>28428.571428571428</v>
      </c>
      <c r="AA73" s="166">
        <f>'24'!K73</f>
        <v>28428.571428571428</v>
      </c>
      <c r="AB73" s="166">
        <f>'25'!K73</f>
        <v>28428.571428571428</v>
      </c>
      <c r="AC73" s="166">
        <f>'26'!K73</f>
        <v>28428.571428571428</v>
      </c>
      <c r="AD73" s="166">
        <f>'27'!K73</f>
        <v>28428.571428571428</v>
      </c>
      <c r="AE73" s="166">
        <f>'28'!K73</f>
        <v>28428.571428571428</v>
      </c>
      <c r="AF73" s="166">
        <f>'29'!K73</f>
        <v>28428.571428571428</v>
      </c>
      <c r="AG73" s="166"/>
      <c r="AH73" s="166">
        <f t="shared" ref="AH73:AH88" si="2">AF73-D73</f>
        <v>1595.2380952380954</v>
      </c>
      <c r="AI73" s="58">
        <f t="shared" ref="AI73:AI88" si="3">AVERAGE(D73:AF73)</f>
        <v>27481.116584564865</v>
      </c>
    </row>
    <row r="74" spans="1:35" ht="15.75" thickBot="1" x14ac:dyDescent="0.3">
      <c r="A74" s="172"/>
      <c r="B74" s="169" t="s">
        <v>71</v>
      </c>
      <c r="C74" s="160"/>
      <c r="D74" s="165">
        <f>'1'!K74</f>
        <v>0</v>
      </c>
      <c r="E74" s="165">
        <f>'2'!K74</f>
        <v>0</v>
      </c>
      <c r="F74" s="165">
        <f>'3'!K74</f>
        <v>0</v>
      </c>
      <c r="G74" s="165">
        <f>'4'!K74</f>
        <v>0</v>
      </c>
      <c r="H74" s="166">
        <f>'5'!K74</f>
        <v>0</v>
      </c>
      <c r="I74" s="166">
        <f>'6'!K74</f>
        <v>0</v>
      </c>
      <c r="J74" s="166">
        <f>'7'!K74</f>
        <v>0</v>
      </c>
      <c r="K74" s="166">
        <f>'8'!K74</f>
        <v>0</v>
      </c>
      <c r="L74" s="166">
        <f>'9'!K74</f>
        <v>0</v>
      </c>
      <c r="M74" s="166">
        <f>'10'!K74</f>
        <v>0</v>
      </c>
      <c r="N74" s="166">
        <f>'11'!K74</f>
        <v>0</v>
      </c>
      <c r="O74" s="166">
        <f>'12'!K74</f>
        <v>0</v>
      </c>
      <c r="P74" s="166">
        <f>'13'!K74</f>
        <v>0</v>
      </c>
      <c r="Q74" s="166">
        <f>'14'!K74</f>
        <v>0</v>
      </c>
      <c r="R74" s="166">
        <f>'15'!K74</f>
        <v>0</v>
      </c>
      <c r="S74" s="166">
        <f>'16'!K74</f>
        <v>0</v>
      </c>
      <c r="T74" s="166">
        <f>'17'!K74</f>
        <v>0</v>
      </c>
      <c r="U74" s="166">
        <f>'18'!K74</f>
        <v>0</v>
      </c>
      <c r="V74" s="166">
        <f>'19'!K74</f>
        <v>0</v>
      </c>
      <c r="W74" s="166">
        <f>'20'!K74</f>
        <v>0</v>
      </c>
      <c r="X74" s="166">
        <f>'21'!K74</f>
        <v>0</v>
      </c>
      <c r="Y74" s="166">
        <f>'22'!K74</f>
        <v>0</v>
      </c>
      <c r="Z74" s="166">
        <f>'23'!K74</f>
        <v>0</v>
      </c>
      <c r="AA74" s="166">
        <f>'24'!K74</f>
        <v>0</v>
      </c>
      <c r="AB74" s="166">
        <f>'25'!K74</f>
        <v>0</v>
      </c>
      <c r="AC74" s="166">
        <f>'26'!K74</f>
        <v>0</v>
      </c>
      <c r="AD74" s="166">
        <f>'27'!K74</f>
        <v>0</v>
      </c>
      <c r="AE74" s="166">
        <f>'28'!K74</f>
        <v>0</v>
      </c>
      <c r="AF74" s="166">
        <f>'29'!K74</f>
        <v>0</v>
      </c>
      <c r="AG74" s="166"/>
      <c r="AH74" s="166">
        <f t="shared" si="2"/>
        <v>0</v>
      </c>
      <c r="AI74" s="58">
        <f t="shared" si="3"/>
        <v>0</v>
      </c>
    </row>
    <row r="75" spans="1:35" ht="15.75" thickBot="1" x14ac:dyDescent="0.3">
      <c r="A75" s="172"/>
      <c r="B75" s="168" t="s">
        <v>72</v>
      </c>
      <c r="C75" s="164" t="s">
        <v>6</v>
      </c>
      <c r="D75" s="165">
        <f>'1'!K75</f>
        <v>5714.2857142857147</v>
      </c>
      <c r="E75" s="165">
        <f>'2'!K75</f>
        <v>5714.2857142857147</v>
      </c>
      <c r="F75" s="165">
        <f>'3'!K75</f>
        <v>5714.2857142857147</v>
      </c>
      <c r="G75" s="165">
        <f>'4'!K75</f>
        <v>5714.2857142857147</v>
      </c>
      <c r="H75" s="166">
        <f>'5'!K75</f>
        <v>5714.2857142857147</v>
      </c>
      <c r="I75" s="166">
        <f>'6'!K75</f>
        <v>5714.2857142857147</v>
      </c>
      <c r="J75" s="166">
        <f>'7'!K75</f>
        <v>5714.2857142857147</v>
      </c>
      <c r="K75" s="166">
        <f>'8'!K75</f>
        <v>5714.2857142857147</v>
      </c>
      <c r="L75" s="166">
        <f>'9'!K75</f>
        <v>5714.2857142857147</v>
      </c>
      <c r="M75" s="166">
        <f>'10'!K75</f>
        <v>5714.2857142857147</v>
      </c>
      <c r="N75" s="166">
        <f>'11'!K75</f>
        <v>5714.2857142857147</v>
      </c>
      <c r="O75" s="166">
        <f>'12'!K75</f>
        <v>5714.2857142857147</v>
      </c>
      <c r="P75" s="166">
        <f>'13'!K75</f>
        <v>5714.2857142857147</v>
      </c>
      <c r="Q75" s="166">
        <f>'14'!K75</f>
        <v>5714.2857142857147</v>
      </c>
      <c r="R75" s="166">
        <f>'15'!K75</f>
        <v>5714.2857142857147</v>
      </c>
      <c r="S75" s="166">
        <f>'16'!K75</f>
        <v>5714.2857142857147</v>
      </c>
      <c r="T75" s="166">
        <f>'17'!K75</f>
        <v>5714.2857142857147</v>
      </c>
      <c r="U75" s="166">
        <f>'18'!K75</f>
        <v>5714.2857142857147</v>
      </c>
      <c r="V75" s="166">
        <f>'19'!K75</f>
        <v>5714.2857142857147</v>
      </c>
      <c r="W75" s="166">
        <f>'20'!K75</f>
        <v>5714.2857142857147</v>
      </c>
      <c r="X75" s="166">
        <f>'21'!K75</f>
        <v>5714.2857142857147</v>
      </c>
      <c r="Y75" s="166">
        <f>'22'!K75</f>
        <v>5714.2857142857147</v>
      </c>
      <c r="Z75" s="166">
        <f>'23'!K75</f>
        <v>5714.2857142857147</v>
      </c>
      <c r="AA75" s="166">
        <f>'24'!K75</f>
        <v>5714.2857142857147</v>
      </c>
      <c r="AB75" s="166">
        <f>'25'!K75</f>
        <v>5714.2857142857147</v>
      </c>
      <c r="AC75" s="166">
        <f>'26'!K75</f>
        <v>5714.2857142857147</v>
      </c>
      <c r="AD75" s="166">
        <f>'27'!K75</f>
        <v>5714.2857142857147</v>
      </c>
      <c r="AE75" s="166">
        <f>'28'!K75</f>
        <v>5714.2857142857147</v>
      </c>
      <c r="AF75" s="166">
        <f>'29'!K75</f>
        <v>5714.2857142857147</v>
      </c>
      <c r="AG75" s="166"/>
      <c r="AH75" s="166">
        <f t="shared" si="2"/>
        <v>0</v>
      </c>
      <c r="AI75" s="58">
        <f t="shared" si="3"/>
        <v>5714.2857142857129</v>
      </c>
    </row>
    <row r="76" spans="1:35" ht="15.75" thickBot="1" x14ac:dyDescent="0.3">
      <c r="A76" s="172"/>
      <c r="B76" s="168" t="s">
        <v>73</v>
      </c>
      <c r="C76" s="164" t="s">
        <v>6</v>
      </c>
      <c r="D76" s="165">
        <f>'1'!K76</f>
        <v>6000</v>
      </c>
      <c r="E76" s="165">
        <f>'2'!K76</f>
        <v>6000</v>
      </c>
      <c r="F76" s="165">
        <f>'3'!K76</f>
        <v>6000</v>
      </c>
      <c r="G76" s="165">
        <f>'4'!K76</f>
        <v>6000</v>
      </c>
      <c r="H76" s="166">
        <f>'5'!K76</f>
        <v>6000</v>
      </c>
      <c r="I76" s="166">
        <f>'6'!K76</f>
        <v>6000</v>
      </c>
      <c r="J76" s="166">
        <f>'7'!K76</f>
        <v>6000</v>
      </c>
      <c r="K76" s="166">
        <f>'8'!K76</f>
        <v>6000</v>
      </c>
      <c r="L76" s="166">
        <f>'9'!K76</f>
        <v>6000</v>
      </c>
      <c r="M76" s="166">
        <f>'10'!K76</f>
        <v>6000</v>
      </c>
      <c r="N76" s="166">
        <f>'11'!K76</f>
        <v>6000</v>
      </c>
      <c r="O76" s="166">
        <f>'12'!K76</f>
        <v>6000</v>
      </c>
      <c r="P76" s="166">
        <f>'13'!K76</f>
        <v>6000</v>
      </c>
      <c r="Q76" s="166">
        <f>'14'!K76</f>
        <v>6000</v>
      </c>
      <c r="R76" s="166">
        <f>'15'!K76</f>
        <v>6000</v>
      </c>
      <c r="S76" s="166">
        <f>'16'!K76</f>
        <v>6000</v>
      </c>
      <c r="T76" s="166">
        <f>'17'!K76</f>
        <v>6000</v>
      </c>
      <c r="U76" s="166">
        <f>'18'!K76</f>
        <v>6000</v>
      </c>
      <c r="V76" s="166">
        <f>'19'!K76</f>
        <v>6000</v>
      </c>
      <c r="W76" s="166">
        <f>'20'!K76</f>
        <v>6000</v>
      </c>
      <c r="X76" s="166">
        <f>'21'!K76</f>
        <v>6000</v>
      </c>
      <c r="Y76" s="166">
        <f>'22'!K76</f>
        <v>6000</v>
      </c>
      <c r="Z76" s="166">
        <f>'23'!K76</f>
        <v>6000</v>
      </c>
      <c r="AA76" s="166">
        <f>'24'!K76</f>
        <v>6000</v>
      </c>
      <c r="AB76" s="166">
        <f>'25'!K76</f>
        <v>6000</v>
      </c>
      <c r="AC76" s="166">
        <f>'26'!K76</f>
        <v>6000</v>
      </c>
      <c r="AD76" s="166">
        <f>'27'!K76</f>
        <v>6000</v>
      </c>
      <c r="AE76" s="166">
        <f>'28'!K76</f>
        <v>6000</v>
      </c>
      <c r="AF76" s="166">
        <f>'29'!K76</f>
        <v>6000</v>
      </c>
      <c r="AG76" s="166"/>
      <c r="AH76" s="166">
        <f t="shared" si="2"/>
        <v>0</v>
      </c>
      <c r="AI76" s="58">
        <f t="shared" si="3"/>
        <v>6000</v>
      </c>
    </row>
    <row r="77" spans="1:35" ht="15.75" thickBot="1" x14ac:dyDescent="0.3">
      <c r="A77" s="172"/>
      <c r="B77" s="169" t="s">
        <v>74</v>
      </c>
      <c r="C77" s="160"/>
      <c r="D77" s="165">
        <f>'1'!K77</f>
        <v>0</v>
      </c>
      <c r="E77" s="165">
        <f>'2'!K77</f>
        <v>0</v>
      </c>
      <c r="F77" s="165">
        <f>'3'!K77</f>
        <v>0</v>
      </c>
      <c r="G77" s="165">
        <f>'4'!K77</f>
        <v>0</v>
      </c>
      <c r="H77" s="166">
        <f>'5'!K77</f>
        <v>0</v>
      </c>
      <c r="I77" s="166">
        <f>'6'!K77</f>
        <v>0</v>
      </c>
      <c r="J77" s="166">
        <f>'7'!K77</f>
        <v>0</v>
      </c>
      <c r="K77" s="166">
        <f>'8'!K77</f>
        <v>0</v>
      </c>
      <c r="L77" s="166">
        <f>'9'!K77</f>
        <v>0</v>
      </c>
      <c r="M77" s="166">
        <f>'10'!K77</f>
        <v>0</v>
      </c>
      <c r="N77" s="166">
        <f>'11'!K77</f>
        <v>0</v>
      </c>
      <c r="O77" s="166">
        <f>'12'!K77</f>
        <v>0</v>
      </c>
      <c r="P77" s="166">
        <f>'13'!K77</f>
        <v>0</v>
      </c>
      <c r="Q77" s="166">
        <f>'14'!K77</f>
        <v>0</v>
      </c>
      <c r="R77" s="166">
        <f>'15'!K77</f>
        <v>0</v>
      </c>
      <c r="S77" s="166">
        <f>'16'!K77</f>
        <v>0</v>
      </c>
      <c r="T77" s="166">
        <f>'17'!K77</f>
        <v>0</v>
      </c>
      <c r="U77" s="166">
        <f>'18'!K77</f>
        <v>0</v>
      </c>
      <c r="V77" s="166">
        <f>'19'!K77</f>
        <v>0</v>
      </c>
      <c r="W77" s="166">
        <f>'20'!K77</f>
        <v>0</v>
      </c>
      <c r="X77" s="166">
        <f>'21'!K77</f>
        <v>0</v>
      </c>
      <c r="Y77" s="166">
        <f>'22'!K77</f>
        <v>0</v>
      </c>
      <c r="Z77" s="166">
        <f>'23'!K77</f>
        <v>0</v>
      </c>
      <c r="AA77" s="166">
        <f>'24'!K77</f>
        <v>0</v>
      </c>
      <c r="AB77" s="166">
        <f>'25'!K77</f>
        <v>0</v>
      </c>
      <c r="AC77" s="166">
        <f>'26'!K77</f>
        <v>0</v>
      </c>
      <c r="AD77" s="166">
        <f>'27'!K77</f>
        <v>0</v>
      </c>
      <c r="AE77" s="166">
        <f>'28'!K77</f>
        <v>0</v>
      </c>
      <c r="AF77" s="166">
        <f>'29'!K77</f>
        <v>0</v>
      </c>
      <c r="AG77" s="166"/>
      <c r="AH77" s="166">
        <f t="shared" si="2"/>
        <v>0</v>
      </c>
      <c r="AI77" s="58">
        <f t="shared" si="3"/>
        <v>0</v>
      </c>
    </row>
    <row r="78" spans="1:35" ht="15.75" thickBot="1" x14ac:dyDescent="0.3">
      <c r="A78" s="172"/>
      <c r="B78" s="168" t="s">
        <v>75</v>
      </c>
      <c r="C78" s="164" t="s">
        <v>6</v>
      </c>
      <c r="D78" s="165">
        <f>'1'!K78</f>
        <v>8000</v>
      </c>
      <c r="E78" s="165">
        <f>'2'!K78</f>
        <v>8000</v>
      </c>
      <c r="F78" s="165">
        <f>'3'!K78</f>
        <v>8166.666666666667</v>
      </c>
      <c r="G78" s="165">
        <f>'4'!K78</f>
        <v>8166.666666666667</v>
      </c>
      <c r="H78" s="166">
        <f>'5'!K78</f>
        <v>8166.666666666667</v>
      </c>
      <c r="I78" s="166">
        <f>'6'!K78</f>
        <v>8166.666666666667</v>
      </c>
      <c r="J78" s="166">
        <f>'7'!K78</f>
        <v>8166.666666666667</v>
      </c>
      <c r="K78" s="166">
        <f>'8'!K78</f>
        <v>8166.666666666667</v>
      </c>
      <c r="L78" s="166">
        <f>'9'!K78</f>
        <v>8166.666666666667</v>
      </c>
      <c r="M78" s="166">
        <f>'10'!K78</f>
        <v>8166.666666666667</v>
      </c>
      <c r="N78" s="166">
        <f>'11'!K78</f>
        <v>8166.666666666667</v>
      </c>
      <c r="O78" s="166">
        <f>'12'!K78</f>
        <v>8166.666666666667</v>
      </c>
      <c r="P78" s="166">
        <f>'13'!K78</f>
        <v>8166.666666666667</v>
      </c>
      <c r="Q78" s="166">
        <f>'14'!K78</f>
        <v>8166.666666666667</v>
      </c>
      <c r="R78" s="166">
        <f>'15'!K78</f>
        <v>8166.666666666667</v>
      </c>
      <c r="S78" s="166">
        <f>'16'!K78</f>
        <v>8166.666666666667</v>
      </c>
      <c r="T78" s="166">
        <f>'17'!K78</f>
        <v>8166.666666666667</v>
      </c>
      <c r="U78" s="166">
        <f>'18'!K78</f>
        <v>8166.666666666667</v>
      </c>
      <c r="V78" s="166">
        <f>'19'!K78</f>
        <v>7833.333333333333</v>
      </c>
      <c r="W78" s="166">
        <f>'20'!K78</f>
        <v>7833.333333333333</v>
      </c>
      <c r="X78" s="166">
        <f>'21'!K78</f>
        <v>7833.333333333333</v>
      </c>
      <c r="Y78" s="166">
        <f>'22'!K78</f>
        <v>7833.333333333333</v>
      </c>
      <c r="Z78" s="166">
        <f>'23'!K78</f>
        <v>7833.333333333333</v>
      </c>
      <c r="AA78" s="166">
        <f>'24'!K78</f>
        <v>7833.333333333333</v>
      </c>
      <c r="AB78" s="166">
        <f>'25'!K78</f>
        <v>7833.333333333333</v>
      </c>
      <c r="AC78" s="166">
        <f>'26'!K78</f>
        <v>8000</v>
      </c>
      <c r="AD78" s="166">
        <f>'27'!K78</f>
        <v>8000</v>
      </c>
      <c r="AE78" s="166">
        <f>'28'!K78</f>
        <v>8000</v>
      </c>
      <c r="AF78" s="166">
        <f>'29'!K78</f>
        <v>8000</v>
      </c>
      <c r="AG78" s="166"/>
      <c r="AH78" s="166">
        <f t="shared" si="2"/>
        <v>0</v>
      </c>
      <c r="AI78" s="58">
        <f t="shared" si="3"/>
        <v>8051.7241379310371</v>
      </c>
    </row>
    <row r="79" spans="1:35" ht="15.75" thickBot="1" x14ac:dyDescent="0.3">
      <c r="A79" s="172"/>
      <c r="B79" s="168" t="s">
        <v>76</v>
      </c>
      <c r="C79" s="164" t="s">
        <v>6</v>
      </c>
      <c r="D79" s="165">
        <f>'1'!K79</f>
        <v>12571.428571428571</v>
      </c>
      <c r="E79" s="165">
        <f>'2'!K79</f>
        <v>12571.428571428571</v>
      </c>
      <c r="F79" s="165">
        <f>'3'!K79</f>
        <v>12142.857142857143</v>
      </c>
      <c r="G79" s="165">
        <f>'4'!K79</f>
        <v>12142.857142857143</v>
      </c>
      <c r="H79" s="166">
        <f>'5'!K79</f>
        <v>12142.857142857143</v>
      </c>
      <c r="I79" s="166">
        <f>'6'!K79</f>
        <v>12142.857142857143</v>
      </c>
      <c r="J79" s="166">
        <f>'7'!K79</f>
        <v>12142.857142857143</v>
      </c>
      <c r="K79" s="166">
        <f>'8'!K79</f>
        <v>12142.857142857143</v>
      </c>
      <c r="L79" s="166">
        <f>'9'!K79</f>
        <v>11857.142857142857</v>
      </c>
      <c r="M79" s="166">
        <f>'10'!K79</f>
        <v>11857.142857142857</v>
      </c>
      <c r="N79" s="166">
        <f>'11'!K79</f>
        <v>11857.142857142857</v>
      </c>
      <c r="O79" s="166">
        <f>'12'!K79</f>
        <v>12142.857142857143</v>
      </c>
      <c r="P79" s="166">
        <f>'13'!K79</f>
        <v>12142.857142857143</v>
      </c>
      <c r="Q79" s="166">
        <f>'14'!K79</f>
        <v>12142.857142857143</v>
      </c>
      <c r="R79" s="166">
        <f>'15'!K79</f>
        <v>12142.857142857143</v>
      </c>
      <c r="S79" s="166">
        <f>'16'!K79</f>
        <v>12142.857142857143</v>
      </c>
      <c r="T79" s="166">
        <f>'17'!K79</f>
        <v>11285.714285714286</v>
      </c>
      <c r="U79" s="166">
        <f>'18'!K79</f>
        <v>11285.714285714286</v>
      </c>
      <c r="V79" s="166">
        <f>'19'!K79</f>
        <v>11285.714285714286</v>
      </c>
      <c r="W79" s="166">
        <f>'20'!K79</f>
        <v>11285.714285714286</v>
      </c>
      <c r="X79" s="166">
        <f>'21'!K79</f>
        <v>11285.714285714286</v>
      </c>
      <c r="Y79" s="166">
        <f>'22'!K79</f>
        <v>11285.714285714286</v>
      </c>
      <c r="Z79" s="166">
        <f>'23'!K79</f>
        <v>12000</v>
      </c>
      <c r="AA79" s="166">
        <f>'24'!K79</f>
        <v>12000</v>
      </c>
      <c r="AB79" s="166">
        <f>'25'!K79</f>
        <v>12000</v>
      </c>
      <c r="AC79" s="166">
        <f>'26'!K79</f>
        <v>12857.142857142857</v>
      </c>
      <c r="AD79" s="166">
        <f>'27'!K79</f>
        <v>12857.142857142857</v>
      </c>
      <c r="AE79" s="166">
        <f>'28'!K79</f>
        <v>12857.142857142857</v>
      </c>
      <c r="AF79" s="166">
        <f>'29'!K79</f>
        <v>12857.142857142857</v>
      </c>
      <c r="AG79" s="166"/>
      <c r="AH79" s="166">
        <f t="shared" si="2"/>
        <v>285.71428571428623</v>
      </c>
      <c r="AI79" s="58">
        <f t="shared" si="3"/>
        <v>12049.261083743841</v>
      </c>
    </row>
    <row r="80" spans="1:35" ht="15.75" thickBot="1" x14ac:dyDescent="0.3">
      <c r="A80" s="172"/>
      <c r="B80" s="168" t="s">
        <v>77</v>
      </c>
      <c r="C80" s="164" t="s">
        <v>6</v>
      </c>
      <c r="D80" s="165">
        <f>'1'!K80</f>
        <v>16285.714285714286</v>
      </c>
      <c r="E80" s="165">
        <f>'2'!K80</f>
        <v>16285.714285714286</v>
      </c>
      <c r="F80" s="165">
        <f>'3'!K80</f>
        <v>17000</v>
      </c>
      <c r="G80" s="165">
        <f>'4'!K80</f>
        <v>17000</v>
      </c>
      <c r="H80" s="166">
        <f>'5'!K80</f>
        <v>17000</v>
      </c>
      <c r="I80" s="166">
        <f>'6'!K80</f>
        <v>17000</v>
      </c>
      <c r="J80" s="166">
        <f>'7'!K80</f>
        <v>17000</v>
      </c>
      <c r="K80" s="166">
        <f>'8'!K80</f>
        <v>17000</v>
      </c>
      <c r="L80" s="166">
        <f>'9'!K80</f>
        <v>17000</v>
      </c>
      <c r="M80" s="166">
        <f>'10'!K80</f>
        <v>17000</v>
      </c>
      <c r="N80" s="166">
        <f>'11'!K80</f>
        <v>17000</v>
      </c>
      <c r="O80" s="166">
        <f>'12'!K80</f>
        <v>16714.285714285714</v>
      </c>
      <c r="P80" s="166">
        <f>'13'!K80</f>
        <v>16857.142857142859</v>
      </c>
      <c r="Q80" s="166">
        <f>'14'!K80</f>
        <v>16857.142857142859</v>
      </c>
      <c r="R80" s="166">
        <f>'15'!K80</f>
        <v>16857.142857142859</v>
      </c>
      <c r="S80" s="166">
        <f>'16'!K80</f>
        <v>17000</v>
      </c>
      <c r="T80" s="166">
        <f>'17'!K80</f>
        <v>17285.714285714286</v>
      </c>
      <c r="U80" s="166">
        <f>'18'!K80</f>
        <v>17285.714285714286</v>
      </c>
      <c r="V80" s="166">
        <f>'19'!K80</f>
        <v>17142.857142857141</v>
      </c>
      <c r="W80" s="166">
        <f>'20'!K80</f>
        <v>16857.142857142859</v>
      </c>
      <c r="X80" s="166">
        <f>'21'!K80</f>
        <v>16857.142857142859</v>
      </c>
      <c r="Y80" s="166">
        <f>'22'!K80</f>
        <v>16857.142857142859</v>
      </c>
      <c r="Z80" s="166">
        <f>'23'!K80</f>
        <v>16714.285714285714</v>
      </c>
      <c r="AA80" s="166">
        <f>'24'!K80</f>
        <v>16714.285714285714</v>
      </c>
      <c r="AB80" s="166">
        <f>'25'!K80</f>
        <v>16714.285714285714</v>
      </c>
      <c r="AC80" s="166">
        <f>'26'!K80</f>
        <v>16142.857142857143</v>
      </c>
      <c r="AD80" s="166">
        <f>'27'!K80</f>
        <v>16142.857142857143</v>
      </c>
      <c r="AE80" s="166">
        <f>'28'!K80</f>
        <v>15857.142857142857</v>
      </c>
      <c r="AF80" s="166">
        <f>'29'!K80</f>
        <v>15857.142857142857</v>
      </c>
      <c r="AG80" s="166"/>
      <c r="AH80" s="166">
        <f t="shared" si="2"/>
        <v>-428.57142857142935</v>
      </c>
      <c r="AI80" s="58">
        <f t="shared" si="3"/>
        <v>16768.472906403942</v>
      </c>
    </row>
    <row r="81" spans="1:35" ht="15.75" thickBot="1" x14ac:dyDescent="0.3">
      <c r="A81" s="172"/>
      <c r="B81" s="168" t="s">
        <v>78</v>
      </c>
      <c r="C81" s="164" t="s">
        <v>6</v>
      </c>
      <c r="D81" s="165">
        <f>'1'!K81</f>
        <v>14571.428571428571</v>
      </c>
      <c r="E81" s="165">
        <f>'2'!K81</f>
        <v>15428.571428571429</v>
      </c>
      <c r="F81" s="165">
        <f>'3'!K81</f>
        <v>18000</v>
      </c>
      <c r="G81" s="165">
        <f>'4'!K81</f>
        <v>18000</v>
      </c>
      <c r="H81" s="166">
        <f>'5'!K81</f>
        <v>17428.571428571428</v>
      </c>
      <c r="I81" s="166">
        <f>'6'!K81</f>
        <v>17428.571428571428</v>
      </c>
      <c r="J81" s="166">
        <f>'7'!K81</f>
        <v>17714.285714285714</v>
      </c>
      <c r="K81" s="166">
        <f>'8'!K81</f>
        <v>17428.571428571428</v>
      </c>
      <c r="L81" s="166">
        <f>'9'!K81</f>
        <v>17428.571428571428</v>
      </c>
      <c r="M81" s="166">
        <f>'10'!K81</f>
        <v>17428.571428571428</v>
      </c>
      <c r="N81" s="166">
        <f>'11'!K81</f>
        <v>17428.571428571428</v>
      </c>
      <c r="O81" s="166">
        <f>'12'!K81</f>
        <v>17142.857142857141</v>
      </c>
      <c r="P81" s="166">
        <f>'13'!K81</f>
        <v>17857.142857142859</v>
      </c>
      <c r="Q81" s="166">
        <f>'14'!K81</f>
        <v>17857.142857142859</v>
      </c>
      <c r="R81" s="166">
        <f>'15'!K81</f>
        <v>17857.142857142859</v>
      </c>
      <c r="S81" s="166">
        <f>'16'!K81</f>
        <v>17857.142857142859</v>
      </c>
      <c r="T81" s="166">
        <f>'17'!K81</f>
        <v>18142.857142857141</v>
      </c>
      <c r="U81" s="166">
        <f>'18'!K81</f>
        <v>18142.857142857141</v>
      </c>
      <c r="V81" s="166">
        <f>'19'!K81</f>
        <v>17142.857142857141</v>
      </c>
      <c r="W81" s="166">
        <f>'20'!K81</f>
        <v>17571.428571428572</v>
      </c>
      <c r="X81" s="166">
        <f>'21'!K81</f>
        <v>17571.428571428572</v>
      </c>
      <c r="Y81" s="166">
        <f>'22'!K81</f>
        <v>17571.428571428572</v>
      </c>
      <c r="Z81" s="166">
        <f>'23'!K81</f>
        <v>17285.714285714286</v>
      </c>
      <c r="AA81" s="166">
        <f>'24'!K81</f>
        <v>16714.285714285714</v>
      </c>
      <c r="AB81" s="166">
        <f>'25'!K81</f>
        <v>16714.285714285714</v>
      </c>
      <c r="AC81" s="166">
        <f>'26'!K81</f>
        <v>16285.714285714286</v>
      </c>
      <c r="AD81" s="166">
        <f>'27'!K81</f>
        <v>16285.714285714286</v>
      </c>
      <c r="AE81" s="166">
        <f>'28'!K81</f>
        <v>14571.428571428571</v>
      </c>
      <c r="AF81" s="166">
        <f>'29'!K81</f>
        <v>14571.428571428571</v>
      </c>
      <c r="AG81" s="166"/>
      <c r="AH81" s="166">
        <f t="shared" si="2"/>
        <v>0</v>
      </c>
      <c r="AI81" s="58">
        <f t="shared" si="3"/>
        <v>17083.743842364533</v>
      </c>
    </row>
    <row r="82" spans="1:35" ht="15.75" thickBot="1" x14ac:dyDescent="0.3">
      <c r="A82" s="172"/>
      <c r="B82" s="167" t="s">
        <v>79</v>
      </c>
      <c r="C82" s="164" t="s">
        <v>6</v>
      </c>
      <c r="D82" s="165">
        <f>'1'!K82</f>
        <v>12428.571428571429</v>
      </c>
      <c r="E82" s="165">
        <f>'2'!K82</f>
        <v>12428.571428571429</v>
      </c>
      <c r="F82" s="165">
        <f>'3'!K82</f>
        <v>13285.714285714286</v>
      </c>
      <c r="G82" s="165">
        <f>'4'!K82</f>
        <v>13285.714285714286</v>
      </c>
      <c r="H82" s="166">
        <f>'5'!K82</f>
        <v>13285.714285714286</v>
      </c>
      <c r="I82" s="166">
        <f>'6'!K82</f>
        <v>13285.714285714286</v>
      </c>
      <c r="J82" s="166">
        <f>'7'!K82</f>
        <v>13857.142857142857</v>
      </c>
      <c r="K82" s="166">
        <f>'8'!K82</f>
        <v>13857.142857142857</v>
      </c>
      <c r="L82" s="166">
        <f>'9'!K82</f>
        <v>13857.142857142857</v>
      </c>
      <c r="M82" s="166">
        <f>'10'!K82</f>
        <v>13857.142857142857</v>
      </c>
      <c r="N82" s="166">
        <f>'11'!K82</f>
        <v>13857.142857142857</v>
      </c>
      <c r="O82" s="166">
        <f>'12'!K82</f>
        <v>13571.428571428571</v>
      </c>
      <c r="P82" s="166">
        <f>'13'!K82</f>
        <v>13571.428571428571</v>
      </c>
      <c r="Q82" s="166">
        <f>'14'!K82</f>
        <v>13571.428571428571</v>
      </c>
      <c r="R82" s="166">
        <f>'15'!K82</f>
        <v>13571.428571428571</v>
      </c>
      <c r="S82" s="166">
        <f>'16'!K82</f>
        <v>13000</v>
      </c>
      <c r="T82" s="166">
        <f>'17'!K82</f>
        <v>13000</v>
      </c>
      <c r="U82" s="166">
        <f>'18'!K82</f>
        <v>13285.714285714286</v>
      </c>
      <c r="V82" s="166">
        <f>'19'!K82</f>
        <v>13285.714285714286</v>
      </c>
      <c r="W82" s="166">
        <f>'20'!K82</f>
        <v>13285.714285714286</v>
      </c>
      <c r="X82" s="166">
        <f>'21'!K82</f>
        <v>13285.714285714286</v>
      </c>
      <c r="Y82" s="166">
        <f>'22'!K82</f>
        <v>13285.714285714286</v>
      </c>
      <c r="Z82" s="166">
        <f>'23'!K82</f>
        <v>12857.142857142857</v>
      </c>
      <c r="AA82" s="166">
        <f>'24'!K82</f>
        <v>12857.142857142857</v>
      </c>
      <c r="AB82" s="166">
        <f>'25'!K82</f>
        <v>12857.142857142857</v>
      </c>
      <c r="AC82" s="166">
        <f>'26'!K82</f>
        <v>12571.428571428571</v>
      </c>
      <c r="AD82" s="166">
        <f>'27'!K82</f>
        <v>12571.428571428571</v>
      </c>
      <c r="AE82" s="166">
        <f>'28'!K82</f>
        <v>12571.428571428571</v>
      </c>
      <c r="AF82" s="166">
        <f>'29'!K82</f>
        <v>12571.428571428571</v>
      </c>
      <c r="AG82" s="166"/>
      <c r="AH82" s="166">
        <f t="shared" si="2"/>
        <v>142.8571428571413</v>
      </c>
      <c r="AI82" s="58">
        <f t="shared" si="3"/>
        <v>13201.970443349754</v>
      </c>
    </row>
    <row r="83" spans="1:35" ht="15.75" thickBot="1" x14ac:dyDescent="0.3">
      <c r="A83" s="172"/>
      <c r="B83" s="168" t="s">
        <v>80</v>
      </c>
      <c r="C83" s="164" t="s">
        <v>6</v>
      </c>
      <c r="D83" s="165">
        <f>'1'!K83</f>
        <v>8285.7142857142862</v>
      </c>
      <c r="E83" s="165">
        <f>'2'!K83</f>
        <v>8285.7142857142862</v>
      </c>
      <c r="F83" s="165">
        <f>'3'!K83</f>
        <v>8285.7142857142862</v>
      </c>
      <c r="G83" s="165">
        <f>'4'!K83</f>
        <v>8428.5714285714294</v>
      </c>
      <c r="H83" s="166">
        <f>'5'!K83</f>
        <v>8428.5714285714294</v>
      </c>
      <c r="I83" s="166">
        <f>'6'!K83</f>
        <v>8428.5714285714294</v>
      </c>
      <c r="J83" s="166">
        <f>'7'!K83</f>
        <v>8714.2857142857138</v>
      </c>
      <c r="K83" s="166">
        <f>'8'!K83</f>
        <v>8714.2857142857138</v>
      </c>
      <c r="L83" s="166">
        <f>'9'!K83</f>
        <v>8285.7142857142862</v>
      </c>
      <c r="M83" s="166">
        <f>'10'!K83</f>
        <v>8285.7142857142862</v>
      </c>
      <c r="N83" s="166">
        <f>'11'!K83</f>
        <v>8285.7142857142862</v>
      </c>
      <c r="O83" s="166">
        <f>'12'!K83</f>
        <v>8285.7142857142862</v>
      </c>
      <c r="P83" s="166">
        <f>'13'!K83</f>
        <v>8285.7142857142862</v>
      </c>
      <c r="Q83" s="166">
        <f>'14'!K83</f>
        <v>8285.7142857142862</v>
      </c>
      <c r="R83" s="166">
        <f>'15'!K83</f>
        <v>8285.7142857142862</v>
      </c>
      <c r="S83" s="166">
        <f>'16'!K83</f>
        <v>8285.7142857142862</v>
      </c>
      <c r="T83" s="166">
        <f>'17'!K83</f>
        <v>8285.7142857142862</v>
      </c>
      <c r="U83" s="166">
        <f>'18'!K83</f>
        <v>8285.7142857142862</v>
      </c>
      <c r="V83" s="166">
        <f>'19'!K83</f>
        <v>8285.7142857142862</v>
      </c>
      <c r="W83" s="166">
        <f>'20'!K83</f>
        <v>8285.7142857142862</v>
      </c>
      <c r="X83" s="166">
        <f>'21'!K83</f>
        <v>8285.7142857142862</v>
      </c>
      <c r="Y83" s="166">
        <f>'22'!K83</f>
        <v>8285.7142857142862</v>
      </c>
      <c r="Z83" s="166">
        <f>'23'!K83</f>
        <v>8285.7142857142862</v>
      </c>
      <c r="AA83" s="166">
        <f>'24'!K83</f>
        <v>8285.7142857142862</v>
      </c>
      <c r="AB83" s="166">
        <f>'25'!K83</f>
        <v>8285.7142857142862</v>
      </c>
      <c r="AC83" s="166">
        <f>'26'!K83</f>
        <v>8142.8571428571431</v>
      </c>
      <c r="AD83" s="166">
        <f>'27'!K83</f>
        <v>8142.8571428571431</v>
      </c>
      <c r="AE83" s="166">
        <f>'28'!K83</f>
        <v>8142.8571428571431</v>
      </c>
      <c r="AF83" s="166">
        <f>'29'!K83</f>
        <v>8142.8571428571431</v>
      </c>
      <c r="AG83" s="166"/>
      <c r="AH83" s="166">
        <f t="shared" si="2"/>
        <v>-142.85714285714312</v>
      </c>
      <c r="AI83" s="58">
        <f t="shared" si="3"/>
        <v>8310.3448275862065</v>
      </c>
    </row>
    <row r="84" spans="1:35" ht="15.75" thickBot="1" x14ac:dyDescent="0.3">
      <c r="A84" s="173"/>
      <c r="B84" s="174" t="s">
        <v>81</v>
      </c>
      <c r="C84" s="175" t="s">
        <v>82</v>
      </c>
      <c r="D84" s="165">
        <f>'1'!K84</f>
        <v>1714.2857142857142</v>
      </c>
      <c r="E84" s="165">
        <f>'2'!K84</f>
        <v>1714.2857142857142</v>
      </c>
      <c r="F84" s="165">
        <f>'3'!K84</f>
        <v>1714.2857142857142</v>
      </c>
      <c r="G84" s="165">
        <f>'4'!K84</f>
        <v>1714.2857142857142</v>
      </c>
      <c r="H84" s="166">
        <f>'5'!K84</f>
        <v>1714.2857142857142</v>
      </c>
      <c r="I84" s="166">
        <f>'6'!K84</f>
        <v>1714.2857142857142</v>
      </c>
      <c r="J84" s="166">
        <f>'7'!K84</f>
        <v>1785.7142857142858</v>
      </c>
      <c r="K84" s="166">
        <f>'8'!K84</f>
        <v>1785.7142857142858</v>
      </c>
      <c r="L84" s="166">
        <f>'9'!K84</f>
        <v>1785.7142857142858</v>
      </c>
      <c r="M84" s="166">
        <f>'10'!K84</f>
        <v>1785.7142857142858</v>
      </c>
      <c r="N84" s="166">
        <f>'11'!K84</f>
        <v>1785.7142857142858</v>
      </c>
      <c r="O84" s="166">
        <f>'12'!K84</f>
        <v>1785.7142857142858</v>
      </c>
      <c r="P84" s="166">
        <f>'13'!K84</f>
        <v>1785.7142857142858</v>
      </c>
      <c r="Q84" s="166">
        <f>'14'!K84</f>
        <v>1785.7142857142858</v>
      </c>
      <c r="R84" s="166">
        <f>'15'!K84</f>
        <v>1785.7142857142858</v>
      </c>
      <c r="S84" s="166">
        <f>'16'!K84</f>
        <v>1785.7142857142858</v>
      </c>
      <c r="T84" s="166">
        <f>'17'!K84</f>
        <v>1785.7142857142858</v>
      </c>
      <c r="U84" s="166">
        <f>'18'!K84</f>
        <v>1785.7142857142858</v>
      </c>
      <c r="V84" s="166">
        <f>'19'!K84</f>
        <v>1785.7142857142858</v>
      </c>
      <c r="W84" s="166">
        <f>'20'!K84</f>
        <v>1785.7142857142858</v>
      </c>
      <c r="X84" s="166">
        <f>'21'!K84</f>
        <v>1785.7142857142858</v>
      </c>
      <c r="Y84" s="166">
        <f>'22'!K84</f>
        <v>1785.7142857142858</v>
      </c>
      <c r="Z84" s="166">
        <f>'23'!K84</f>
        <v>1785.7142857142858</v>
      </c>
      <c r="AA84" s="166">
        <f>'24'!K84</f>
        <v>1785.7142857142858</v>
      </c>
      <c r="AB84" s="166">
        <f>'25'!K84</f>
        <v>1785.7142857142858</v>
      </c>
      <c r="AC84" s="166">
        <f>'26'!K84</f>
        <v>1785.7142857142858</v>
      </c>
      <c r="AD84" s="166">
        <f>'27'!K84</f>
        <v>1785.7142857142858</v>
      </c>
      <c r="AE84" s="166">
        <f>'28'!K84</f>
        <v>1785.7142857142858</v>
      </c>
      <c r="AF84" s="166">
        <f>'29'!K84</f>
        <v>1785.7142857142858</v>
      </c>
      <c r="AG84" s="176"/>
      <c r="AH84" s="166">
        <f t="shared" si="2"/>
        <v>71.428571428571558</v>
      </c>
      <c r="AI84" s="58">
        <f t="shared" si="3"/>
        <v>1770.935960591132</v>
      </c>
    </row>
    <row r="85" spans="1:35" ht="15.75" thickBot="1" x14ac:dyDescent="0.3">
      <c r="A85" s="173"/>
      <c r="B85" s="167" t="s">
        <v>83</v>
      </c>
      <c r="C85" s="175" t="s">
        <v>82</v>
      </c>
      <c r="D85" s="165">
        <f>'1'!K85</f>
        <v>1428.5714285714287</v>
      </c>
      <c r="E85" s="165">
        <f>'2'!K85</f>
        <v>1428.5714285714287</v>
      </c>
      <c r="F85" s="165">
        <f>'3'!K85</f>
        <v>1428.5714285714287</v>
      </c>
      <c r="G85" s="165">
        <f>'4'!K85</f>
        <v>1428.5714285714287</v>
      </c>
      <c r="H85" s="166">
        <f>'5'!K85</f>
        <v>1428.5714285714287</v>
      </c>
      <c r="I85" s="166">
        <f>'6'!K85</f>
        <v>1428.5714285714287</v>
      </c>
      <c r="J85" s="166">
        <f>'7'!K85</f>
        <v>1500</v>
      </c>
      <c r="K85" s="166">
        <f>'8'!K85</f>
        <v>1500</v>
      </c>
      <c r="L85" s="166">
        <f>'9'!K85</f>
        <v>1500</v>
      </c>
      <c r="M85" s="166">
        <f>'10'!K85</f>
        <v>1500</v>
      </c>
      <c r="N85" s="166">
        <f>'11'!K85</f>
        <v>1500</v>
      </c>
      <c r="O85" s="166">
        <f>'12'!K85</f>
        <v>1500</v>
      </c>
      <c r="P85" s="166">
        <f>'13'!K85</f>
        <v>1500</v>
      </c>
      <c r="Q85" s="166">
        <f>'14'!K85</f>
        <v>1500</v>
      </c>
      <c r="R85" s="166">
        <f>'15'!K85</f>
        <v>1500</v>
      </c>
      <c r="S85" s="166">
        <f>'16'!K85</f>
        <v>1500</v>
      </c>
      <c r="T85" s="166">
        <f>'17'!K85</f>
        <v>1500</v>
      </c>
      <c r="U85" s="166">
        <f>'18'!K85</f>
        <v>1500</v>
      </c>
      <c r="V85" s="166">
        <f>'19'!K85</f>
        <v>1500</v>
      </c>
      <c r="W85" s="166">
        <f>'20'!K85</f>
        <v>1500</v>
      </c>
      <c r="X85" s="166">
        <f>'21'!K85</f>
        <v>1500</v>
      </c>
      <c r="Y85" s="166">
        <f>'22'!K85</f>
        <v>1500</v>
      </c>
      <c r="Z85" s="166">
        <f>'23'!K85</f>
        <v>1500</v>
      </c>
      <c r="AA85" s="166">
        <f>'24'!K85</f>
        <v>1500</v>
      </c>
      <c r="AB85" s="166">
        <f>'25'!K85</f>
        <v>1500</v>
      </c>
      <c r="AC85" s="166">
        <f>'26'!K85</f>
        <v>1500</v>
      </c>
      <c r="AD85" s="166">
        <f>'27'!K85</f>
        <v>1500</v>
      </c>
      <c r="AE85" s="166">
        <f>'28'!K85</f>
        <v>1500</v>
      </c>
      <c r="AF85" s="166">
        <f>'29'!K85</f>
        <v>1500</v>
      </c>
      <c r="AG85" s="176"/>
      <c r="AH85" s="166">
        <f t="shared" si="2"/>
        <v>71.428571428571331</v>
      </c>
      <c r="AI85" s="58">
        <f t="shared" si="3"/>
        <v>1485.2216748768474</v>
      </c>
    </row>
    <row r="86" spans="1:35" ht="15.75" thickBot="1" x14ac:dyDescent="0.3">
      <c r="A86" s="173"/>
      <c r="B86" s="174" t="s">
        <v>84</v>
      </c>
      <c r="C86" s="175" t="s">
        <v>82</v>
      </c>
      <c r="D86" s="165">
        <f>'1'!K86</f>
        <v>2166.6666666666665</v>
      </c>
      <c r="E86" s="165">
        <f>'2'!K86</f>
        <v>2166.6666666666665</v>
      </c>
      <c r="F86" s="165">
        <f>'3'!K86</f>
        <v>2166.6666666666665</v>
      </c>
      <c r="G86" s="165">
        <f>'4'!K86</f>
        <v>2166.6666666666665</v>
      </c>
      <c r="H86" s="166">
        <f>'5'!K86</f>
        <v>2166.6666666666665</v>
      </c>
      <c r="I86" s="166">
        <f>'6'!K86</f>
        <v>2166.6666666666665</v>
      </c>
      <c r="J86" s="166">
        <f>'7'!K86</f>
        <v>2166.6666666666665</v>
      </c>
      <c r="K86" s="166">
        <f>'8'!K86</f>
        <v>2166.6666666666665</v>
      </c>
      <c r="L86" s="166">
        <f>'9'!K86</f>
        <v>2166.6666666666665</v>
      </c>
      <c r="M86" s="166">
        <f>'10'!K86</f>
        <v>2166.6666666666665</v>
      </c>
      <c r="N86" s="166">
        <f>'11'!K86</f>
        <v>2166.6666666666665</v>
      </c>
      <c r="O86" s="166">
        <f>'12'!K86</f>
        <v>2166.6666666666665</v>
      </c>
      <c r="P86" s="166">
        <f>'13'!K86</f>
        <v>2166.6666666666665</v>
      </c>
      <c r="Q86" s="166">
        <f>'14'!K86</f>
        <v>2166.6666666666665</v>
      </c>
      <c r="R86" s="166">
        <f>'15'!K86</f>
        <v>2166.6666666666665</v>
      </c>
      <c r="S86" s="166">
        <f>'16'!K86</f>
        <v>2166.6666666666665</v>
      </c>
      <c r="T86" s="166">
        <f>'17'!K86</f>
        <v>2166.6666666666665</v>
      </c>
      <c r="U86" s="166">
        <f>'18'!K86</f>
        <v>2166.6666666666665</v>
      </c>
      <c r="V86" s="166">
        <f>'19'!K86</f>
        <v>2166.6666666666665</v>
      </c>
      <c r="W86" s="166">
        <f>'20'!K86</f>
        <v>2166.6666666666665</v>
      </c>
      <c r="X86" s="166">
        <f>'21'!K86</f>
        <v>2166.6666666666665</v>
      </c>
      <c r="Y86" s="166">
        <f>'22'!K86</f>
        <v>2166.6666666666665</v>
      </c>
      <c r="Z86" s="166">
        <f>'23'!K86</f>
        <v>2166.6666666666665</v>
      </c>
      <c r="AA86" s="166">
        <f>'24'!K86</f>
        <v>2166.6666666666665</v>
      </c>
      <c r="AB86" s="166">
        <f>'25'!K86</f>
        <v>2166.6666666666665</v>
      </c>
      <c r="AC86" s="166">
        <f>'26'!K86</f>
        <v>2166.6666666666665</v>
      </c>
      <c r="AD86" s="166">
        <f>'27'!K86</f>
        <v>2166.6666666666665</v>
      </c>
      <c r="AE86" s="166">
        <f>'28'!K86</f>
        <v>2166.6666666666665</v>
      </c>
      <c r="AF86" s="166">
        <f>'29'!K86</f>
        <v>2166.6666666666665</v>
      </c>
      <c r="AG86" s="176"/>
      <c r="AH86" s="166">
        <f t="shared" si="2"/>
        <v>0</v>
      </c>
      <c r="AI86" s="58">
        <f t="shared" si="3"/>
        <v>2166.6666666666656</v>
      </c>
    </row>
    <row r="87" spans="1:35" ht="15.75" thickBot="1" x14ac:dyDescent="0.3">
      <c r="A87" s="173"/>
      <c r="B87" s="177" t="s">
        <v>85</v>
      </c>
      <c r="C87" s="178"/>
      <c r="D87" s="165">
        <f>'1'!K87</f>
        <v>0</v>
      </c>
      <c r="E87" s="165">
        <f>'2'!K87</f>
        <v>0</v>
      </c>
      <c r="F87" s="165">
        <f>'3'!K87</f>
        <v>0</v>
      </c>
      <c r="G87" s="165">
        <f>'4'!K87</f>
        <v>0</v>
      </c>
      <c r="H87" s="166">
        <f>'5'!K87</f>
        <v>0</v>
      </c>
      <c r="I87" s="166">
        <f>'6'!K87</f>
        <v>0</v>
      </c>
      <c r="J87" s="166">
        <f>'7'!K87</f>
        <v>0</v>
      </c>
      <c r="K87" s="166">
        <f>'8'!K87</f>
        <v>0</v>
      </c>
      <c r="L87" s="166">
        <f>'9'!K87</f>
        <v>0</v>
      </c>
      <c r="M87" s="166">
        <f>'10'!K87</f>
        <v>0</v>
      </c>
      <c r="N87" s="166">
        <f>'11'!K87</f>
        <v>0</v>
      </c>
      <c r="O87" s="166">
        <f>'12'!K87</f>
        <v>0</v>
      </c>
      <c r="P87" s="166">
        <f>'13'!K87</f>
        <v>0</v>
      </c>
      <c r="Q87" s="166">
        <f>'14'!K87</f>
        <v>0</v>
      </c>
      <c r="R87" s="166">
        <f>'15'!K87</f>
        <v>0</v>
      </c>
      <c r="S87" s="166">
        <f>'16'!K87</f>
        <v>0</v>
      </c>
      <c r="T87" s="166">
        <f>'17'!K87</f>
        <v>0</v>
      </c>
      <c r="U87" s="166">
        <f>'18'!K87</f>
        <v>0</v>
      </c>
      <c r="V87" s="166">
        <f>'19'!K87</f>
        <v>0</v>
      </c>
      <c r="W87" s="166">
        <f>'20'!K87</f>
        <v>0</v>
      </c>
      <c r="X87" s="166">
        <f>'21'!K87</f>
        <v>0</v>
      </c>
      <c r="Y87" s="166">
        <f>'22'!K87</f>
        <v>0</v>
      </c>
      <c r="Z87" s="166">
        <f>'23'!K87</f>
        <v>0</v>
      </c>
      <c r="AA87" s="166">
        <f>'24'!K87</f>
        <v>0</v>
      </c>
      <c r="AB87" s="166">
        <f>'25'!K87</f>
        <v>0</v>
      </c>
      <c r="AC87" s="166">
        <f>'26'!K87</f>
        <v>0</v>
      </c>
      <c r="AD87" s="166">
        <f>'27'!K87</f>
        <v>0</v>
      </c>
      <c r="AE87" s="166">
        <f>'28'!K87</f>
        <v>0</v>
      </c>
      <c r="AF87" s="166">
        <f>'29'!K87</f>
        <v>0</v>
      </c>
      <c r="AG87" s="176"/>
      <c r="AH87" s="166">
        <f t="shared" si="2"/>
        <v>0</v>
      </c>
      <c r="AI87" s="58">
        <f t="shared" si="3"/>
        <v>0</v>
      </c>
    </row>
    <row r="88" spans="1:35" ht="15.75" thickBot="1" x14ac:dyDescent="0.3">
      <c r="A88" s="173"/>
      <c r="B88" s="174" t="s">
        <v>86</v>
      </c>
      <c r="C88" s="175" t="s">
        <v>87</v>
      </c>
      <c r="D88" s="165">
        <f>'1'!K88</f>
        <v>17750</v>
      </c>
      <c r="E88" s="165">
        <f>'2'!K88</f>
        <v>17750</v>
      </c>
      <c r="F88" s="165">
        <f>'3'!K88</f>
        <v>17750</v>
      </c>
      <c r="G88" s="165">
        <f>'4'!K88</f>
        <v>17750</v>
      </c>
      <c r="H88" s="166">
        <f>'5'!K88</f>
        <v>17750</v>
      </c>
      <c r="I88" s="166">
        <f>'6'!K88</f>
        <v>17750</v>
      </c>
      <c r="J88" s="166">
        <f>'7'!K88</f>
        <v>17750</v>
      </c>
      <c r="K88" s="166">
        <f>'8'!K88</f>
        <v>17750</v>
      </c>
      <c r="L88" s="166">
        <f>'9'!K88</f>
        <v>17750</v>
      </c>
      <c r="M88" s="166">
        <f>'10'!K88</f>
        <v>17750</v>
      </c>
      <c r="N88" s="166">
        <f>'11'!K88</f>
        <v>17750</v>
      </c>
      <c r="O88" s="166">
        <f>'12'!K88</f>
        <v>17750</v>
      </c>
      <c r="P88" s="166">
        <f>'13'!K88</f>
        <v>17750</v>
      </c>
      <c r="Q88" s="166">
        <f>'14'!K88</f>
        <v>17750</v>
      </c>
      <c r="R88" s="166">
        <f>'15'!K88</f>
        <v>17750</v>
      </c>
      <c r="S88" s="166">
        <f>'16'!K88</f>
        <v>17750</v>
      </c>
      <c r="T88" s="166">
        <f>'17'!K88</f>
        <v>17750</v>
      </c>
      <c r="U88" s="166">
        <f>'18'!K88</f>
        <v>17750</v>
      </c>
      <c r="V88" s="166">
        <f>'19'!K88</f>
        <v>17750</v>
      </c>
      <c r="W88" s="166">
        <f>'20'!K88</f>
        <v>17750</v>
      </c>
      <c r="X88" s="166">
        <f>'21'!K88</f>
        <v>17750</v>
      </c>
      <c r="Y88" s="166">
        <f>'22'!K88</f>
        <v>17750</v>
      </c>
      <c r="Z88" s="166">
        <f>'23'!K88</f>
        <v>17750</v>
      </c>
      <c r="AA88" s="166">
        <f>'24'!K88</f>
        <v>17750</v>
      </c>
      <c r="AB88" s="166">
        <f>'25'!K88</f>
        <v>17750</v>
      </c>
      <c r="AC88" s="166">
        <f>'26'!K88</f>
        <v>17750</v>
      </c>
      <c r="AD88" s="166">
        <f>'27'!K88</f>
        <v>17750</v>
      </c>
      <c r="AE88" s="166">
        <f>'28'!K88</f>
        <v>17750</v>
      </c>
      <c r="AF88" s="166">
        <f>'29'!K88</f>
        <v>17750</v>
      </c>
      <c r="AG88" s="176"/>
      <c r="AH88" s="166">
        <f t="shared" si="2"/>
        <v>0</v>
      </c>
      <c r="AI88" s="58">
        <f t="shared" si="3"/>
        <v>17750</v>
      </c>
    </row>
  </sheetData>
  <mergeCells count="19">
    <mergeCell ref="A46:A48"/>
    <mergeCell ref="A26:A32"/>
    <mergeCell ref="A33:A35"/>
    <mergeCell ref="A36:A38"/>
    <mergeCell ref="A39:A42"/>
    <mergeCell ref="A43:A45"/>
    <mergeCell ref="A7:A12"/>
    <mergeCell ref="A13:A15"/>
    <mergeCell ref="A16:A18"/>
    <mergeCell ref="A19:A20"/>
    <mergeCell ref="A21:A25"/>
    <mergeCell ref="AG4:AG6"/>
    <mergeCell ref="AH4:AH6"/>
    <mergeCell ref="A1:AH1"/>
    <mergeCell ref="A2:AH2"/>
    <mergeCell ref="A3:AH3"/>
    <mergeCell ref="A4:A6"/>
    <mergeCell ref="B4:B6"/>
    <mergeCell ref="C4:C6"/>
  </mergeCells>
  <pageMargins left="0.7" right="0.7" top="0.25" bottom="0.25" header="0.3" footer="0.3"/>
  <pageSetup paperSize="5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3E8D8-2F76-4D61-905D-764A3B8E5823}">
  <dimension ref="A1:AG265"/>
  <sheetViews>
    <sheetView topLeftCell="O1" workbookViewId="0">
      <selection activeCell="AI4" sqref="AI4"/>
    </sheetView>
  </sheetViews>
  <sheetFormatPr defaultRowHeight="15" x14ac:dyDescent="0.25"/>
  <cols>
    <col min="1" max="1" width="32.25" style="2" customWidth="1"/>
    <col min="2" max="2" width="13" style="2" customWidth="1"/>
    <col min="3" max="15" width="9.125" style="2"/>
    <col min="16" max="33" width="8.875" style="2" customWidth="1"/>
    <col min="34" max="35" width="8.125" style="2" customWidth="1"/>
    <col min="36" max="251" width="9.125" style="2"/>
    <col min="252" max="252" width="3.375" style="2" customWidth="1"/>
    <col min="253" max="253" width="32.25" style="2" customWidth="1"/>
    <col min="254" max="254" width="13" style="2" customWidth="1"/>
    <col min="255" max="261" width="9.625" style="2" customWidth="1"/>
    <col min="262" max="263" width="11.375" style="2" customWidth="1"/>
    <col min="264" max="265" width="9.125" style="2"/>
    <col min="266" max="266" width="18.375" style="2" customWidth="1"/>
    <col min="267" max="507" width="9.125" style="2"/>
    <col min="508" max="508" width="3.375" style="2" customWidth="1"/>
    <col min="509" max="509" width="32.25" style="2" customWidth="1"/>
    <col min="510" max="510" width="13" style="2" customWidth="1"/>
    <col min="511" max="517" width="9.625" style="2" customWidth="1"/>
    <col min="518" max="519" width="11.375" style="2" customWidth="1"/>
    <col min="520" max="521" width="9.125" style="2"/>
    <col min="522" max="522" width="18.375" style="2" customWidth="1"/>
    <col min="523" max="763" width="9.125" style="2"/>
    <col min="764" max="764" width="3.375" style="2" customWidth="1"/>
    <col min="765" max="765" width="32.25" style="2" customWidth="1"/>
    <col min="766" max="766" width="13" style="2" customWidth="1"/>
    <col min="767" max="773" width="9.625" style="2" customWidth="1"/>
    <col min="774" max="775" width="11.375" style="2" customWidth="1"/>
    <col min="776" max="777" width="9.125" style="2"/>
    <col min="778" max="778" width="18.375" style="2" customWidth="1"/>
    <col min="779" max="1019" width="9.125" style="2"/>
    <col min="1020" max="1020" width="3.375" style="2" customWidth="1"/>
    <col min="1021" max="1021" width="32.25" style="2" customWidth="1"/>
    <col min="1022" max="1022" width="13" style="2" customWidth="1"/>
    <col min="1023" max="1029" width="9.625" style="2" customWidth="1"/>
    <col min="1030" max="1031" width="11.375" style="2" customWidth="1"/>
    <col min="1032" max="1033" width="9.125" style="2"/>
    <col min="1034" max="1034" width="18.375" style="2" customWidth="1"/>
    <col min="1035" max="1275" width="9.125" style="2"/>
    <col min="1276" max="1276" width="3.375" style="2" customWidth="1"/>
    <col min="1277" max="1277" width="32.25" style="2" customWidth="1"/>
    <col min="1278" max="1278" width="13" style="2" customWidth="1"/>
    <col min="1279" max="1285" width="9.625" style="2" customWidth="1"/>
    <col min="1286" max="1287" width="11.375" style="2" customWidth="1"/>
    <col min="1288" max="1289" width="9.125" style="2"/>
    <col min="1290" max="1290" width="18.375" style="2" customWidth="1"/>
    <col min="1291" max="1531" width="9.125" style="2"/>
    <col min="1532" max="1532" width="3.375" style="2" customWidth="1"/>
    <col min="1533" max="1533" width="32.25" style="2" customWidth="1"/>
    <col min="1534" max="1534" width="13" style="2" customWidth="1"/>
    <col min="1535" max="1541" width="9.625" style="2" customWidth="1"/>
    <col min="1542" max="1543" width="11.375" style="2" customWidth="1"/>
    <col min="1544" max="1545" width="9.125" style="2"/>
    <col min="1546" max="1546" width="18.375" style="2" customWidth="1"/>
    <col min="1547" max="1787" width="9.125" style="2"/>
    <col min="1788" max="1788" width="3.375" style="2" customWidth="1"/>
    <col min="1789" max="1789" width="32.25" style="2" customWidth="1"/>
    <col min="1790" max="1790" width="13" style="2" customWidth="1"/>
    <col min="1791" max="1797" width="9.625" style="2" customWidth="1"/>
    <col min="1798" max="1799" width="11.375" style="2" customWidth="1"/>
    <col min="1800" max="1801" width="9.125" style="2"/>
    <col min="1802" max="1802" width="18.375" style="2" customWidth="1"/>
    <col min="1803" max="2043" width="9.125" style="2"/>
    <col min="2044" max="2044" width="3.375" style="2" customWidth="1"/>
    <col min="2045" max="2045" width="32.25" style="2" customWidth="1"/>
    <col min="2046" max="2046" width="13" style="2" customWidth="1"/>
    <col min="2047" max="2053" width="9.625" style="2" customWidth="1"/>
    <col min="2054" max="2055" width="11.375" style="2" customWidth="1"/>
    <col min="2056" max="2057" width="9.125" style="2"/>
    <col min="2058" max="2058" width="18.375" style="2" customWidth="1"/>
    <col min="2059" max="2299" width="9.125" style="2"/>
    <col min="2300" max="2300" width="3.375" style="2" customWidth="1"/>
    <col min="2301" max="2301" width="32.25" style="2" customWidth="1"/>
    <col min="2302" max="2302" width="13" style="2" customWidth="1"/>
    <col min="2303" max="2309" width="9.625" style="2" customWidth="1"/>
    <col min="2310" max="2311" width="11.375" style="2" customWidth="1"/>
    <col min="2312" max="2313" width="9.125" style="2"/>
    <col min="2314" max="2314" width="18.375" style="2" customWidth="1"/>
    <col min="2315" max="2555" width="9.125" style="2"/>
    <col min="2556" max="2556" width="3.375" style="2" customWidth="1"/>
    <col min="2557" max="2557" width="32.25" style="2" customWidth="1"/>
    <col min="2558" max="2558" width="13" style="2" customWidth="1"/>
    <col min="2559" max="2565" width="9.625" style="2" customWidth="1"/>
    <col min="2566" max="2567" width="11.375" style="2" customWidth="1"/>
    <col min="2568" max="2569" width="9.125" style="2"/>
    <col min="2570" max="2570" width="18.375" style="2" customWidth="1"/>
    <col min="2571" max="2811" width="9.125" style="2"/>
    <col min="2812" max="2812" width="3.375" style="2" customWidth="1"/>
    <col min="2813" max="2813" width="32.25" style="2" customWidth="1"/>
    <col min="2814" max="2814" width="13" style="2" customWidth="1"/>
    <col min="2815" max="2821" width="9.625" style="2" customWidth="1"/>
    <col min="2822" max="2823" width="11.375" style="2" customWidth="1"/>
    <col min="2824" max="2825" width="9.125" style="2"/>
    <col min="2826" max="2826" width="18.375" style="2" customWidth="1"/>
    <col min="2827" max="3067" width="9.125" style="2"/>
    <col min="3068" max="3068" width="3.375" style="2" customWidth="1"/>
    <col min="3069" max="3069" width="32.25" style="2" customWidth="1"/>
    <col min="3070" max="3070" width="13" style="2" customWidth="1"/>
    <col min="3071" max="3077" width="9.625" style="2" customWidth="1"/>
    <col min="3078" max="3079" width="11.375" style="2" customWidth="1"/>
    <col min="3080" max="3081" width="9.125" style="2"/>
    <col min="3082" max="3082" width="18.375" style="2" customWidth="1"/>
    <col min="3083" max="3323" width="9.125" style="2"/>
    <col min="3324" max="3324" width="3.375" style="2" customWidth="1"/>
    <col min="3325" max="3325" width="32.25" style="2" customWidth="1"/>
    <col min="3326" max="3326" width="13" style="2" customWidth="1"/>
    <col min="3327" max="3333" width="9.625" style="2" customWidth="1"/>
    <col min="3334" max="3335" width="11.375" style="2" customWidth="1"/>
    <col min="3336" max="3337" width="9.125" style="2"/>
    <col min="3338" max="3338" width="18.375" style="2" customWidth="1"/>
    <col min="3339" max="3579" width="9.125" style="2"/>
    <col min="3580" max="3580" width="3.375" style="2" customWidth="1"/>
    <col min="3581" max="3581" width="32.25" style="2" customWidth="1"/>
    <col min="3582" max="3582" width="13" style="2" customWidth="1"/>
    <col min="3583" max="3589" width="9.625" style="2" customWidth="1"/>
    <col min="3590" max="3591" width="11.375" style="2" customWidth="1"/>
    <col min="3592" max="3593" width="9.125" style="2"/>
    <col min="3594" max="3594" width="18.375" style="2" customWidth="1"/>
    <col min="3595" max="3835" width="9.125" style="2"/>
    <col min="3836" max="3836" width="3.375" style="2" customWidth="1"/>
    <col min="3837" max="3837" width="32.25" style="2" customWidth="1"/>
    <col min="3838" max="3838" width="13" style="2" customWidth="1"/>
    <col min="3839" max="3845" width="9.625" style="2" customWidth="1"/>
    <col min="3846" max="3847" width="11.375" style="2" customWidth="1"/>
    <col min="3848" max="3849" width="9.125" style="2"/>
    <col min="3850" max="3850" width="18.375" style="2" customWidth="1"/>
    <col min="3851" max="4091" width="9.125" style="2"/>
    <col min="4092" max="4092" width="3.375" style="2" customWidth="1"/>
    <col min="4093" max="4093" width="32.25" style="2" customWidth="1"/>
    <col min="4094" max="4094" width="13" style="2" customWidth="1"/>
    <col min="4095" max="4101" width="9.625" style="2" customWidth="1"/>
    <col min="4102" max="4103" width="11.375" style="2" customWidth="1"/>
    <col min="4104" max="4105" width="9.125" style="2"/>
    <col min="4106" max="4106" width="18.375" style="2" customWidth="1"/>
    <col min="4107" max="4347" width="9.125" style="2"/>
    <col min="4348" max="4348" width="3.375" style="2" customWidth="1"/>
    <col min="4349" max="4349" width="32.25" style="2" customWidth="1"/>
    <col min="4350" max="4350" width="13" style="2" customWidth="1"/>
    <col min="4351" max="4357" width="9.625" style="2" customWidth="1"/>
    <col min="4358" max="4359" width="11.375" style="2" customWidth="1"/>
    <col min="4360" max="4361" width="9.125" style="2"/>
    <col min="4362" max="4362" width="18.375" style="2" customWidth="1"/>
    <col min="4363" max="4603" width="9.125" style="2"/>
    <col min="4604" max="4604" width="3.375" style="2" customWidth="1"/>
    <col min="4605" max="4605" width="32.25" style="2" customWidth="1"/>
    <col min="4606" max="4606" width="13" style="2" customWidth="1"/>
    <col min="4607" max="4613" width="9.625" style="2" customWidth="1"/>
    <col min="4614" max="4615" width="11.375" style="2" customWidth="1"/>
    <col min="4616" max="4617" width="9.125" style="2"/>
    <col min="4618" max="4618" width="18.375" style="2" customWidth="1"/>
    <col min="4619" max="4859" width="9.125" style="2"/>
    <col min="4860" max="4860" width="3.375" style="2" customWidth="1"/>
    <col min="4861" max="4861" width="32.25" style="2" customWidth="1"/>
    <col min="4862" max="4862" width="13" style="2" customWidth="1"/>
    <col min="4863" max="4869" width="9.625" style="2" customWidth="1"/>
    <col min="4870" max="4871" width="11.375" style="2" customWidth="1"/>
    <col min="4872" max="4873" width="9.125" style="2"/>
    <col min="4874" max="4874" width="18.375" style="2" customWidth="1"/>
    <col min="4875" max="5115" width="9.125" style="2"/>
    <col min="5116" max="5116" width="3.375" style="2" customWidth="1"/>
    <col min="5117" max="5117" width="32.25" style="2" customWidth="1"/>
    <col min="5118" max="5118" width="13" style="2" customWidth="1"/>
    <col min="5119" max="5125" width="9.625" style="2" customWidth="1"/>
    <col min="5126" max="5127" width="11.375" style="2" customWidth="1"/>
    <col min="5128" max="5129" width="9.125" style="2"/>
    <col min="5130" max="5130" width="18.375" style="2" customWidth="1"/>
    <col min="5131" max="5371" width="9.125" style="2"/>
    <col min="5372" max="5372" width="3.375" style="2" customWidth="1"/>
    <col min="5373" max="5373" width="32.25" style="2" customWidth="1"/>
    <col min="5374" max="5374" width="13" style="2" customWidth="1"/>
    <col min="5375" max="5381" width="9.625" style="2" customWidth="1"/>
    <col min="5382" max="5383" width="11.375" style="2" customWidth="1"/>
    <col min="5384" max="5385" width="9.125" style="2"/>
    <col min="5386" max="5386" width="18.375" style="2" customWidth="1"/>
    <col min="5387" max="5627" width="9.125" style="2"/>
    <col min="5628" max="5628" width="3.375" style="2" customWidth="1"/>
    <col min="5629" max="5629" width="32.25" style="2" customWidth="1"/>
    <col min="5630" max="5630" width="13" style="2" customWidth="1"/>
    <col min="5631" max="5637" width="9.625" style="2" customWidth="1"/>
    <col min="5638" max="5639" width="11.375" style="2" customWidth="1"/>
    <col min="5640" max="5641" width="9.125" style="2"/>
    <col min="5642" max="5642" width="18.375" style="2" customWidth="1"/>
    <col min="5643" max="5883" width="9.125" style="2"/>
    <col min="5884" max="5884" width="3.375" style="2" customWidth="1"/>
    <col min="5885" max="5885" width="32.25" style="2" customWidth="1"/>
    <col min="5886" max="5886" width="13" style="2" customWidth="1"/>
    <col min="5887" max="5893" width="9.625" style="2" customWidth="1"/>
    <col min="5894" max="5895" width="11.375" style="2" customWidth="1"/>
    <col min="5896" max="5897" width="9.125" style="2"/>
    <col min="5898" max="5898" width="18.375" style="2" customWidth="1"/>
    <col min="5899" max="6139" width="9.125" style="2"/>
    <col min="6140" max="6140" width="3.375" style="2" customWidth="1"/>
    <col min="6141" max="6141" width="32.25" style="2" customWidth="1"/>
    <col min="6142" max="6142" width="13" style="2" customWidth="1"/>
    <col min="6143" max="6149" width="9.625" style="2" customWidth="1"/>
    <col min="6150" max="6151" width="11.375" style="2" customWidth="1"/>
    <col min="6152" max="6153" width="9.125" style="2"/>
    <col min="6154" max="6154" width="18.375" style="2" customWidth="1"/>
    <col min="6155" max="6395" width="9.125" style="2"/>
    <col min="6396" max="6396" width="3.375" style="2" customWidth="1"/>
    <col min="6397" max="6397" width="32.25" style="2" customWidth="1"/>
    <col min="6398" max="6398" width="13" style="2" customWidth="1"/>
    <col min="6399" max="6405" width="9.625" style="2" customWidth="1"/>
    <col min="6406" max="6407" width="11.375" style="2" customWidth="1"/>
    <col min="6408" max="6409" width="9.125" style="2"/>
    <col min="6410" max="6410" width="18.375" style="2" customWidth="1"/>
    <col min="6411" max="6651" width="9.125" style="2"/>
    <col min="6652" max="6652" width="3.375" style="2" customWidth="1"/>
    <col min="6653" max="6653" width="32.25" style="2" customWidth="1"/>
    <col min="6654" max="6654" width="13" style="2" customWidth="1"/>
    <col min="6655" max="6661" width="9.625" style="2" customWidth="1"/>
    <col min="6662" max="6663" width="11.375" style="2" customWidth="1"/>
    <col min="6664" max="6665" width="9.125" style="2"/>
    <col min="6666" max="6666" width="18.375" style="2" customWidth="1"/>
    <col min="6667" max="6907" width="9.125" style="2"/>
    <col min="6908" max="6908" width="3.375" style="2" customWidth="1"/>
    <col min="6909" max="6909" width="32.25" style="2" customWidth="1"/>
    <col min="6910" max="6910" width="13" style="2" customWidth="1"/>
    <col min="6911" max="6917" width="9.625" style="2" customWidth="1"/>
    <col min="6918" max="6919" width="11.375" style="2" customWidth="1"/>
    <col min="6920" max="6921" width="9.125" style="2"/>
    <col min="6922" max="6922" width="18.375" style="2" customWidth="1"/>
    <col min="6923" max="7163" width="9.125" style="2"/>
    <col min="7164" max="7164" width="3.375" style="2" customWidth="1"/>
    <col min="7165" max="7165" width="32.25" style="2" customWidth="1"/>
    <col min="7166" max="7166" width="13" style="2" customWidth="1"/>
    <col min="7167" max="7173" width="9.625" style="2" customWidth="1"/>
    <col min="7174" max="7175" width="11.375" style="2" customWidth="1"/>
    <col min="7176" max="7177" width="9.125" style="2"/>
    <col min="7178" max="7178" width="18.375" style="2" customWidth="1"/>
    <col min="7179" max="7419" width="9.125" style="2"/>
    <col min="7420" max="7420" width="3.375" style="2" customWidth="1"/>
    <col min="7421" max="7421" width="32.25" style="2" customWidth="1"/>
    <col min="7422" max="7422" width="13" style="2" customWidth="1"/>
    <col min="7423" max="7429" width="9.625" style="2" customWidth="1"/>
    <col min="7430" max="7431" width="11.375" style="2" customWidth="1"/>
    <col min="7432" max="7433" width="9.125" style="2"/>
    <col min="7434" max="7434" width="18.375" style="2" customWidth="1"/>
    <col min="7435" max="7675" width="9.125" style="2"/>
    <col min="7676" max="7676" width="3.375" style="2" customWidth="1"/>
    <col min="7677" max="7677" width="32.25" style="2" customWidth="1"/>
    <col min="7678" max="7678" width="13" style="2" customWidth="1"/>
    <col min="7679" max="7685" width="9.625" style="2" customWidth="1"/>
    <col min="7686" max="7687" width="11.375" style="2" customWidth="1"/>
    <col min="7688" max="7689" width="9.125" style="2"/>
    <col min="7690" max="7690" width="18.375" style="2" customWidth="1"/>
    <col min="7691" max="7931" width="9.125" style="2"/>
    <col min="7932" max="7932" width="3.375" style="2" customWidth="1"/>
    <col min="7933" max="7933" width="32.25" style="2" customWidth="1"/>
    <col min="7934" max="7934" width="13" style="2" customWidth="1"/>
    <col min="7935" max="7941" width="9.625" style="2" customWidth="1"/>
    <col min="7942" max="7943" width="11.375" style="2" customWidth="1"/>
    <col min="7944" max="7945" width="9.125" style="2"/>
    <col min="7946" max="7946" width="18.375" style="2" customWidth="1"/>
    <col min="7947" max="8187" width="9.125" style="2"/>
    <col min="8188" max="8188" width="3.375" style="2" customWidth="1"/>
    <col min="8189" max="8189" width="32.25" style="2" customWidth="1"/>
    <col min="8190" max="8190" width="13" style="2" customWidth="1"/>
    <col min="8191" max="8197" width="9.625" style="2" customWidth="1"/>
    <col min="8198" max="8199" width="11.375" style="2" customWidth="1"/>
    <col min="8200" max="8201" width="9.125" style="2"/>
    <col min="8202" max="8202" width="18.375" style="2" customWidth="1"/>
    <col min="8203" max="8443" width="9.125" style="2"/>
    <col min="8444" max="8444" width="3.375" style="2" customWidth="1"/>
    <col min="8445" max="8445" width="32.25" style="2" customWidth="1"/>
    <col min="8446" max="8446" width="13" style="2" customWidth="1"/>
    <col min="8447" max="8453" width="9.625" style="2" customWidth="1"/>
    <col min="8454" max="8455" width="11.375" style="2" customWidth="1"/>
    <col min="8456" max="8457" width="9.125" style="2"/>
    <col min="8458" max="8458" width="18.375" style="2" customWidth="1"/>
    <col min="8459" max="8699" width="9.125" style="2"/>
    <col min="8700" max="8700" width="3.375" style="2" customWidth="1"/>
    <col min="8701" max="8701" width="32.25" style="2" customWidth="1"/>
    <col min="8702" max="8702" width="13" style="2" customWidth="1"/>
    <col min="8703" max="8709" width="9.625" style="2" customWidth="1"/>
    <col min="8710" max="8711" width="11.375" style="2" customWidth="1"/>
    <col min="8712" max="8713" width="9.125" style="2"/>
    <col min="8714" max="8714" width="18.375" style="2" customWidth="1"/>
    <col min="8715" max="8955" width="9.125" style="2"/>
    <col min="8956" max="8956" width="3.375" style="2" customWidth="1"/>
    <col min="8957" max="8957" width="32.25" style="2" customWidth="1"/>
    <col min="8958" max="8958" width="13" style="2" customWidth="1"/>
    <col min="8959" max="8965" width="9.625" style="2" customWidth="1"/>
    <col min="8966" max="8967" width="11.375" style="2" customWidth="1"/>
    <col min="8968" max="8969" width="9.125" style="2"/>
    <col min="8970" max="8970" width="18.375" style="2" customWidth="1"/>
    <col min="8971" max="9211" width="9.125" style="2"/>
    <col min="9212" max="9212" width="3.375" style="2" customWidth="1"/>
    <col min="9213" max="9213" width="32.25" style="2" customWidth="1"/>
    <col min="9214" max="9214" width="13" style="2" customWidth="1"/>
    <col min="9215" max="9221" width="9.625" style="2" customWidth="1"/>
    <col min="9222" max="9223" width="11.375" style="2" customWidth="1"/>
    <col min="9224" max="9225" width="9.125" style="2"/>
    <col min="9226" max="9226" width="18.375" style="2" customWidth="1"/>
    <col min="9227" max="9467" width="9.125" style="2"/>
    <col min="9468" max="9468" width="3.375" style="2" customWidth="1"/>
    <col min="9469" max="9469" width="32.25" style="2" customWidth="1"/>
    <col min="9470" max="9470" width="13" style="2" customWidth="1"/>
    <col min="9471" max="9477" width="9.625" style="2" customWidth="1"/>
    <col min="9478" max="9479" width="11.375" style="2" customWidth="1"/>
    <col min="9480" max="9481" width="9.125" style="2"/>
    <col min="9482" max="9482" width="18.375" style="2" customWidth="1"/>
    <col min="9483" max="9723" width="9.125" style="2"/>
    <col min="9724" max="9724" width="3.375" style="2" customWidth="1"/>
    <col min="9725" max="9725" width="32.25" style="2" customWidth="1"/>
    <col min="9726" max="9726" width="13" style="2" customWidth="1"/>
    <col min="9727" max="9733" width="9.625" style="2" customWidth="1"/>
    <col min="9734" max="9735" width="11.375" style="2" customWidth="1"/>
    <col min="9736" max="9737" width="9.125" style="2"/>
    <col min="9738" max="9738" width="18.375" style="2" customWidth="1"/>
    <col min="9739" max="9979" width="9.125" style="2"/>
    <col min="9980" max="9980" width="3.375" style="2" customWidth="1"/>
    <col min="9981" max="9981" width="32.25" style="2" customWidth="1"/>
    <col min="9982" max="9982" width="13" style="2" customWidth="1"/>
    <col min="9983" max="9989" width="9.625" style="2" customWidth="1"/>
    <col min="9990" max="9991" width="11.375" style="2" customWidth="1"/>
    <col min="9992" max="9993" width="9.125" style="2"/>
    <col min="9994" max="9994" width="18.375" style="2" customWidth="1"/>
    <col min="9995" max="10235" width="9.125" style="2"/>
    <col min="10236" max="10236" width="3.375" style="2" customWidth="1"/>
    <col min="10237" max="10237" width="32.25" style="2" customWidth="1"/>
    <col min="10238" max="10238" width="13" style="2" customWidth="1"/>
    <col min="10239" max="10245" width="9.625" style="2" customWidth="1"/>
    <col min="10246" max="10247" width="11.375" style="2" customWidth="1"/>
    <col min="10248" max="10249" width="9.125" style="2"/>
    <col min="10250" max="10250" width="18.375" style="2" customWidth="1"/>
    <col min="10251" max="10491" width="9.125" style="2"/>
    <col min="10492" max="10492" width="3.375" style="2" customWidth="1"/>
    <col min="10493" max="10493" width="32.25" style="2" customWidth="1"/>
    <col min="10494" max="10494" width="13" style="2" customWidth="1"/>
    <col min="10495" max="10501" width="9.625" style="2" customWidth="1"/>
    <col min="10502" max="10503" width="11.375" style="2" customWidth="1"/>
    <col min="10504" max="10505" width="9.125" style="2"/>
    <col min="10506" max="10506" width="18.375" style="2" customWidth="1"/>
    <col min="10507" max="10747" width="9.125" style="2"/>
    <col min="10748" max="10748" width="3.375" style="2" customWidth="1"/>
    <col min="10749" max="10749" width="32.25" style="2" customWidth="1"/>
    <col min="10750" max="10750" width="13" style="2" customWidth="1"/>
    <col min="10751" max="10757" width="9.625" style="2" customWidth="1"/>
    <col min="10758" max="10759" width="11.375" style="2" customWidth="1"/>
    <col min="10760" max="10761" width="9.125" style="2"/>
    <col min="10762" max="10762" width="18.375" style="2" customWidth="1"/>
    <col min="10763" max="11003" width="9.125" style="2"/>
    <col min="11004" max="11004" width="3.375" style="2" customWidth="1"/>
    <col min="11005" max="11005" width="32.25" style="2" customWidth="1"/>
    <col min="11006" max="11006" width="13" style="2" customWidth="1"/>
    <col min="11007" max="11013" width="9.625" style="2" customWidth="1"/>
    <col min="11014" max="11015" width="11.375" style="2" customWidth="1"/>
    <col min="11016" max="11017" width="9.125" style="2"/>
    <col min="11018" max="11018" width="18.375" style="2" customWidth="1"/>
    <col min="11019" max="11259" width="9.125" style="2"/>
    <col min="11260" max="11260" width="3.375" style="2" customWidth="1"/>
    <col min="11261" max="11261" width="32.25" style="2" customWidth="1"/>
    <col min="11262" max="11262" width="13" style="2" customWidth="1"/>
    <col min="11263" max="11269" width="9.625" style="2" customWidth="1"/>
    <col min="11270" max="11271" width="11.375" style="2" customWidth="1"/>
    <col min="11272" max="11273" width="9.125" style="2"/>
    <col min="11274" max="11274" width="18.375" style="2" customWidth="1"/>
    <col min="11275" max="11515" width="9.125" style="2"/>
    <col min="11516" max="11516" width="3.375" style="2" customWidth="1"/>
    <col min="11517" max="11517" width="32.25" style="2" customWidth="1"/>
    <col min="11518" max="11518" width="13" style="2" customWidth="1"/>
    <col min="11519" max="11525" width="9.625" style="2" customWidth="1"/>
    <col min="11526" max="11527" width="11.375" style="2" customWidth="1"/>
    <col min="11528" max="11529" width="9.125" style="2"/>
    <col min="11530" max="11530" width="18.375" style="2" customWidth="1"/>
    <col min="11531" max="11771" width="9.125" style="2"/>
    <col min="11772" max="11772" width="3.375" style="2" customWidth="1"/>
    <col min="11773" max="11773" width="32.25" style="2" customWidth="1"/>
    <col min="11774" max="11774" width="13" style="2" customWidth="1"/>
    <col min="11775" max="11781" width="9.625" style="2" customWidth="1"/>
    <col min="11782" max="11783" width="11.375" style="2" customWidth="1"/>
    <col min="11784" max="11785" width="9.125" style="2"/>
    <col min="11786" max="11786" width="18.375" style="2" customWidth="1"/>
    <col min="11787" max="12027" width="9.125" style="2"/>
    <col min="12028" max="12028" width="3.375" style="2" customWidth="1"/>
    <col min="12029" max="12029" width="32.25" style="2" customWidth="1"/>
    <col min="12030" max="12030" width="13" style="2" customWidth="1"/>
    <col min="12031" max="12037" width="9.625" style="2" customWidth="1"/>
    <col min="12038" max="12039" width="11.375" style="2" customWidth="1"/>
    <col min="12040" max="12041" width="9.125" style="2"/>
    <col min="12042" max="12042" width="18.375" style="2" customWidth="1"/>
    <col min="12043" max="12283" width="9.125" style="2"/>
    <col min="12284" max="12284" width="3.375" style="2" customWidth="1"/>
    <col min="12285" max="12285" width="32.25" style="2" customWidth="1"/>
    <col min="12286" max="12286" width="13" style="2" customWidth="1"/>
    <col min="12287" max="12293" width="9.625" style="2" customWidth="1"/>
    <col min="12294" max="12295" width="11.375" style="2" customWidth="1"/>
    <col min="12296" max="12297" width="9.125" style="2"/>
    <col min="12298" max="12298" width="18.375" style="2" customWidth="1"/>
    <col min="12299" max="12539" width="9.125" style="2"/>
    <col min="12540" max="12540" width="3.375" style="2" customWidth="1"/>
    <col min="12541" max="12541" width="32.25" style="2" customWidth="1"/>
    <col min="12542" max="12542" width="13" style="2" customWidth="1"/>
    <col min="12543" max="12549" width="9.625" style="2" customWidth="1"/>
    <col min="12550" max="12551" width="11.375" style="2" customWidth="1"/>
    <col min="12552" max="12553" width="9.125" style="2"/>
    <col min="12554" max="12554" width="18.375" style="2" customWidth="1"/>
    <col min="12555" max="12795" width="9.125" style="2"/>
    <col min="12796" max="12796" width="3.375" style="2" customWidth="1"/>
    <col min="12797" max="12797" width="32.25" style="2" customWidth="1"/>
    <col min="12798" max="12798" width="13" style="2" customWidth="1"/>
    <col min="12799" max="12805" width="9.625" style="2" customWidth="1"/>
    <col min="12806" max="12807" width="11.375" style="2" customWidth="1"/>
    <col min="12808" max="12809" width="9.125" style="2"/>
    <col min="12810" max="12810" width="18.375" style="2" customWidth="1"/>
    <col min="12811" max="13051" width="9.125" style="2"/>
    <col min="13052" max="13052" width="3.375" style="2" customWidth="1"/>
    <col min="13053" max="13053" width="32.25" style="2" customWidth="1"/>
    <col min="13054" max="13054" width="13" style="2" customWidth="1"/>
    <col min="13055" max="13061" width="9.625" style="2" customWidth="1"/>
    <col min="13062" max="13063" width="11.375" style="2" customWidth="1"/>
    <col min="13064" max="13065" width="9.125" style="2"/>
    <col min="13066" max="13066" width="18.375" style="2" customWidth="1"/>
    <col min="13067" max="13307" width="9.125" style="2"/>
    <col min="13308" max="13308" width="3.375" style="2" customWidth="1"/>
    <col min="13309" max="13309" width="32.25" style="2" customWidth="1"/>
    <col min="13310" max="13310" width="13" style="2" customWidth="1"/>
    <col min="13311" max="13317" width="9.625" style="2" customWidth="1"/>
    <col min="13318" max="13319" width="11.375" style="2" customWidth="1"/>
    <col min="13320" max="13321" width="9.125" style="2"/>
    <col min="13322" max="13322" width="18.375" style="2" customWidth="1"/>
    <col min="13323" max="13563" width="9.125" style="2"/>
    <col min="13564" max="13564" width="3.375" style="2" customWidth="1"/>
    <col min="13565" max="13565" width="32.25" style="2" customWidth="1"/>
    <col min="13566" max="13566" width="13" style="2" customWidth="1"/>
    <col min="13567" max="13573" width="9.625" style="2" customWidth="1"/>
    <col min="13574" max="13575" width="11.375" style="2" customWidth="1"/>
    <col min="13576" max="13577" width="9.125" style="2"/>
    <col min="13578" max="13578" width="18.375" style="2" customWidth="1"/>
    <col min="13579" max="13819" width="9.125" style="2"/>
    <col min="13820" max="13820" width="3.375" style="2" customWidth="1"/>
    <col min="13821" max="13821" width="32.25" style="2" customWidth="1"/>
    <col min="13822" max="13822" width="13" style="2" customWidth="1"/>
    <col min="13823" max="13829" width="9.625" style="2" customWidth="1"/>
    <col min="13830" max="13831" width="11.375" style="2" customWidth="1"/>
    <col min="13832" max="13833" width="9.125" style="2"/>
    <col min="13834" max="13834" width="18.375" style="2" customWidth="1"/>
    <col min="13835" max="14075" width="9.125" style="2"/>
    <col min="14076" max="14076" width="3.375" style="2" customWidth="1"/>
    <col min="14077" max="14077" width="32.25" style="2" customWidth="1"/>
    <col min="14078" max="14078" width="13" style="2" customWidth="1"/>
    <col min="14079" max="14085" width="9.625" style="2" customWidth="1"/>
    <col min="14086" max="14087" width="11.375" style="2" customWidth="1"/>
    <col min="14088" max="14089" width="9.125" style="2"/>
    <col min="14090" max="14090" width="18.375" style="2" customWidth="1"/>
    <col min="14091" max="14331" width="9.125" style="2"/>
    <col min="14332" max="14332" width="3.375" style="2" customWidth="1"/>
    <col min="14333" max="14333" width="32.25" style="2" customWidth="1"/>
    <col min="14334" max="14334" width="13" style="2" customWidth="1"/>
    <col min="14335" max="14341" width="9.625" style="2" customWidth="1"/>
    <col min="14342" max="14343" width="11.375" style="2" customWidth="1"/>
    <col min="14344" max="14345" width="9.125" style="2"/>
    <col min="14346" max="14346" width="18.375" style="2" customWidth="1"/>
    <col min="14347" max="14587" width="9.125" style="2"/>
    <col min="14588" max="14588" width="3.375" style="2" customWidth="1"/>
    <col min="14589" max="14589" width="32.25" style="2" customWidth="1"/>
    <col min="14590" max="14590" width="13" style="2" customWidth="1"/>
    <col min="14591" max="14597" width="9.625" style="2" customWidth="1"/>
    <col min="14598" max="14599" width="11.375" style="2" customWidth="1"/>
    <col min="14600" max="14601" width="9.125" style="2"/>
    <col min="14602" max="14602" width="18.375" style="2" customWidth="1"/>
    <col min="14603" max="14843" width="9.125" style="2"/>
    <col min="14844" max="14844" width="3.375" style="2" customWidth="1"/>
    <col min="14845" max="14845" width="32.25" style="2" customWidth="1"/>
    <col min="14846" max="14846" width="13" style="2" customWidth="1"/>
    <col min="14847" max="14853" width="9.625" style="2" customWidth="1"/>
    <col min="14854" max="14855" width="11.375" style="2" customWidth="1"/>
    <col min="14856" max="14857" width="9.125" style="2"/>
    <col min="14858" max="14858" width="18.375" style="2" customWidth="1"/>
    <col min="14859" max="15099" width="9.125" style="2"/>
    <col min="15100" max="15100" width="3.375" style="2" customWidth="1"/>
    <col min="15101" max="15101" width="32.25" style="2" customWidth="1"/>
    <col min="15102" max="15102" width="13" style="2" customWidth="1"/>
    <col min="15103" max="15109" width="9.625" style="2" customWidth="1"/>
    <col min="15110" max="15111" width="11.375" style="2" customWidth="1"/>
    <col min="15112" max="15113" width="9.125" style="2"/>
    <col min="15114" max="15114" width="18.375" style="2" customWidth="1"/>
    <col min="15115" max="15355" width="9.125" style="2"/>
    <col min="15356" max="15356" width="3.375" style="2" customWidth="1"/>
    <col min="15357" max="15357" width="32.25" style="2" customWidth="1"/>
    <col min="15358" max="15358" width="13" style="2" customWidth="1"/>
    <col min="15359" max="15365" width="9.625" style="2" customWidth="1"/>
    <col min="15366" max="15367" width="11.375" style="2" customWidth="1"/>
    <col min="15368" max="15369" width="9.125" style="2"/>
    <col min="15370" max="15370" width="18.375" style="2" customWidth="1"/>
    <col min="15371" max="15611" width="9.125" style="2"/>
    <col min="15612" max="15612" width="3.375" style="2" customWidth="1"/>
    <col min="15613" max="15613" width="32.25" style="2" customWidth="1"/>
    <col min="15614" max="15614" width="13" style="2" customWidth="1"/>
    <col min="15615" max="15621" width="9.625" style="2" customWidth="1"/>
    <col min="15622" max="15623" width="11.375" style="2" customWidth="1"/>
    <col min="15624" max="15625" width="9.125" style="2"/>
    <col min="15626" max="15626" width="18.375" style="2" customWidth="1"/>
    <col min="15627" max="15867" width="9.125" style="2"/>
    <col min="15868" max="15868" width="3.375" style="2" customWidth="1"/>
    <col min="15869" max="15869" width="32.25" style="2" customWidth="1"/>
    <col min="15870" max="15870" width="13" style="2" customWidth="1"/>
    <col min="15871" max="15877" width="9.625" style="2" customWidth="1"/>
    <col min="15878" max="15879" width="11.375" style="2" customWidth="1"/>
    <col min="15880" max="15881" width="9.125" style="2"/>
    <col min="15882" max="15882" width="18.375" style="2" customWidth="1"/>
    <col min="15883" max="16123" width="9.125" style="2"/>
    <col min="16124" max="16124" width="3.375" style="2" customWidth="1"/>
    <col min="16125" max="16125" width="32.25" style="2" customWidth="1"/>
    <col min="16126" max="16126" width="13" style="2" customWidth="1"/>
    <col min="16127" max="16133" width="9.625" style="2" customWidth="1"/>
    <col min="16134" max="16135" width="11.375" style="2" customWidth="1"/>
    <col min="16136" max="16137" width="9.125" style="2"/>
    <col min="16138" max="16138" width="18.375" style="2" customWidth="1"/>
    <col min="16139" max="16384" width="9.125" style="2"/>
  </cols>
  <sheetData>
    <row r="1" spans="1:33" ht="15.75" thickBot="1" x14ac:dyDescent="0.3"/>
    <row r="2" spans="1:33" x14ac:dyDescent="0.25">
      <c r="A2" s="27"/>
      <c r="B2" s="25"/>
      <c r="C2" s="29">
        <v>1</v>
      </c>
      <c r="D2" s="29">
        <v>2</v>
      </c>
      <c r="E2" s="29">
        <v>3</v>
      </c>
      <c r="F2" s="29">
        <v>4</v>
      </c>
      <c r="G2" s="29">
        <v>5</v>
      </c>
      <c r="H2" s="29">
        <v>6</v>
      </c>
      <c r="I2" s="29">
        <v>7</v>
      </c>
      <c r="J2" s="29">
        <v>8</v>
      </c>
      <c r="K2" s="29">
        <v>9</v>
      </c>
      <c r="L2" s="29">
        <v>10</v>
      </c>
      <c r="M2" s="29">
        <v>11</v>
      </c>
      <c r="N2" s="29">
        <v>12</v>
      </c>
      <c r="O2" s="29">
        <v>13</v>
      </c>
      <c r="P2" s="29">
        <v>14</v>
      </c>
      <c r="Q2" s="29">
        <v>15</v>
      </c>
      <c r="R2" s="29">
        <v>16</v>
      </c>
      <c r="S2" s="29">
        <v>17</v>
      </c>
      <c r="T2" s="29">
        <v>18</v>
      </c>
      <c r="U2" s="29">
        <v>19</v>
      </c>
      <c r="V2" s="29">
        <v>20</v>
      </c>
      <c r="W2" s="29">
        <v>21</v>
      </c>
      <c r="X2" s="29">
        <v>22</v>
      </c>
      <c r="Y2" s="29">
        <v>23</v>
      </c>
      <c r="Z2" s="29">
        <v>24</v>
      </c>
      <c r="AA2" s="29">
        <v>25</v>
      </c>
      <c r="AB2" s="29">
        <v>26</v>
      </c>
      <c r="AC2" s="29">
        <v>27</v>
      </c>
      <c r="AD2" s="29">
        <v>28</v>
      </c>
      <c r="AE2" s="29">
        <v>29</v>
      </c>
      <c r="AF2" s="29">
        <v>30</v>
      </c>
      <c r="AG2" s="30">
        <v>31</v>
      </c>
    </row>
    <row r="3" spans="1:33" x14ac:dyDescent="0.25">
      <c r="A3" s="31" t="s">
        <v>5</v>
      </c>
      <c r="B3" s="32" t="s">
        <v>6</v>
      </c>
      <c r="C3" s="33">
        <f>'1'!K8</f>
        <v>14000</v>
      </c>
      <c r="D3" s="33">
        <f>'2'!K8</f>
        <v>14285.714285714286</v>
      </c>
      <c r="E3" s="33">
        <f>'3'!K8</f>
        <v>14314.285714285714</v>
      </c>
      <c r="F3" s="33">
        <f>'4'!K8</f>
        <v>14300</v>
      </c>
      <c r="G3" s="33">
        <f>'5'!K8</f>
        <v>15071.428571428571</v>
      </c>
      <c r="H3" s="33">
        <f>'6'!K8</f>
        <v>15285.714285714286</v>
      </c>
      <c r="I3" s="33">
        <f>'7'!K8</f>
        <v>15357.142857142857</v>
      </c>
      <c r="J3" s="33">
        <f>'8'!K8</f>
        <v>15428.571428571429</v>
      </c>
      <c r="K3" s="33">
        <f>'9'!K8</f>
        <v>15142.857142857143</v>
      </c>
      <c r="L3" s="33">
        <f>'10'!K8</f>
        <v>15500</v>
      </c>
      <c r="M3" s="33">
        <f>'11'!K8</f>
        <v>15500</v>
      </c>
      <c r="N3" s="33">
        <f>'12'!K8</f>
        <v>16071.428571428571</v>
      </c>
      <c r="O3" s="33">
        <f>'13'!K8</f>
        <v>16071.428571428571</v>
      </c>
      <c r="P3" s="33">
        <f>'14'!K8</f>
        <v>16071.428571428571</v>
      </c>
      <c r="Q3" s="33">
        <f>'15'!K8</f>
        <v>16071.428571428571</v>
      </c>
      <c r="R3" s="33">
        <f>'16'!K8</f>
        <v>16071.428571428571</v>
      </c>
      <c r="S3" s="33">
        <f>'17'!K8</f>
        <v>16071.428571428571</v>
      </c>
      <c r="T3" s="33">
        <f>'18'!K8</f>
        <v>16071.428571428571</v>
      </c>
      <c r="U3" s="33">
        <f>'19'!K8</f>
        <v>16071.428571428571</v>
      </c>
      <c r="V3" s="33">
        <f>'20'!K8</f>
        <v>16142.857142857143</v>
      </c>
      <c r="W3" s="33">
        <f>'21'!K8</f>
        <v>16142.857142857143</v>
      </c>
      <c r="X3" s="33">
        <f>'22'!K8</f>
        <v>16142.857142857143</v>
      </c>
      <c r="Y3" s="33">
        <f>'23'!K8</f>
        <v>16142.857142857143</v>
      </c>
      <c r="Z3" s="33">
        <f>'24'!K8</f>
        <v>16142.857142857143</v>
      </c>
      <c r="AA3" s="33">
        <f>'25'!K8</f>
        <v>16142.857142857143</v>
      </c>
      <c r="AB3" s="33">
        <f>'26'!K8</f>
        <v>16142.857142857143</v>
      </c>
      <c r="AC3" s="33">
        <f>'27'!K8</f>
        <v>16157.142857142857</v>
      </c>
      <c r="AD3" s="33">
        <f>'28'!K8</f>
        <v>16171.428571428571</v>
      </c>
      <c r="AE3" s="33" t="e">
        <f>#REF!</f>
        <v>#REF!</v>
      </c>
      <c r="AF3" s="33" t="e">
        <f>#REF!</f>
        <v>#REF!</v>
      </c>
      <c r="AG3" s="33" t="e">
        <f>#REF!</f>
        <v>#REF!</v>
      </c>
    </row>
    <row r="4" spans="1:33" x14ac:dyDescent="0.25">
      <c r="A4" s="31" t="s">
        <v>7</v>
      </c>
      <c r="B4" s="32" t="s">
        <v>6</v>
      </c>
      <c r="C4" s="33">
        <f>'1'!K9</f>
        <v>10900</v>
      </c>
      <c r="D4" s="33">
        <f>'2'!K9</f>
        <v>11083.333333333334</v>
      </c>
      <c r="E4" s="33">
        <f>'3'!K9</f>
        <v>11083.333333333334</v>
      </c>
      <c r="F4" s="33">
        <f>'4'!K9</f>
        <v>11083.333333333334</v>
      </c>
      <c r="G4" s="33">
        <f>'5'!K9</f>
        <v>11083.333333333334</v>
      </c>
      <c r="H4" s="33">
        <f>'6'!K9</f>
        <v>11083.333333333334</v>
      </c>
      <c r="I4" s="33">
        <f>'7'!K9</f>
        <v>11083.333333333334</v>
      </c>
      <c r="J4" s="33">
        <f>'8'!K9</f>
        <v>11083.333333333334</v>
      </c>
      <c r="K4" s="33">
        <f>'9'!K9</f>
        <v>11083.333333333334</v>
      </c>
      <c r="L4" s="33">
        <f>'10'!K9</f>
        <v>11083.333333333334</v>
      </c>
      <c r="M4" s="33">
        <f>'11'!K9</f>
        <v>11083.333333333334</v>
      </c>
      <c r="N4" s="33">
        <f>'12'!K9</f>
        <v>11083.333333333334</v>
      </c>
      <c r="O4" s="33">
        <f>'13'!K9</f>
        <v>11083.333333333334</v>
      </c>
      <c r="P4" s="33">
        <f>'14'!K9</f>
        <v>11083.333333333334</v>
      </c>
      <c r="Q4" s="33">
        <f>'15'!K9</f>
        <v>11083.333333333334</v>
      </c>
      <c r="R4" s="33">
        <f>'16'!K9</f>
        <v>11600</v>
      </c>
      <c r="S4" s="33">
        <f>'17'!K9</f>
        <v>11600</v>
      </c>
      <c r="T4" s="33">
        <f>'18'!K9</f>
        <v>11600</v>
      </c>
      <c r="U4" s="33">
        <f>'19'!K9</f>
        <v>11600</v>
      </c>
      <c r="V4" s="33">
        <f>'20'!K9</f>
        <v>11766.666666666666</v>
      </c>
      <c r="W4" s="33">
        <f>'21'!K9</f>
        <v>11766.666666666666</v>
      </c>
      <c r="X4" s="33">
        <f>'22'!K9</f>
        <v>11933.333333333334</v>
      </c>
      <c r="Y4" s="33">
        <f>'23'!K9</f>
        <v>10900</v>
      </c>
      <c r="Z4" s="33">
        <f>'24'!K9</f>
        <v>10900</v>
      </c>
      <c r="AA4" s="33">
        <f>'25'!K9</f>
        <v>10900</v>
      </c>
      <c r="AB4" s="33">
        <f>'26'!K9</f>
        <v>10900</v>
      </c>
      <c r="AC4" s="33">
        <f>'27'!K9</f>
        <v>10900</v>
      </c>
      <c r="AD4" s="33">
        <f>'28'!K9</f>
        <v>10900</v>
      </c>
      <c r="AE4" s="33" t="e">
        <f>#REF!</f>
        <v>#REF!</v>
      </c>
      <c r="AF4" s="33" t="e">
        <f>#REF!</f>
        <v>#REF!</v>
      </c>
      <c r="AG4" s="33" t="e">
        <f>#REF!</f>
        <v>#REF!</v>
      </c>
    </row>
    <row r="5" spans="1:33" x14ac:dyDescent="0.25">
      <c r="A5" s="31" t="s">
        <v>8</v>
      </c>
      <c r="B5" s="32" t="s">
        <v>6</v>
      </c>
      <c r="C5" s="33">
        <f>'1'!K10</f>
        <v>0</v>
      </c>
      <c r="D5" s="33">
        <f>'2'!K10</f>
        <v>0</v>
      </c>
      <c r="E5" s="33">
        <f>'3'!K10</f>
        <v>0</v>
      </c>
      <c r="F5" s="33">
        <f>'4'!K10</f>
        <v>0</v>
      </c>
      <c r="G5" s="33">
        <f>'5'!K10</f>
        <v>0</v>
      </c>
      <c r="H5" s="33">
        <f>'6'!K10</f>
        <v>0</v>
      </c>
      <c r="I5" s="33">
        <f>'7'!K10</f>
        <v>0</v>
      </c>
      <c r="J5" s="33">
        <f>'8'!K10</f>
        <v>0</v>
      </c>
      <c r="K5" s="33">
        <f>'9'!K10</f>
        <v>0</v>
      </c>
      <c r="L5" s="33">
        <f>'10'!K10</f>
        <v>0</v>
      </c>
      <c r="M5" s="33">
        <f>'11'!K10</f>
        <v>0</v>
      </c>
      <c r="N5" s="33">
        <f>'12'!K10</f>
        <v>0</v>
      </c>
      <c r="O5" s="33">
        <f>'13'!K10</f>
        <v>0</v>
      </c>
      <c r="P5" s="33">
        <f>'14'!K10</f>
        <v>0</v>
      </c>
      <c r="Q5" s="33">
        <f>'15'!K10</f>
        <v>0</v>
      </c>
      <c r="R5" s="33">
        <f>'16'!K10</f>
        <v>0</v>
      </c>
      <c r="S5" s="33">
        <f>'17'!K10</f>
        <v>0</v>
      </c>
      <c r="T5" s="33">
        <f>'18'!K10</f>
        <v>0</v>
      </c>
      <c r="U5" s="33">
        <f>'19'!K10</f>
        <v>0</v>
      </c>
      <c r="V5" s="33">
        <f>'20'!K10</f>
        <v>0</v>
      </c>
      <c r="W5" s="33">
        <f>'21'!K10</f>
        <v>0</v>
      </c>
      <c r="X5" s="33">
        <f>'22'!K10</f>
        <v>0</v>
      </c>
      <c r="Y5" s="33">
        <f>'23'!K10</f>
        <v>14000</v>
      </c>
      <c r="Z5" s="33">
        <f>'24'!K10</f>
        <v>13000</v>
      </c>
      <c r="AA5" s="33">
        <f>'25'!K10</f>
        <v>13000</v>
      </c>
      <c r="AB5" s="33">
        <f>'26'!K10</f>
        <v>13000</v>
      </c>
      <c r="AC5" s="33">
        <f>'27'!K10</f>
        <v>13000</v>
      </c>
      <c r="AD5" s="33">
        <f>'28'!K10</f>
        <v>13000</v>
      </c>
      <c r="AE5" s="33" t="e">
        <f>#REF!</f>
        <v>#REF!</v>
      </c>
      <c r="AF5" s="33" t="e">
        <f>#REF!</f>
        <v>#REF!</v>
      </c>
      <c r="AG5" s="33" t="e">
        <f>#REF!</f>
        <v>#REF!</v>
      </c>
    </row>
    <row r="6" spans="1:33" x14ac:dyDescent="0.25">
      <c r="A6" s="34"/>
      <c r="B6" s="35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</row>
    <row r="7" spans="1:33" x14ac:dyDescent="0.25">
      <c r="A7" s="37"/>
      <c r="B7" s="38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</row>
    <row r="8" spans="1:33" x14ac:dyDescent="0.25">
      <c r="A8" s="37"/>
      <c r="B8" s="38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</row>
    <row r="9" spans="1:33" x14ac:dyDescent="0.25">
      <c r="A9" s="37"/>
      <c r="B9" s="38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</row>
    <row r="10" spans="1:33" x14ac:dyDescent="0.25">
      <c r="A10" s="37"/>
      <c r="B10" s="38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</row>
    <row r="11" spans="1:33" x14ac:dyDescent="0.25">
      <c r="A11" s="37"/>
      <c r="B11" s="38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</row>
    <row r="12" spans="1:33" x14ac:dyDescent="0.25">
      <c r="A12" s="37"/>
      <c r="B12" s="38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</row>
    <row r="13" spans="1:33" x14ac:dyDescent="0.25">
      <c r="A13" s="37"/>
      <c r="B13" s="38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</row>
    <row r="14" spans="1:33" x14ac:dyDescent="0.25">
      <c r="A14" s="37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</row>
    <row r="15" spans="1:33" x14ac:dyDescent="0.25">
      <c r="A15" s="37"/>
      <c r="B15" s="38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</row>
    <row r="16" spans="1:33" x14ac:dyDescent="0.25">
      <c r="A16" s="37"/>
      <c r="B16" s="38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</row>
    <row r="17" spans="1:33" x14ac:dyDescent="0.25">
      <c r="A17" s="37"/>
      <c r="B17" s="38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</row>
    <row r="18" spans="1:33" x14ac:dyDescent="0.25">
      <c r="A18" s="37"/>
      <c r="B18" s="38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</row>
    <row r="19" spans="1:33" x14ac:dyDescent="0.25">
      <c r="A19" s="37"/>
      <c r="B19" s="38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</row>
    <row r="20" spans="1:33" x14ac:dyDescent="0.25">
      <c r="A20" s="37"/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</row>
    <row r="21" spans="1:33" x14ac:dyDescent="0.25">
      <c r="A21" s="37"/>
      <c r="B21" s="38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</row>
    <row r="22" spans="1:33" x14ac:dyDescent="0.25">
      <c r="A22" s="37"/>
      <c r="B22" s="38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</row>
    <row r="23" spans="1:33" x14ac:dyDescent="0.25">
      <c r="A23" s="40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</row>
    <row r="24" spans="1:33" x14ac:dyDescent="0.25">
      <c r="A24" s="28"/>
      <c r="B24" s="26"/>
      <c r="C24" s="30">
        <v>1</v>
      </c>
      <c r="D24" s="30">
        <v>2</v>
      </c>
      <c r="E24" s="30">
        <v>3</v>
      </c>
      <c r="F24" s="30">
        <v>4</v>
      </c>
      <c r="G24" s="30">
        <v>5</v>
      </c>
      <c r="H24" s="30">
        <v>6</v>
      </c>
      <c r="I24" s="30">
        <v>7</v>
      </c>
      <c r="J24" s="30">
        <v>8</v>
      </c>
      <c r="K24" s="30">
        <v>9</v>
      </c>
      <c r="L24" s="30">
        <v>10</v>
      </c>
      <c r="M24" s="30">
        <v>11</v>
      </c>
      <c r="N24" s="30">
        <v>12</v>
      </c>
      <c r="O24" s="30">
        <v>13</v>
      </c>
      <c r="P24" s="30">
        <v>14</v>
      </c>
      <c r="Q24" s="30">
        <v>15</v>
      </c>
      <c r="R24" s="30">
        <v>16</v>
      </c>
      <c r="S24" s="30">
        <v>17</v>
      </c>
      <c r="T24" s="30">
        <v>18</v>
      </c>
      <c r="U24" s="30">
        <v>19</v>
      </c>
      <c r="V24" s="30">
        <v>20</v>
      </c>
      <c r="W24" s="30">
        <v>21</v>
      </c>
      <c r="X24" s="30">
        <v>22</v>
      </c>
      <c r="Y24" s="30">
        <v>23</v>
      </c>
      <c r="Z24" s="30">
        <v>24</v>
      </c>
      <c r="AA24" s="30">
        <v>25</v>
      </c>
      <c r="AB24" s="30">
        <v>26</v>
      </c>
      <c r="AC24" s="30">
        <v>27</v>
      </c>
      <c r="AD24" s="30">
        <v>28</v>
      </c>
      <c r="AE24" s="30">
        <v>29</v>
      </c>
      <c r="AF24" s="30">
        <v>30</v>
      </c>
      <c r="AG24" s="30">
        <v>31</v>
      </c>
    </row>
    <row r="25" spans="1:33" x14ac:dyDescent="0.25">
      <c r="A25" s="43" t="s">
        <v>12</v>
      </c>
      <c r="B25" s="32" t="s">
        <v>6</v>
      </c>
      <c r="C25" s="33">
        <f>'1'!K14</f>
        <v>16285.714285714286</v>
      </c>
      <c r="D25" s="33">
        <f>'2'!K14</f>
        <v>16285.714285714286</v>
      </c>
      <c r="E25" s="33">
        <f>'3'!K14</f>
        <v>16214.285714285714</v>
      </c>
      <c r="F25" s="33">
        <f>'4'!K14</f>
        <v>16214.285714285714</v>
      </c>
      <c r="G25" s="33">
        <f>'5'!K14</f>
        <v>16214.285714285714</v>
      </c>
      <c r="H25" s="33">
        <f>'6'!K14</f>
        <v>16214.285714285714</v>
      </c>
      <c r="I25" s="33">
        <f>'7'!K14</f>
        <v>16214.285714285714</v>
      </c>
      <c r="J25" s="33">
        <f>'8'!K14</f>
        <v>16214.285714285714</v>
      </c>
      <c r="K25" s="33">
        <f>'9'!K14</f>
        <v>16214.285714285714</v>
      </c>
      <c r="L25" s="33">
        <f>'10'!K14</f>
        <v>16214.285714285714</v>
      </c>
      <c r="M25" s="33">
        <f>'11'!K14</f>
        <v>16214.285714285714</v>
      </c>
      <c r="N25" s="33">
        <f>'12'!K14</f>
        <v>16285.714285714286</v>
      </c>
      <c r="O25" s="33">
        <f>'13'!K14</f>
        <v>16285.714285714286</v>
      </c>
      <c r="P25" s="33">
        <f>'14'!K14</f>
        <v>16285.714285714286</v>
      </c>
      <c r="Q25" s="33">
        <f>'15'!K14</f>
        <v>16285.714285714286</v>
      </c>
      <c r="R25" s="33">
        <f>'16'!K14</f>
        <v>16285.714285714286</v>
      </c>
      <c r="S25" s="33">
        <f>'17'!K14</f>
        <v>16285.714285714286</v>
      </c>
      <c r="T25" s="33">
        <f>'18'!K14</f>
        <v>16285.714285714286</v>
      </c>
      <c r="U25" s="33">
        <f>'19'!K14</f>
        <v>16285.714285714286</v>
      </c>
      <c r="V25" s="33">
        <f>'20'!K14</f>
        <v>16428.571428571428</v>
      </c>
      <c r="W25" s="33">
        <f>'21'!K14</f>
        <v>16428.571428571428</v>
      </c>
      <c r="X25" s="33">
        <f>'22'!K14</f>
        <v>16428.571428571428</v>
      </c>
      <c r="Y25" s="33">
        <f>'23'!K14</f>
        <v>16500</v>
      </c>
      <c r="Z25" s="33">
        <f>'24'!K14</f>
        <v>16500</v>
      </c>
      <c r="AA25" s="33">
        <f>'25'!K14</f>
        <v>16500</v>
      </c>
      <c r="AB25" s="33">
        <f>'26'!K14</f>
        <v>16500</v>
      </c>
      <c r="AC25" s="33">
        <f>'27'!K14</f>
        <v>16642.857142857141</v>
      </c>
      <c r="AD25" s="33">
        <f>'28'!K14</f>
        <v>16642.857142857141</v>
      </c>
      <c r="AE25" s="33" t="e">
        <f>#REF!</f>
        <v>#REF!</v>
      </c>
      <c r="AF25" s="33" t="e">
        <f>#REF!</f>
        <v>#REF!</v>
      </c>
      <c r="AG25" s="33" t="e">
        <f>#REF!</f>
        <v>#REF!</v>
      </c>
    </row>
    <row r="26" spans="1:33" x14ac:dyDescent="0.25">
      <c r="A26" s="44"/>
      <c r="B26" s="35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</row>
    <row r="27" spans="1:33" x14ac:dyDescent="0.25">
      <c r="A27" s="45"/>
      <c r="B27" s="38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</row>
    <row r="28" spans="1:33" x14ac:dyDescent="0.25">
      <c r="A28" s="45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</row>
    <row r="29" spans="1:33" x14ac:dyDescent="0.25">
      <c r="A29" s="45"/>
      <c r="B29" s="38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</row>
    <row r="30" spans="1:33" x14ac:dyDescent="0.25">
      <c r="A30" s="45"/>
      <c r="B30" s="38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</row>
    <row r="31" spans="1:33" x14ac:dyDescent="0.25">
      <c r="A31" s="45"/>
      <c r="B31" s="38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</row>
    <row r="32" spans="1:33" x14ac:dyDescent="0.25">
      <c r="A32" s="45"/>
      <c r="B32" s="38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</row>
    <row r="33" spans="1:33" x14ac:dyDescent="0.25">
      <c r="A33" s="45"/>
      <c r="B33" s="38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</row>
    <row r="34" spans="1:33" x14ac:dyDescent="0.25">
      <c r="A34" s="45"/>
      <c r="B34" s="38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</row>
    <row r="35" spans="1:33" x14ac:dyDescent="0.25">
      <c r="A35" s="45"/>
      <c r="B35" s="38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</row>
    <row r="36" spans="1:33" x14ac:dyDescent="0.25">
      <c r="A36" s="45"/>
      <c r="B36" s="38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</row>
    <row r="37" spans="1:33" x14ac:dyDescent="0.25">
      <c r="A37" s="45"/>
      <c r="B37" s="38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</row>
    <row r="38" spans="1:33" x14ac:dyDescent="0.25">
      <c r="A38" s="45"/>
      <c r="B38" s="38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</row>
    <row r="39" spans="1:33" x14ac:dyDescent="0.25">
      <c r="A39" s="45"/>
      <c r="B39" s="38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</row>
    <row r="40" spans="1:33" x14ac:dyDescent="0.25">
      <c r="A40" s="45"/>
      <c r="B40" s="38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</row>
    <row r="41" spans="1:33" x14ac:dyDescent="0.25">
      <c r="A41" s="45"/>
      <c r="B41" s="38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</row>
    <row r="42" spans="1:33" x14ac:dyDescent="0.25">
      <c r="A42" s="45"/>
      <c r="B42" s="38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</row>
    <row r="43" spans="1:33" x14ac:dyDescent="0.25">
      <c r="A43" s="45"/>
      <c r="B43" s="38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</row>
    <row r="44" spans="1:33" x14ac:dyDescent="0.25">
      <c r="A44" s="45"/>
      <c r="B44" s="38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</row>
    <row r="45" spans="1:33" x14ac:dyDescent="0.25">
      <c r="A45" s="46"/>
      <c r="B45" s="41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</row>
    <row r="46" spans="1:33" x14ac:dyDescent="0.25">
      <c r="A46" s="28"/>
      <c r="B46" s="26"/>
      <c r="C46" s="30">
        <v>1</v>
      </c>
      <c r="D46" s="30">
        <v>2</v>
      </c>
      <c r="E46" s="30">
        <v>3</v>
      </c>
      <c r="F46" s="30">
        <v>4</v>
      </c>
      <c r="G46" s="30">
        <v>5</v>
      </c>
      <c r="H46" s="30">
        <v>6</v>
      </c>
      <c r="I46" s="30">
        <v>7</v>
      </c>
      <c r="J46" s="30">
        <v>8</v>
      </c>
      <c r="K46" s="30">
        <v>9</v>
      </c>
      <c r="L46" s="30">
        <v>10</v>
      </c>
      <c r="M46" s="30">
        <v>11</v>
      </c>
      <c r="N46" s="30">
        <v>12</v>
      </c>
      <c r="O46" s="30">
        <v>13</v>
      </c>
      <c r="P46" s="30">
        <v>14</v>
      </c>
      <c r="Q46" s="30">
        <v>15</v>
      </c>
      <c r="R46" s="30">
        <v>16</v>
      </c>
      <c r="S46" s="30">
        <v>17</v>
      </c>
      <c r="T46" s="30">
        <v>18</v>
      </c>
      <c r="U46" s="30">
        <v>19</v>
      </c>
      <c r="V46" s="30">
        <v>20</v>
      </c>
      <c r="W46" s="30">
        <v>21</v>
      </c>
      <c r="X46" s="30">
        <v>22</v>
      </c>
      <c r="Y46" s="30">
        <v>23</v>
      </c>
      <c r="Z46" s="30">
        <v>24</v>
      </c>
      <c r="AA46" s="30">
        <v>25</v>
      </c>
      <c r="AB46" s="30">
        <v>26</v>
      </c>
      <c r="AC46" s="30">
        <v>27</v>
      </c>
      <c r="AD46" s="30">
        <v>28</v>
      </c>
      <c r="AE46" s="30">
        <v>29</v>
      </c>
      <c r="AF46" s="30">
        <v>30</v>
      </c>
      <c r="AG46" s="30">
        <v>31</v>
      </c>
    </row>
    <row r="47" spans="1:33" x14ac:dyDescent="0.25">
      <c r="A47" s="47" t="s">
        <v>15</v>
      </c>
      <c r="B47" s="32" t="s">
        <v>6</v>
      </c>
      <c r="C47" s="33">
        <f>'1'!K17</f>
        <v>15142.857142857143</v>
      </c>
      <c r="D47" s="33">
        <f>'2'!K17</f>
        <v>15285.714285714286</v>
      </c>
      <c r="E47" s="33">
        <f>'3'!K17</f>
        <v>15285.714285714286</v>
      </c>
      <c r="F47" s="33">
        <f>'4'!K17</f>
        <v>15285.714285714286</v>
      </c>
      <c r="G47" s="33">
        <f>'5'!K17</f>
        <v>15285.714285714286</v>
      </c>
      <c r="H47" s="33">
        <f>'6'!K17</f>
        <v>15285.714285714286</v>
      </c>
      <c r="I47" s="33">
        <f>'7'!K17</f>
        <v>15285.714285714286</v>
      </c>
      <c r="J47" s="33">
        <f>'8'!K17</f>
        <v>15285.714285714286</v>
      </c>
      <c r="K47" s="33">
        <f>'9'!K17</f>
        <v>15285.714285714286</v>
      </c>
      <c r="L47" s="33">
        <f>'10'!K17</f>
        <v>15285.714285714286</v>
      </c>
      <c r="M47" s="33">
        <f>'11'!K17</f>
        <v>15285.714285714286</v>
      </c>
      <c r="N47" s="33">
        <f>'12'!K17</f>
        <v>15285.714285714286</v>
      </c>
      <c r="O47" s="33">
        <f>'13'!K17</f>
        <v>15285.714285714286</v>
      </c>
      <c r="P47" s="33">
        <f>'14'!K17</f>
        <v>15285.714285714286</v>
      </c>
      <c r="Q47" s="33">
        <f>'15'!K17</f>
        <v>15285.714285714286</v>
      </c>
      <c r="R47" s="33">
        <f>'16'!K17</f>
        <v>15357.142857142857</v>
      </c>
      <c r="S47" s="33">
        <f>'17'!K17</f>
        <v>15357.142857142857</v>
      </c>
      <c r="T47" s="33">
        <f>'18'!K17</f>
        <v>15357.142857142857</v>
      </c>
      <c r="U47" s="33">
        <f>'19'!K17</f>
        <v>15285.714285714286</v>
      </c>
      <c r="V47" s="33">
        <f>'20'!K17</f>
        <v>15571.428571428571</v>
      </c>
      <c r="W47" s="33">
        <f>'21'!K17</f>
        <v>15571.428571428571</v>
      </c>
      <c r="X47" s="33">
        <f>'22'!K17</f>
        <v>15571.428571428571</v>
      </c>
      <c r="Y47" s="33">
        <f>'23'!K17</f>
        <v>15642.857142857143</v>
      </c>
      <c r="Z47" s="33">
        <f>'24'!K17</f>
        <v>15642.857142857143</v>
      </c>
      <c r="AA47" s="33">
        <f>'25'!K17</f>
        <v>15642.857142857143</v>
      </c>
      <c r="AB47" s="33">
        <f>'26'!K17</f>
        <v>15642.857142857143</v>
      </c>
      <c r="AC47" s="33">
        <f>'27'!K17</f>
        <v>15642.857142857143</v>
      </c>
      <c r="AD47" s="33">
        <f>'28'!K17</f>
        <v>15642.857142857143</v>
      </c>
      <c r="AE47" s="33" t="e">
        <f>#REF!</f>
        <v>#REF!</v>
      </c>
      <c r="AF47" s="33" t="e">
        <f>#REF!</f>
        <v>#REF!</v>
      </c>
      <c r="AG47" s="33" t="e">
        <f>#REF!</f>
        <v>#REF!</v>
      </c>
    </row>
    <row r="48" spans="1:33" x14ac:dyDescent="0.25">
      <c r="A48" s="48"/>
      <c r="B48" s="48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</row>
    <row r="49" spans="1:33" x14ac:dyDescent="0.25">
      <c r="A49" s="50"/>
      <c r="B49" s="50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</row>
    <row r="50" spans="1:33" x14ac:dyDescent="0.25">
      <c r="A50" s="50"/>
      <c r="B50" s="50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</row>
    <row r="51" spans="1:33" x14ac:dyDescent="0.25">
      <c r="A51" s="50"/>
      <c r="B51" s="50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</row>
    <row r="52" spans="1:33" x14ac:dyDescent="0.25">
      <c r="A52" s="50"/>
      <c r="B52" s="50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</row>
    <row r="53" spans="1:33" x14ac:dyDescent="0.25">
      <c r="A53" s="50"/>
      <c r="B53" s="50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</row>
    <row r="54" spans="1:33" x14ac:dyDescent="0.25">
      <c r="A54" s="50"/>
      <c r="B54" s="50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</row>
    <row r="55" spans="1:33" x14ac:dyDescent="0.25">
      <c r="A55" s="50"/>
      <c r="B55" s="50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</row>
    <row r="56" spans="1:33" x14ac:dyDescent="0.25">
      <c r="A56" s="50"/>
      <c r="B56" s="50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</row>
    <row r="57" spans="1:33" x14ac:dyDescent="0.25">
      <c r="A57" s="50"/>
      <c r="B57" s="50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</row>
    <row r="58" spans="1:33" x14ac:dyDescent="0.25">
      <c r="A58" s="50"/>
      <c r="B58" s="50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</row>
    <row r="59" spans="1:33" x14ac:dyDescent="0.25">
      <c r="A59" s="50"/>
      <c r="B59" s="50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</row>
    <row r="60" spans="1:33" x14ac:dyDescent="0.25">
      <c r="A60" s="50"/>
      <c r="B60" s="50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</row>
    <row r="61" spans="1:33" x14ac:dyDescent="0.25">
      <c r="A61" s="50"/>
      <c r="B61" s="50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</row>
    <row r="62" spans="1:33" x14ac:dyDescent="0.25">
      <c r="A62" s="50"/>
      <c r="B62" s="50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</row>
    <row r="63" spans="1:33" x14ac:dyDescent="0.25">
      <c r="A63" s="50"/>
      <c r="B63" s="50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</row>
    <row r="64" spans="1:33" x14ac:dyDescent="0.25">
      <c r="A64" s="50"/>
      <c r="B64" s="50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</row>
    <row r="65" spans="1:33" x14ac:dyDescent="0.25">
      <c r="A65" s="50"/>
      <c r="B65" s="50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</row>
    <row r="66" spans="1:33" x14ac:dyDescent="0.25">
      <c r="A66" s="50"/>
      <c r="B66" s="50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</row>
    <row r="67" spans="1:33" x14ac:dyDescent="0.25">
      <c r="A67" s="50"/>
      <c r="B67" s="50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</row>
    <row r="68" spans="1:33" x14ac:dyDescent="0.25">
      <c r="A68" s="50"/>
      <c r="B68" s="50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</row>
    <row r="69" spans="1:33" x14ac:dyDescent="0.25">
      <c r="A69" s="50"/>
      <c r="B69" s="50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</row>
    <row r="70" spans="1:33" x14ac:dyDescent="0.25">
      <c r="A70" s="50"/>
      <c r="B70" s="50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</row>
    <row r="71" spans="1:33" x14ac:dyDescent="0.25">
      <c r="A71" s="50"/>
      <c r="B71" s="50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</row>
    <row r="72" spans="1:33" x14ac:dyDescent="0.25">
      <c r="A72" s="50"/>
      <c r="B72" s="50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</row>
    <row r="73" spans="1:33" x14ac:dyDescent="0.25">
      <c r="A73" s="50"/>
      <c r="B73" s="50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</row>
    <row r="74" spans="1:33" x14ac:dyDescent="0.25">
      <c r="A74" s="46"/>
      <c r="B74" s="41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</row>
    <row r="75" spans="1:33" x14ac:dyDescent="0.25">
      <c r="A75" s="28"/>
      <c r="B75" s="26"/>
      <c r="C75" s="30">
        <v>1</v>
      </c>
      <c r="D75" s="30">
        <v>2</v>
      </c>
      <c r="E75" s="30">
        <v>3</v>
      </c>
      <c r="F75" s="30">
        <v>4</v>
      </c>
      <c r="G75" s="30">
        <v>5</v>
      </c>
      <c r="H75" s="30">
        <v>6</v>
      </c>
      <c r="I75" s="30">
        <v>7</v>
      </c>
      <c r="J75" s="30">
        <v>8</v>
      </c>
      <c r="K75" s="30">
        <v>9</v>
      </c>
      <c r="L75" s="30">
        <v>10</v>
      </c>
      <c r="M75" s="30">
        <v>11</v>
      </c>
      <c r="N75" s="30">
        <v>12</v>
      </c>
      <c r="O75" s="30">
        <v>13</v>
      </c>
      <c r="P75" s="30">
        <v>14</v>
      </c>
      <c r="Q75" s="30">
        <v>15</v>
      </c>
      <c r="R75" s="30">
        <v>16</v>
      </c>
      <c r="S75" s="30">
        <v>17</v>
      </c>
      <c r="T75" s="30">
        <v>18</v>
      </c>
      <c r="U75" s="30">
        <v>19</v>
      </c>
      <c r="V75" s="30">
        <v>20</v>
      </c>
      <c r="W75" s="30">
        <v>21</v>
      </c>
      <c r="X75" s="30">
        <v>22</v>
      </c>
      <c r="Y75" s="30">
        <v>23</v>
      </c>
      <c r="Z75" s="30">
        <v>24</v>
      </c>
      <c r="AA75" s="30">
        <v>25</v>
      </c>
      <c r="AB75" s="30">
        <v>26</v>
      </c>
      <c r="AC75" s="30">
        <v>27</v>
      </c>
      <c r="AD75" s="30">
        <v>28</v>
      </c>
      <c r="AE75" s="30">
        <v>29</v>
      </c>
      <c r="AF75" s="30">
        <v>30</v>
      </c>
      <c r="AG75" s="30">
        <v>31</v>
      </c>
    </row>
    <row r="76" spans="1:33" x14ac:dyDescent="0.25">
      <c r="A76" s="47" t="s">
        <v>22</v>
      </c>
      <c r="B76" s="32" t="s">
        <v>6</v>
      </c>
      <c r="C76" s="33">
        <f>'1'!K24</f>
        <v>100000</v>
      </c>
      <c r="D76" s="33">
        <f>'2'!K24</f>
        <v>100000</v>
      </c>
      <c r="E76" s="33">
        <f>'3'!K24</f>
        <v>100000</v>
      </c>
      <c r="F76" s="33">
        <f>'4'!K24</f>
        <v>100000</v>
      </c>
      <c r="G76" s="33">
        <f>'5'!K24</f>
        <v>100000</v>
      </c>
      <c r="H76" s="33">
        <f>'6'!K24</f>
        <v>100000</v>
      </c>
      <c r="I76" s="33">
        <f>'7'!K24</f>
        <v>100000</v>
      </c>
      <c r="J76" s="33">
        <f>'8'!K24</f>
        <v>100000</v>
      </c>
      <c r="K76" s="33">
        <f>'9'!K24</f>
        <v>100000</v>
      </c>
      <c r="L76" s="33">
        <f>'10'!K24</f>
        <v>100000</v>
      </c>
      <c r="M76" s="33">
        <f>'11'!K24</f>
        <v>100000</v>
      </c>
      <c r="N76" s="33">
        <f>'12'!K24</f>
        <v>100000</v>
      </c>
      <c r="O76" s="33">
        <f>'13'!K24</f>
        <v>100000</v>
      </c>
      <c r="P76" s="33">
        <f>'14'!K24</f>
        <v>100000</v>
      </c>
      <c r="Q76" s="33">
        <f>'15'!K24</f>
        <v>100000</v>
      </c>
      <c r="R76" s="33">
        <f>'16'!K24</f>
        <v>100000</v>
      </c>
      <c r="S76" s="33">
        <f>'17'!K24</f>
        <v>100000</v>
      </c>
      <c r="T76" s="33">
        <f>'18'!K24</f>
        <v>100000</v>
      </c>
      <c r="U76" s="33">
        <f>'19'!K24</f>
        <v>100000</v>
      </c>
      <c r="V76" s="33">
        <f>'20'!K24</f>
        <v>100000</v>
      </c>
      <c r="W76" s="33">
        <f>'21'!K24</f>
        <v>100000</v>
      </c>
      <c r="X76" s="33">
        <f>'22'!K24</f>
        <v>100000</v>
      </c>
      <c r="Y76" s="33">
        <f>'23'!K24</f>
        <v>100000</v>
      </c>
      <c r="Z76" s="33">
        <f>'24'!K24</f>
        <v>100000</v>
      </c>
      <c r="AA76" s="33">
        <f>'25'!K24</f>
        <v>100000</v>
      </c>
      <c r="AB76" s="33">
        <f>'26'!K24</f>
        <v>101428.57142857143</v>
      </c>
      <c r="AC76" s="33">
        <f>'27'!K24</f>
        <v>101428.57142857143</v>
      </c>
      <c r="AD76" s="33">
        <f>'28'!K24</f>
        <v>100000</v>
      </c>
      <c r="AE76" s="33" t="e">
        <f>#REF!</f>
        <v>#REF!</v>
      </c>
      <c r="AF76" s="33" t="e">
        <f>#REF!</f>
        <v>#REF!</v>
      </c>
      <c r="AG76" s="33" t="e">
        <f>#REF!</f>
        <v>#REF!</v>
      </c>
    </row>
    <row r="77" spans="1:33" x14ac:dyDescent="0.25">
      <c r="A77" s="51"/>
      <c r="B77" s="38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</row>
    <row r="78" spans="1:33" x14ac:dyDescent="0.25">
      <c r="A78" s="51"/>
      <c r="B78" s="38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</row>
    <row r="79" spans="1:33" x14ac:dyDescent="0.25">
      <c r="A79" s="51"/>
      <c r="B79" s="38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</row>
    <row r="80" spans="1:33" x14ac:dyDescent="0.25">
      <c r="A80" s="51"/>
      <c r="B80" s="38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</row>
    <row r="81" spans="1:33" x14ac:dyDescent="0.25">
      <c r="A81" s="51"/>
      <c r="B81" s="38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</row>
    <row r="82" spans="1:33" x14ac:dyDescent="0.25">
      <c r="A82" s="51"/>
      <c r="B82" s="38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</row>
    <row r="83" spans="1:33" x14ac:dyDescent="0.25">
      <c r="A83" s="51"/>
      <c r="B83" s="38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</row>
    <row r="84" spans="1:33" x14ac:dyDescent="0.25">
      <c r="A84" s="51"/>
      <c r="B84" s="38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</row>
    <row r="85" spans="1:33" x14ac:dyDescent="0.25">
      <c r="A85" s="51"/>
      <c r="B85" s="38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</row>
    <row r="86" spans="1:33" x14ac:dyDescent="0.25">
      <c r="A86" s="51"/>
      <c r="B86" s="38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</row>
    <row r="87" spans="1:33" x14ac:dyDescent="0.25">
      <c r="A87" s="51"/>
      <c r="B87" s="38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</row>
    <row r="88" spans="1:33" x14ac:dyDescent="0.25">
      <c r="A88" s="51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</row>
    <row r="89" spans="1:33" x14ac:dyDescent="0.25">
      <c r="A89" s="51"/>
      <c r="B89" s="38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</row>
    <row r="90" spans="1:33" x14ac:dyDescent="0.25">
      <c r="A90" s="51"/>
      <c r="B90" s="38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</row>
    <row r="91" spans="1:33" x14ac:dyDescent="0.25">
      <c r="A91" s="51"/>
      <c r="B91" s="38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</row>
    <row r="92" spans="1:33" x14ac:dyDescent="0.25">
      <c r="A92" s="51"/>
      <c r="B92" s="38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</row>
    <row r="93" spans="1:33" x14ac:dyDescent="0.25">
      <c r="A93" s="51"/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</row>
    <row r="94" spans="1:33" x14ac:dyDescent="0.25">
      <c r="A94" s="51"/>
      <c r="B94" s="38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</row>
    <row r="95" spans="1:33" x14ac:dyDescent="0.25">
      <c r="A95" s="46"/>
      <c r="B95" s="41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</row>
    <row r="96" spans="1:33" x14ac:dyDescent="0.25">
      <c r="A96" s="28"/>
      <c r="B96" s="26"/>
      <c r="C96" s="30">
        <v>1</v>
      </c>
      <c r="D96" s="30">
        <v>2</v>
      </c>
      <c r="E96" s="30">
        <v>3</v>
      </c>
      <c r="F96" s="30">
        <v>4</v>
      </c>
      <c r="G96" s="30">
        <v>5</v>
      </c>
      <c r="H96" s="30">
        <v>6</v>
      </c>
      <c r="I96" s="30">
        <v>7</v>
      </c>
      <c r="J96" s="30">
        <v>8</v>
      </c>
      <c r="K96" s="30">
        <v>9</v>
      </c>
      <c r="L96" s="30">
        <v>10</v>
      </c>
      <c r="M96" s="30">
        <v>11</v>
      </c>
      <c r="N96" s="30">
        <v>12</v>
      </c>
      <c r="O96" s="30">
        <v>13</v>
      </c>
      <c r="P96" s="30">
        <v>14</v>
      </c>
      <c r="Q96" s="30">
        <v>15</v>
      </c>
      <c r="R96" s="30">
        <v>16</v>
      </c>
      <c r="S96" s="30">
        <v>17</v>
      </c>
      <c r="T96" s="30">
        <v>18</v>
      </c>
      <c r="U96" s="30">
        <v>19</v>
      </c>
      <c r="V96" s="30">
        <v>20</v>
      </c>
      <c r="W96" s="30">
        <v>21</v>
      </c>
      <c r="X96" s="30">
        <v>22</v>
      </c>
      <c r="Y96" s="30">
        <v>23</v>
      </c>
      <c r="Z96" s="30">
        <v>24</v>
      </c>
      <c r="AA96" s="30">
        <v>25</v>
      </c>
      <c r="AB96" s="30">
        <v>26</v>
      </c>
      <c r="AC96" s="30">
        <v>27</v>
      </c>
      <c r="AD96" s="30">
        <v>28</v>
      </c>
      <c r="AE96" s="30">
        <v>29</v>
      </c>
      <c r="AF96" s="30">
        <v>30</v>
      </c>
      <c r="AG96" s="30">
        <v>31</v>
      </c>
    </row>
    <row r="97" spans="1:33" x14ac:dyDescent="0.25">
      <c r="A97" s="47" t="s">
        <v>103</v>
      </c>
      <c r="B97" s="32" t="s">
        <v>6</v>
      </c>
      <c r="C97" s="33">
        <f>'1'!K33</f>
        <v>0</v>
      </c>
      <c r="D97" s="33">
        <f>'2'!K33</f>
        <v>0</v>
      </c>
      <c r="E97" s="33">
        <f>'3'!K33</f>
        <v>0</v>
      </c>
      <c r="F97" s="33">
        <f>'4'!K33</f>
        <v>0</v>
      </c>
      <c r="G97" s="33">
        <f>'5'!K33</f>
        <v>0</v>
      </c>
      <c r="H97" s="33">
        <f>'6'!K33</f>
        <v>0</v>
      </c>
      <c r="I97" s="33">
        <f>'7'!K33</f>
        <v>0</v>
      </c>
      <c r="J97" s="33">
        <f>'8'!K33</f>
        <v>0</v>
      </c>
      <c r="K97" s="33">
        <f>'9'!K33</f>
        <v>0</v>
      </c>
      <c r="L97" s="33">
        <f>'10'!K33</f>
        <v>0</v>
      </c>
      <c r="M97" s="33">
        <f>'11'!K33</f>
        <v>0</v>
      </c>
      <c r="N97" s="33">
        <f>'12'!K33</f>
        <v>0</v>
      </c>
      <c r="O97" s="33">
        <f>'13'!K33</f>
        <v>0</v>
      </c>
      <c r="P97" s="33">
        <f>'14'!K33</f>
        <v>0</v>
      </c>
      <c r="Q97" s="33">
        <f>'15'!K33</f>
        <v>0</v>
      </c>
      <c r="R97" s="33">
        <f>'16'!K33</f>
        <v>0</v>
      </c>
      <c r="S97" s="33">
        <f>'17'!K33</f>
        <v>0</v>
      </c>
      <c r="T97" s="33">
        <f>'18'!K33</f>
        <v>0</v>
      </c>
      <c r="U97" s="33">
        <f>'19'!K33</f>
        <v>0</v>
      </c>
      <c r="V97" s="33">
        <f>'20'!K33</f>
        <v>0</v>
      </c>
      <c r="W97" s="33">
        <f>'21'!K33</f>
        <v>0</v>
      </c>
      <c r="X97" s="33">
        <f>'22'!K33</f>
        <v>0</v>
      </c>
      <c r="Y97" s="33">
        <f>'23'!K33</f>
        <v>0</v>
      </c>
      <c r="Z97" s="33">
        <f>'24'!K33</f>
        <v>0</v>
      </c>
      <c r="AA97" s="33">
        <f>'25'!K33</f>
        <v>0</v>
      </c>
      <c r="AB97" s="33">
        <f>'26'!K33</f>
        <v>0</v>
      </c>
      <c r="AC97" s="33">
        <f>'27'!K33</f>
        <v>0</v>
      </c>
      <c r="AD97" s="33">
        <f>'28'!K33</f>
        <v>0</v>
      </c>
      <c r="AE97" s="33" t="e">
        <f>#REF!</f>
        <v>#REF!</v>
      </c>
      <c r="AF97" s="33" t="e">
        <f>#REF!</f>
        <v>#REF!</v>
      </c>
      <c r="AG97" s="33" t="e">
        <f>#REF!</f>
        <v>#REF!</v>
      </c>
    </row>
    <row r="98" spans="1:33" x14ac:dyDescent="0.25">
      <c r="A98" s="49"/>
      <c r="B98" s="35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</row>
    <row r="99" spans="1:33" x14ac:dyDescent="0.25">
      <c r="A99" s="50"/>
      <c r="B99" s="50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</row>
    <row r="100" spans="1:33" x14ac:dyDescent="0.25">
      <c r="A100" s="50"/>
      <c r="B100" s="50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</row>
    <row r="101" spans="1:33" x14ac:dyDescent="0.25">
      <c r="A101" s="50"/>
      <c r="B101" s="50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</row>
    <row r="102" spans="1:33" x14ac:dyDescent="0.25">
      <c r="A102" s="50"/>
      <c r="B102" s="50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</row>
    <row r="103" spans="1:33" x14ac:dyDescent="0.25">
      <c r="A103" s="50"/>
      <c r="B103" s="50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</row>
    <row r="104" spans="1:33" x14ac:dyDescent="0.25">
      <c r="A104" s="50"/>
      <c r="B104" s="50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</row>
    <row r="105" spans="1:33" x14ac:dyDescent="0.25">
      <c r="A105" s="50"/>
      <c r="B105" s="50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</row>
    <row r="106" spans="1:33" x14ac:dyDescent="0.25">
      <c r="A106" s="50"/>
      <c r="B106" s="50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</row>
    <row r="107" spans="1:33" x14ac:dyDescent="0.25">
      <c r="A107" s="50"/>
      <c r="B107" s="50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</row>
    <row r="108" spans="1:33" x14ac:dyDescent="0.25">
      <c r="A108" s="50"/>
      <c r="B108" s="50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</row>
    <row r="109" spans="1:33" x14ac:dyDescent="0.25">
      <c r="A109" s="50"/>
      <c r="B109" s="50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</row>
    <row r="110" spans="1:33" x14ac:dyDescent="0.25">
      <c r="A110" s="50"/>
      <c r="B110" s="50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</row>
    <row r="111" spans="1:33" x14ac:dyDescent="0.25">
      <c r="A111" s="50"/>
      <c r="B111" s="50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</row>
    <row r="112" spans="1:33" x14ac:dyDescent="0.25">
      <c r="A112" s="50"/>
      <c r="B112" s="50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</row>
    <row r="113" spans="1:33" x14ac:dyDescent="0.25">
      <c r="A113" s="50"/>
      <c r="B113" s="50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</row>
    <row r="114" spans="1:33" x14ac:dyDescent="0.25">
      <c r="A114" s="50"/>
      <c r="B114" s="50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</row>
    <row r="115" spans="1:33" x14ac:dyDescent="0.25">
      <c r="A115" s="46"/>
      <c r="B115" s="41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</row>
    <row r="116" spans="1:33" x14ac:dyDescent="0.25">
      <c r="A116" s="28"/>
      <c r="B116" s="26"/>
      <c r="C116" s="30">
        <v>1</v>
      </c>
      <c r="D116" s="30">
        <v>2</v>
      </c>
      <c r="E116" s="30">
        <v>3</v>
      </c>
      <c r="F116" s="30">
        <v>4</v>
      </c>
      <c r="G116" s="30">
        <v>5</v>
      </c>
      <c r="H116" s="30">
        <v>6</v>
      </c>
      <c r="I116" s="30">
        <v>7</v>
      </c>
      <c r="J116" s="30">
        <v>8</v>
      </c>
      <c r="K116" s="30">
        <v>9</v>
      </c>
      <c r="L116" s="30">
        <v>10</v>
      </c>
      <c r="M116" s="30">
        <v>11</v>
      </c>
      <c r="N116" s="30">
        <v>12</v>
      </c>
      <c r="O116" s="30">
        <v>13</v>
      </c>
      <c r="P116" s="30">
        <v>14</v>
      </c>
      <c r="Q116" s="30">
        <v>15</v>
      </c>
      <c r="R116" s="30">
        <v>16</v>
      </c>
      <c r="S116" s="30">
        <v>17</v>
      </c>
      <c r="T116" s="30">
        <v>18</v>
      </c>
      <c r="U116" s="30">
        <v>19</v>
      </c>
      <c r="V116" s="30">
        <v>20</v>
      </c>
      <c r="W116" s="30">
        <v>21</v>
      </c>
      <c r="X116" s="30">
        <v>22</v>
      </c>
      <c r="Y116" s="30">
        <v>23</v>
      </c>
      <c r="Z116" s="30">
        <v>24</v>
      </c>
      <c r="AA116" s="30">
        <v>25</v>
      </c>
      <c r="AB116" s="30">
        <v>26</v>
      </c>
      <c r="AC116" s="30">
        <v>27</v>
      </c>
      <c r="AD116" s="30">
        <v>28</v>
      </c>
      <c r="AE116" s="30">
        <v>29</v>
      </c>
      <c r="AF116" s="30">
        <v>30</v>
      </c>
      <c r="AG116" s="30">
        <v>31</v>
      </c>
    </row>
    <row r="117" spans="1:33" x14ac:dyDescent="0.25">
      <c r="A117" s="47" t="s">
        <v>47</v>
      </c>
      <c r="B117" s="32" t="s">
        <v>48</v>
      </c>
      <c r="C117" s="33">
        <f>'1'!K45</f>
        <v>12500</v>
      </c>
      <c r="D117" s="33">
        <f>'2'!K45</f>
        <v>12500</v>
      </c>
      <c r="E117" s="33">
        <f>'3'!K45</f>
        <v>12500</v>
      </c>
      <c r="F117" s="33">
        <f>'4'!K45</f>
        <v>12500</v>
      </c>
      <c r="G117" s="33">
        <f>'5'!K45</f>
        <v>12500</v>
      </c>
      <c r="H117" s="33">
        <f>'6'!K45</f>
        <v>12500</v>
      </c>
      <c r="I117" s="33">
        <f>'7'!K45</f>
        <v>12500</v>
      </c>
      <c r="J117" s="33">
        <f>'8'!K45</f>
        <v>12500</v>
      </c>
      <c r="K117" s="33">
        <f>'9'!K45</f>
        <v>12500</v>
      </c>
      <c r="L117" s="33">
        <f>'10'!K45</f>
        <v>12500</v>
      </c>
      <c r="M117" s="33">
        <f>'11'!K45</f>
        <v>12500</v>
      </c>
      <c r="N117" s="33">
        <f>'12'!K45</f>
        <v>12500</v>
      </c>
      <c r="O117" s="33">
        <f>'13'!K45</f>
        <v>12500</v>
      </c>
      <c r="P117" s="33">
        <f>'14'!K45</f>
        <v>12500</v>
      </c>
      <c r="Q117" s="33">
        <f>'15'!K45</f>
        <v>12500</v>
      </c>
      <c r="R117" s="33">
        <f>'16'!K45</f>
        <v>12500</v>
      </c>
      <c r="S117" s="33">
        <f>'17'!K45</f>
        <v>12500</v>
      </c>
      <c r="T117" s="33">
        <f>'18'!K45</f>
        <v>12500</v>
      </c>
      <c r="U117" s="33">
        <f>'19'!K45</f>
        <v>12500</v>
      </c>
      <c r="V117" s="33">
        <f>'20'!K45</f>
        <v>12500</v>
      </c>
      <c r="W117" s="33">
        <f>'21'!K45</f>
        <v>12500</v>
      </c>
      <c r="X117" s="33">
        <f>'22'!K45</f>
        <v>12500</v>
      </c>
      <c r="Y117" s="33">
        <f>'23'!K45</f>
        <v>12500</v>
      </c>
      <c r="Z117" s="33">
        <f>'24'!K45</f>
        <v>12500</v>
      </c>
      <c r="AA117" s="33">
        <f>'25'!K45</f>
        <v>12500</v>
      </c>
      <c r="AB117" s="33">
        <f>'26'!K45</f>
        <v>12500</v>
      </c>
      <c r="AC117" s="33">
        <f>'27'!K45</f>
        <v>12500</v>
      </c>
      <c r="AD117" s="33">
        <f>'28'!K45</f>
        <v>12500</v>
      </c>
      <c r="AE117" s="33" t="e">
        <f>#REF!</f>
        <v>#REF!</v>
      </c>
      <c r="AF117" s="33" t="e">
        <f>#REF!</f>
        <v>#REF!</v>
      </c>
      <c r="AG117" s="33" t="e">
        <f>#REF!</f>
        <v>#REF!</v>
      </c>
    </row>
    <row r="118" spans="1:33" x14ac:dyDescent="0.25">
      <c r="A118" s="48"/>
      <c r="B118" s="35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</row>
    <row r="119" spans="1:33" x14ac:dyDescent="0.25">
      <c r="A119" s="50"/>
      <c r="B119" s="38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</row>
    <row r="120" spans="1:33" x14ac:dyDescent="0.25">
      <c r="A120" s="50"/>
      <c r="B120" s="38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</row>
    <row r="121" spans="1:33" x14ac:dyDescent="0.25">
      <c r="A121" s="50"/>
      <c r="B121" s="38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</row>
    <row r="122" spans="1:33" x14ac:dyDescent="0.25">
      <c r="A122" s="50"/>
      <c r="B122" s="38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</row>
    <row r="123" spans="1:33" x14ac:dyDescent="0.25">
      <c r="A123" s="50"/>
      <c r="B123" s="38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</row>
    <row r="124" spans="1:33" x14ac:dyDescent="0.25">
      <c r="A124" s="50"/>
      <c r="B124" s="38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</row>
    <row r="125" spans="1:33" x14ac:dyDescent="0.25">
      <c r="A125" s="50"/>
      <c r="B125" s="38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</row>
    <row r="126" spans="1:33" x14ac:dyDescent="0.25">
      <c r="A126" s="50"/>
      <c r="B126" s="38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</row>
    <row r="127" spans="1:33" x14ac:dyDescent="0.25">
      <c r="A127" s="50"/>
      <c r="B127" s="38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</row>
    <row r="128" spans="1:33" x14ac:dyDescent="0.25">
      <c r="A128" s="50"/>
      <c r="B128" s="38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</row>
    <row r="129" spans="1:33" x14ac:dyDescent="0.25">
      <c r="A129" s="50"/>
      <c r="B129" s="38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</row>
    <row r="130" spans="1:33" x14ac:dyDescent="0.25">
      <c r="A130" s="50"/>
      <c r="B130" s="38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</row>
    <row r="131" spans="1:33" x14ac:dyDescent="0.25">
      <c r="A131" s="50"/>
      <c r="B131" s="38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</row>
    <row r="132" spans="1:33" x14ac:dyDescent="0.25">
      <c r="A132" s="50"/>
      <c r="B132" s="38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</row>
    <row r="133" spans="1:33" x14ac:dyDescent="0.25">
      <c r="A133" s="50"/>
      <c r="B133" s="38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</row>
    <row r="134" spans="1:33" x14ac:dyDescent="0.25">
      <c r="A134" s="50"/>
      <c r="B134" s="38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</row>
    <row r="135" spans="1:33" x14ac:dyDescent="0.25">
      <c r="A135" s="50"/>
      <c r="B135" s="38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</row>
    <row r="136" spans="1:33" x14ac:dyDescent="0.25">
      <c r="A136" s="50"/>
      <c r="B136" s="38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</row>
    <row r="137" spans="1:33" x14ac:dyDescent="0.25">
      <c r="A137" s="50"/>
      <c r="B137" s="38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</row>
    <row r="138" spans="1:33" x14ac:dyDescent="0.25">
      <c r="A138" s="50"/>
      <c r="B138" s="38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</row>
    <row r="139" spans="1:33" x14ac:dyDescent="0.25">
      <c r="A139" s="50"/>
      <c r="B139" s="38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</row>
    <row r="140" spans="1:33" x14ac:dyDescent="0.25">
      <c r="A140" s="50"/>
      <c r="B140" s="38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</row>
    <row r="141" spans="1:33" x14ac:dyDescent="0.25">
      <c r="A141" s="50"/>
      <c r="B141" s="38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</row>
    <row r="142" spans="1:33" x14ac:dyDescent="0.25">
      <c r="A142" s="50"/>
      <c r="B142" s="38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</row>
    <row r="143" spans="1:33" x14ac:dyDescent="0.25">
      <c r="A143" s="50"/>
      <c r="B143" s="38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</row>
    <row r="144" spans="1:33" x14ac:dyDescent="0.25">
      <c r="A144" s="50"/>
      <c r="B144" s="38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</row>
    <row r="145" spans="1:33" x14ac:dyDescent="0.25">
      <c r="A145" s="50"/>
      <c r="B145" s="38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</row>
    <row r="146" spans="1:33" x14ac:dyDescent="0.25">
      <c r="A146" s="50"/>
      <c r="B146" s="38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</row>
    <row r="147" spans="1:33" x14ac:dyDescent="0.25">
      <c r="A147" s="50"/>
      <c r="B147" s="38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</row>
    <row r="148" spans="1:33" x14ac:dyDescent="0.25">
      <c r="A148" s="46"/>
      <c r="B148" s="41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</row>
    <row r="149" spans="1:33" x14ac:dyDescent="0.25">
      <c r="A149" s="28"/>
      <c r="B149" s="26"/>
      <c r="C149" s="30">
        <v>1</v>
      </c>
      <c r="D149" s="30">
        <v>2</v>
      </c>
      <c r="E149" s="30">
        <v>3</v>
      </c>
      <c r="F149" s="30">
        <v>4</v>
      </c>
      <c r="G149" s="30">
        <v>5</v>
      </c>
      <c r="H149" s="30">
        <v>6</v>
      </c>
      <c r="I149" s="30">
        <v>7</v>
      </c>
      <c r="J149" s="30">
        <v>8</v>
      </c>
      <c r="K149" s="30">
        <v>9</v>
      </c>
      <c r="L149" s="30">
        <v>10</v>
      </c>
      <c r="M149" s="30">
        <v>11</v>
      </c>
      <c r="N149" s="30">
        <v>12</v>
      </c>
      <c r="O149" s="30">
        <v>13</v>
      </c>
      <c r="P149" s="30">
        <v>14</v>
      </c>
      <c r="Q149" s="30">
        <v>15</v>
      </c>
      <c r="R149" s="30">
        <v>16</v>
      </c>
      <c r="S149" s="30">
        <v>17</v>
      </c>
      <c r="T149" s="30">
        <v>18</v>
      </c>
      <c r="U149" s="30">
        <v>19</v>
      </c>
      <c r="V149" s="30">
        <v>20</v>
      </c>
      <c r="W149" s="30">
        <v>21</v>
      </c>
      <c r="X149" s="30">
        <v>22</v>
      </c>
      <c r="Y149" s="30">
        <v>23</v>
      </c>
      <c r="Z149" s="30">
        <v>24</v>
      </c>
      <c r="AA149" s="30">
        <v>25</v>
      </c>
      <c r="AB149" s="30">
        <v>26</v>
      </c>
      <c r="AC149" s="30">
        <v>27</v>
      </c>
      <c r="AD149" s="30">
        <v>28</v>
      </c>
      <c r="AE149" s="30">
        <v>29</v>
      </c>
      <c r="AF149" s="30">
        <v>30</v>
      </c>
      <c r="AG149" s="30">
        <v>31</v>
      </c>
    </row>
    <row r="150" spans="1:33" x14ac:dyDescent="0.25">
      <c r="A150" s="47" t="s">
        <v>52</v>
      </c>
      <c r="B150" s="32" t="s">
        <v>6</v>
      </c>
      <c r="C150" s="33">
        <f>'1'!K49</f>
        <v>0</v>
      </c>
      <c r="D150" s="33">
        <f>'2'!K49</f>
        <v>0</v>
      </c>
      <c r="E150" s="33">
        <f>'3'!K49</f>
        <v>0</v>
      </c>
      <c r="F150" s="33">
        <f>'4'!K49</f>
        <v>0</v>
      </c>
      <c r="G150" s="33">
        <f>'5'!K49</f>
        <v>0</v>
      </c>
      <c r="H150" s="33">
        <f>'6'!K49</f>
        <v>0</v>
      </c>
      <c r="I150" s="33">
        <f>'7'!K49</f>
        <v>0</v>
      </c>
      <c r="J150" s="33">
        <f>'8'!K49</f>
        <v>0</v>
      </c>
      <c r="K150" s="33">
        <f>'9'!K49</f>
        <v>0</v>
      </c>
      <c r="L150" s="33">
        <f>'10'!K49</f>
        <v>0</v>
      </c>
      <c r="M150" s="33">
        <f>'11'!K49</f>
        <v>0</v>
      </c>
      <c r="N150" s="33">
        <f>'12'!K49</f>
        <v>0</v>
      </c>
      <c r="O150" s="33">
        <f>'13'!K49</f>
        <v>0</v>
      </c>
      <c r="P150" s="33">
        <f>'14'!K49</f>
        <v>0</v>
      </c>
      <c r="Q150" s="33">
        <f>'15'!K49</f>
        <v>0</v>
      </c>
      <c r="R150" s="33">
        <f>'16'!K49</f>
        <v>0</v>
      </c>
      <c r="S150" s="33">
        <f>'17'!K49</f>
        <v>0</v>
      </c>
      <c r="T150" s="33">
        <f>'18'!K49</f>
        <v>0</v>
      </c>
      <c r="U150" s="33">
        <f>'19'!K49</f>
        <v>0</v>
      </c>
      <c r="V150" s="33">
        <f>'20'!K49</f>
        <v>0</v>
      </c>
      <c r="W150" s="33">
        <f>'21'!K49</f>
        <v>0</v>
      </c>
      <c r="X150" s="33">
        <f>'22'!K49</f>
        <v>0</v>
      </c>
      <c r="Y150" s="33">
        <f>'23'!K49</f>
        <v>0</v>
      </c>
      <c r="Z150" s="33">
        <f>'24'!K49</f>
        <v>0</v>
      </c>
      <c r="AA150" s="33">
        <f>'25'!K49</f>
        <v>0</v>
      </c>
      <c r="AB150" s="33">
        <f>'26'!K49</f>
        <v>0</v>
      </c>
      <c r="AC150" s="33">
        <f>'27'!K49</f>
        <v>0</v>
      </c>
      <c r="AD150" s="33">
        <f>'28'!K49</f>
        <v>0</v>
      </c>
      <c r="AE150" s="33" t="e">
        <f>#REF!</f>
        <v>#REF!</v>
      </c>
      <c r="AF150" s="33" t="e">
        <f>#REF!</f>
        <v>#REF!</v>
      </c>
      <c r="AG150" s="33" t="e">
        <f>#REF!</f>
        <v>#REF!</v>
      </c>
    </row>
    <row r="151" spans="1:33" x14ac:dyDescent="0.25">
      <c r="A151" s="49"/>
      <c r="B151" s="35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</row>
    <row r="152" spans="1:33" x14ac:dyDescent="0.25">
      <c r="A152" s="51"/>
      <c r="B152" s="38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</row>
    <row r="153" spans="1:33" x14ac:dyDescent="0.25">
      <c r="A153" s="51"/>
      <c r="B153" s="38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</row>
    <row r="154" spans="1:33" x14ac:dyDescent="0.25">
      <c r="A154" s="51"/>
      <c r="B154" s="38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</row>
    <row r="155" spans="1:33" x14ac:dyDescent="0.25">
      <c r="A155" s="51"/>
      <c r="B155" s="38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</row>
    <row r="156" spans="1:33" x14ac:dyDescent="0.25">
      <c r="A156" s="51"/>
      <c r="B156" s="38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</row>
    <row r="157" spans="1:33" x14ac:dyDescent="0.25">
      <c r="A157" s="51"/>
      <c r="B157" s="38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</row>
    <row r="158" spans="1:33" x14ac:dyDescent="0.25">
      <c r="A158" s="51"/>
      <c r="B158" s="38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</row>
    <row r="159" spans="1:33" x14ac:dyDescent="0.25">
      <c r="A159" s="51"/>
      <c r="B159" s="38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</row>
    <row r="160" spans="1:33" x14ac:dyDescent="0.25">
      <c r="A160" s="51"/>
      <c r="B160" s="38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</row>
    <row r="161" spans="1:33" x14ac:dyDescent="0.25">
      <c r="A161" s="51"/>
      <c r="B161" s="38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</row>
    <row r="162" spans="1:33" x14ac:dyDescent="0.25">
      <c r="A162" s="51"/>
      <c r="B162" s="38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</row>
    <row r="163" spans="1:33" x14ac:dyDescent="0.25">
      <c r="A163" s="51"/>
      <c r="B163" s="38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</row>
    <row r="164" spans="1:33" x14ac:dyDescent="0.25">
      <c r="A164" s="51"/>
      <c r="B164" s="38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</row>
    <row r="165" spans="1:33" x14ac:dyDescent="0.25">
      <c r="A165" s="51"/>
      <c r="B165" s="38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</row>
    <row r="166" spans="1:33" x14ac:dyDescent="0.25">
      <c r="A166" s="51"/>
      <c r="B166" s="38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</row>
    <row r="167" spans="1:33" x14ac:dyDescent="0.25">
      <c r="A167" s="50"/>
      <c r="B167" s="38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</row>
    <row r="168" spans="1:33" x14ac:dyDescent="0.25">
      <c r="A168" s="46"/>
      <c r="B168" s="41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</row>
    <row r="169" spans="1:33" x14ac:dyDescent="0.25">
      <c r="A169" s="28"/>
      <c r="B169" s="26"/>
      <c r="C169" s="30">
        <v>1</v>
      </c>
      <c r="D169" s="30">
        <v>2</v>
      </c>
      <c r="E169" s="30">
        <v>3</v>
      </c>
      <c r="F169" s="30">
        <v>4</v>
      </c>
      <c r="G169" s="30">
        <v>5</v>
      </c>
      <c r="H169" s="30">
        <v>6</v>
      </c>
      <c r="I169" s="30">
        <v>7</v>
      </c>
      <c r="J169" s="30">
        <v>8</v>
      </c>
      <c r="K169" s="30">
        <v>9</v>
      </c>
      <c r="L169" s="30">
        <v>10</v>
      </c>
      <c r="M169" s="30">
        <v>11</v>
      </c>
      <c r="N169" s="30">
        <v>12</v>
      </c>
      <c r="O169" s="30">
        <v>13</v>
      </c>
      <c r="P169" s="30">
        <v>14</v>
      </c>
      <c r="Q169" s="30">
        <v>15</v>
      </c>
      <c r="R169" s="30">
        <v>16</v>
      </c>
      <c r="S169" s="30">
        <v>17</v>
      </c>
      <c r="T169" s="30">
        <v>18</v>
      </c>
      <c r="U169" s="30">
        <v>19</v>
      </c>
      <c r="V169" s="30">
        <v>20</v>
      </c>
      <c r="W169" s="30">
        <v>21</v>
      </c>
      <c r="X169" s="30">
        <v>22</v>
      </c>
      <c r="Y169" s="30">
        <v>23</v>
      </c>
      <c r="Z169" s="30">
        <v>24</v>
      </c>
      <c r="AA169" s="30">
        <v>25</v>
      </c>
      <c r="AB169" s="30">
        <v>26</v>
      </c>
      <c r="AC169" s="30">
        <v>27</v>
      </c>
      <c r="AD169" s="30">
        <v>28</v>
      </c>
      <c r="AE169" s="30">
        <v>29</v>
      </c>
      <c r="AF169" s="30">
        <v>30</v>
      </c>
      <c r="AG169" s="30">
        <v>31</v>
      </c>
    </row>
    <row r="170" spans="1:33" x14ac:dyDescent="0.25">
      <c r="A170" s="47" t="s">
        <v>60</v>
      </c>
      <c r="B170" s="32" t="s">
        <v>6</v>
      </c>
      <c r="C170" s="33">
        <f>'1'!K56</f>
        <v>0</v>
      </c>
      <c r="D170" s="33">
        <f>'2'!K56</f>
        <v>0</v>
      </c>
      <c r="E170" s="33">
        <f>'3'!K56</f>
        <v>0</v>
      </c>
      <c r="F170" s="33">
        <f>'4'!K56</f>
        <v>0</v>
      </c>
      <c r="G170" s="33">
        <f>'5'!K56</f>
        <v>0</v>
      </c>
      <c r="H170" s="33">
        <f>'6'!K56</f>
        <v>0</v>
      </c>
      <c r="I170" s="33">
        <f>'7'!K56</f>
        <v>0</v>
      </c>
      <c r="J170" s="33">
        <f>'8'!K56</f>
        <v>0</v>
      </c>
      <c r="K170" s="33">
        <f>'9'!K56</f>
        <v>0</v>
      </c>
      <c r="L170" s="33">
        <f>'10'!K56</f>
        <v>0</v>
      </c>
      <c r="M170" s="33">
        <f>'11'!K56</f>
        <v>0</v>
      </c>
      <c r="N170" s="33">
        <f>'12'!K56</f>
        <v>0</v>
      </c>
      <c r="O170" s="33">
        <f>'13'!K56</f>
        <v>0</v>
      </c>
      <c r="P170" s="33">
        <f>'14'!K56</f>
        <v>0</v>
      </c>
      <c r="Q170" s="33">
        <f>'15'!K56</f>
        <v>0</v>
      </c>
      <c r="R170" s="33">
        <f>'16'!K56</f>
        <v>0</v>
      </c>
      <c r="S170" s="33">
        <f>'17'!K56</f>
        <v>0</v>
      </c>
      <c r="T170" s="33">
        <f>'18'!K56</f>
        <v>0</v>
      </c>
      <c r="U170" s="33">
        <f>'19'!K56</f>
        <v>0</v>
      </c>
      <c r="V170" s="33">
        <f>'20'!K56</f>
        <v>0</v>
      </c>
      <c r="W170" s="33">
        <f>'21'!K56</f>
        <v>0</v>
      </c>
      <c r="X170" s="33">
        <f>'22'!K56</f>
        <v>0</v>
      </c>
      <c r="Y170" s="33">
        <f>'23'!K56</f>
        <v>0</v>
      </c>
      <c r="Z170" s="33">
        <f>'24'!K56</f>
        <v>0</v>
      </c>
      <c r="AA170" s="33">
        <f>'25'!K56</f>
        <v>0</v>
      </c>
      <c r="AB170" s="33">
        <f>'26'!K56</f>
        <v>0</v>
      </c>
      <c r="AC170" s="33">
        <f>'27'!K56</f>
        <v>0</v>
      </c>
      <c r="AD170" s="33">
        <f>'28'!K56</f>
        <v>0</v>
      </c>
      <c r="AE170" s="33" t="e">
        <f>#REF!</f>
        <v>#REF!</v>
      </c>
      <c r="AF170" s="33" t="e">
        <f>#REF!</f>
        <v>#REF!</v>
      </c>
      <c r="AG170" s="33" t="e">
        <f>#REF!</f>
        <v>#REF!</v>
      </c>
    </row>
    <row r="171" spans="1:33" x14ac:dyDescent="0.25">
      <c r="A171" s="47" t="s">
        <v>61</v>
      </c>
      <c r="B171" s="32" t="s">
        <v>6</v>
      </c>
      <c r="C171" s="33">
        <f>'1'!K57</f>
        <v>13916.666666666666</v>
      </c>
      <c r="D171" s="33">
        <f>'2'!K57</f>
        <v>13916.666666666666</v>
      </c>
      <c r="E171" s="33">
        <f>'3'!K57</f>
        <v>14250</v>
      </c>
      <c r="F171" s="33">
        <f>'4'!K57</f>
        <v>14250</v>
      </c>
      <c r="G171" s="33">
        <f>'5'!K57</f>
        <v>14250</v>
      </c>
      <c r="H171" s="33">
        <f>'6'!K57</f>
        <v>14250</v>
      </c>
      <c r="I171" s="33">
        <f>'7'!K57</f>
        <v>14250</v>
      </c>
      <c r="J171" s="33">
        <f>'8'!K57</f>
        <v>14250</v>
      </c>
      <c r="K171" s="33">
        <f>'9'!K57</f>
        <v>14250</v>
      </c>
      <c r="L171" s="33">
        <f>'10'!K57</f>
        <v>14250</v>
      </c>
      <c r="M171" s="33">
        <f>'11'!K57</f>
        <v>14250</v>
      </c>
      <c r="N171" s="33">
        <f>'12'!K57</f>
        <v>14250</v>
      </c>
      <c r="O171" s="33">
        <f>'13'!K57</f>
        <v>14250</v>
      </c>
      <c r="P171" s="33">
        <f>'14'!K57</f>
        <v>14250</v>
      </c>
      <c r="Q171" s="33">
        <f>'15'!K57</f>
        <v>14250</v>
      </c>
      <c r="R171" s="33">
        <f>'16'!K57</f>
        <v>14250</v>
      </c>
      <c r="S171" s="33">
        <f>'17'!K57</f>
        <v>14250</v>
      </c>
      <c r="T171" s="33">
        <f>'18'!K57</f>
        <v>14250</v>
      </c>
      <c r="U171" s="33">
        <f>'19'!K57</f>
        <v>14250</v>
      </c>
      <c r="V171" s="33">
        <f>'20'!K57</f>
        <v>14250</v>
      </c>
      <c r="W171" s="33">
        <f>'21'!K57</f>
        <v>14250</v>
      </c>
      <c r="X171" s="33">
        <f>'22'!K57</f>
        <v>14250</v>
      </c>
      <c r="Y171" s="33">
        <f>'23'!K57</f>
        <v>14250</v>
      </c>
      <c r="Z171" s="33">
        <f>'24'!K57</f>
        <v>14250</v>
      </c>
      <c r="AA171" s="33">
        <f>'25'!K57</f>
        <v>14250</v>
      </c>
      <c r="AB171" s="33">
        <f>'26'!K57</f>
        <v>14250</v>
      </c>
      <c r="AC171" s="33">
        <f>'27'!K57</f>
        <v>14250</v>
      </c>
      <c r="AD171" s="33">
        <f>'28'!K57</f>
        <v>14250</v>
      </c>
      <c r="AE171" s="33" t="e">
        <f>#REF!</f>
        <v>#REF!</v>
      </c>
      <c r="AF171" s="33" t="e">
        <f>#REF!</f>
        <v>#REF!</v>
      </c>
      <c r="AG171" s="33" t="e">
        <f>#REF!</f>
        <v>#REF!</v>
      </c>
    </row>
    <row r="172" spans="1:33" x14ac:dyDescent="0.25">
      <c r="A172" s="47" t="s">
        <v>62</v>
      </c>
      <c r="B172" s="32" t="s">
        <v>6</v>
      </c>
      <c r="C172" s="33">
        <f>'1'!K58</f>
        <v>14000</v>
      </c>
      <c r="D172" s="33">
        <f>'2'!K58</f>
        <v>14000</v>
      </c>
      <c r="E172" s="33">
        <f>'3'!K58</f>
        <v>14250</v>
      </c>
      <c r="F172" s="33">
        <f>'4'!K58</f>
        <v>14250</v>
      </c>
      <c r="G172" s="33">
        <f>'5'!K58</f>
        <v>14250</v>
      </c>
      <c r="H172" s="33">
        <f>'6'!K58</f>
        <v>14250</v>
      </c>
      <c r="I172" s="33">
        <f>'7'!K58</f>
        <v>14250</v>
      </c>
      <c r="J172" s="33">
        <f>'8'!K58</f>
        <v>14250</v>
      </c>
      <c r="K172" s="33">
        <f>'9'!K58</f>
        <v>14250</v>
      </c>
      <c r="L172" s="33">
        <f>'10'!K58</f>
        <v>14250</v>
      </c>
      <c r="M172" s="33">
        <f>'11'!K58</f>
        <v>14250</v>
      </c>
      <c r="N172" s="33">
        <f>'12'!K58</f>
        <v>14250</v>
      </c>
      <c r="O172" s="33">
        <f>'13'!K58</f>
        <v>14250</v>
      </c>
      <c r="P172" s="33">
        <f>'14'!K58</f>
        <v>14250</v>
      </c>
      <c r="Q172" s="33">
        <f>'15'!K58</f>
        <v>14250</v>
      </c>
      <c r="R172" s="33">
        <f>'16'!K58</f>
        <v>14250</v>
      </c>
      <c r="S172" s="33">
        <f>'17'!K58</f>
        <v>14250</v>
      </c>
      <c r="T172" s="33">
        <f>'18'!K58</f>
        <v>14250</v>
      </c>
      <c r="U172" s="33">
        <f>'19'!K58</f>
        <v>14250</v>
      </c>
      <c r="V172" s="33">
        <f>'20'!K58</f>
        <v>14250</v>
      </c>
      <c r="W172" s="33">
        <f>'21'!K58</f>
        <v>14250</v>
      </c>
      <c r="X172" s="33">
        <f>'22'!K58</f>
        <v>14250</v>
      </c>
      <c r="Y172" s="33">
        <f>'23'!K58</f>
        <v>14250</v>
      </c>
      <c r="Z172" s="33">
        <f>'24'!K58</f>
        <v>14250</v>
      </c>
      <c r="AA172" s="33">
        <f>'25'!K58</f>
        <v>14250</v>
      </c>
      <c r="AB172" s="33">
        <f>'26'!K58</f>
        <v>14250</v>
      </c>
      <c r="AC172" s="33">
        <f>'27'!K58</f>
        <v>14250</v>
      </c>
      <c r="AD172" s="33">
        <f>'28'!K58</f>
        <v>14250</v>
      </c>
      <c r="AE172" s="33" t="e">
        <f>#REF!</f>
        <v>#REF!</v>
      </c>
      <c r="AF172" s="33" t="e">
        <f>#REF!</f>
        <v>#REF!</v>
      </c>
      <c r="AG172" s="33" t="e">
        <f>#REF!</f>
        <v>#REF!</v>
      </c>
    </row>
    <row r="173" spans="1:33" x14ac:dyDescent="0.25">
      <c r="A173" s="48"/>
      <c r="B173" s="35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</row>
    <row r="174" spans="1:33" x14ac:dyDescent="0.25">
      <c r="A174" s="50"/>
      <c r="B174" s="38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</row>
    <row r="175" spans="1:33" x14ac:dyDescent="0.25">
      <c r="A175" s="50"/>
      <c r="B175" s="38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</row>
    <row r="176" spans="1:33" x14ac:dyDescent="0.25">
      <c r="A176" s="50"/>
      <c r="B176" s="38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</row>
    <row r="177" spans="1:33" x14ac:dyDescent="0.25">
      <c r="A177" s="50"/>
      <c r="B177" s="38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</row>
    <row r="178" spans="1:33" x14ac:dyDescent="0.25">
      <c r="A178" s="50"/>
      <c r="B178" s="38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</row>
    <row r="179" spans="1:33" x14ac:dyDescent="0.25">
      <c r="A179" s="50"/>
      <c r="B179" s="38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</row>
    <row r="180" spans="1:33" x14ac:dyDescent="0.25">
      <c r="A180" s="50"/>
      <c r="B180" s="38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</row>
    <row r="181" spans="1:33" x14ac:dyDescent="0.25">
      <c r="A181" s="50"/>
      <c r="B181" s="38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</row>
    <row r="182" spans="1:33" x14ac:dyDescent="0.25">
      <c r="A182" s="50"/>
      <c r="B182" s="38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</row>
    <row r="183" spans="1:33" x14ac:dyDescent="0.25">
      <c r="A183" s="50"/>
      <c r="B183" s="38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</row>
    <row r="184" spans="1:33" x14ac:dyDescent="0.25">
      <c r="A184" s="50"/>
      <c r="B184" s="38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</row>
    <row r="185" spans="1:33" x14ac:dyDescent="0.25">
      <c r="A185" s="50"/>
      <c r="B185" s="38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</row>
    <row r="186" spans="1:33" x14ac:dyDescent="0.25">
      <c r="A186" s="50"/>
      <c r="B186" s="38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</row>
    <row r="187" spans="1:33" x14ac:dyDescent="0.25">
      <c r="A187" s="50"/>
      <c r="B187" s="38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</row>
    <row r="188" spans="1:33" x14ac:dyDescent="0.25">
      <c r="A188" s="50"/>
      <c r="B188" s="38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</row>
    <row r="189" spans="1:33" x14ac:dyDescent="0.25">
      <c r="A189" s="50"/>
      <c r="B189" s="38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</row>
    <row r="190" spans="1:33" x14ac:dyDescent="0.25">
      <c r="A190" s="50"/>
      <c r="B190" s="38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</row>
    <row r="191" spans="1:33" x14ac:dyDescent="0.25">
      <c r="A191" s="50"/>
      <c r="B191" s="38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</row>
    <row r="192" spans="1:33" x14ac:dyDescent="0.25">
      <c r="A192" s="46"/>
      <c r="B192" s="41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</row>
    <row r="193" spans="1:33" x14ac:dyDescent="0.25">
      <c r="A193" s="28"/>
      <c r="B193" s="26"/>
      <c r="C193" s="30">
        <v>1</v>
      </c>
      <c r="D193" s="30">
        <v>2</v>
      </c>
      <c r="E193" s="30">
        <v>3</v>
      </c>
      <c r="F193" s="30">
        <v>4</v>
      </c>
      <c r="G193" s="30">
        <v>5</v>
      </c>
      <c r="H193" s="30">
        <v>6</v>
      </c>
      <c r="I193" s="30">
        <v>7</v>
      </c>
      <c r="J193" s="30">
        <v>8</v>
      </c>
      <c r="K193" s="30">
        <v>9</v>
      </c>
      <c r="L193" s="30">
        <v>10</v>
      </c>
      <c r="M193" s="30">
        <v>11</v>
      </c>
      <c r="N193" s="30">
        <v>12</v>
      </c>
      <c r="O193" s="30">
        <v>13</v>
      </c>
      <c r="P193" s="30">
        <v>14</v>
      </c>
      <c r="Q193" s="30">
        <v>15</v>
      </c>
      <c r="R193" s="30">
        <v>16</v>
      </c>
      <c r="S193" s="30">
        <v>17</v>
      </c>
      <c r="T193" s="30">
        <v>18</v>
      </c>
      <c r="U193" s="30">
        <v>19</v>
      </c>
      <c r="V193" s="30">
        <v>20</v>
      </c>
      <c r="W193" s="30">
        <v>21</v>
      </c>
      <c r="X193" s="30">
        <v>22</v>
      </c>
      <c r="Y193" s="30">
        <v>23</v>
      </c>
      <c r="Z193" s="30">
        <v>24</v>
      </c>
      <c r="AA193" s="30">
        <v>25</v>
      </c>
      <c r="AB193" s="30">
        <v>26</v>
      </c>
      <c r="AC193" s="30">
        <v>27</v>
      </c>
      <c r="AD193" s="30">
        <v>28</v>
      </c>
      <c r="AE193" s="30">
        <v>29</v>
      </c>
      <c r="AF193" s="30">
        <v>30</v>
      </c>
      <c r="AG193" s="30">
        <v>31</v>
      </c>
    </row>
    <row r="194" spans="1:33" x14ac:dyDescent="0.25">
      <c r="A194" s="47" t="s">
        <v>67</v>
      </c>
      <c r="B194" s="32" t="s">
        <v>6</v>
      </c>
      <c r="C194" s="33">
        <f>'1'!K62</f>
        <v>3116.6666666666665</v>
      </c>
      <c r="D194" s="33">
        <f>'2'!K62</f>
        <v>3116.6666666666665</v>
      </c>
      <c r="E194" s="33">
        <f>'3'!K62</f>
        <v>3116.6666666666665</v>
      </c>
      <c r="F194" s="33">
        <f>'4'!K62</f>
        <v>3116.6666666666665</v>
      </c>
      <c r="G194" s="33">
        <f>'5'!K62</f>
        <v>3116.6666666666665</v>
      </c>
      <c r="H194" s="33">
        <f>'6'!K62</f>
        <v>3116.6666666666665</v>
      </c>
      <c r="I194" s="33">
        <f>'7'!K62</f>
        <v>3116.6666666666665</v>
      </c>
      <c r="J194" s="33">
        <f>'8'!K62</f>
        <v>3116.6666666666665</v>
      </c>
      <c r="K194" s="33">
        <f>'9'!K62</f>
        <v>3116.6666666666665</v>
      </c>
      <c r="L194" s="33">
        <f>'10'!K62</f>
        <v>3116.6666666666665</v>
      </c>
      <c r="M194" s="33">
        <f>'11'!K62</f>
        <v>3116.6666666666665</v>
      </c>
      <c r="N194" s="33">
        <f>'12'!K62</f>
        <v>3116.6666666666665</v>
      </c>
      <c r="O194" s="33">
        <f>'13'!K62</f>
        <v>3116.6666666666665</v>
      </c>
      <c r="P194" s="33">
        <f>'14'!K62</f>
        <v>3116.6666666666665</v>
      </c>
      <c r="Q194" s="33">
        <f>'15'!K62</f>
        <v>3116.6666666666665</v>
      </c>
      <c r="R194" s="33">
        <f>'16'!K62</f>
        <v>3116.6666666666665</v>
      </c>
      <c r="S194" s="33">
        <f>'17'!K62</f>
        <v>3116.6666666666665</v>
      </c>
      <c r="T194" s="33">
        <f>'18'!K62</f>
        <v>3116.6666666666665</v>
      </c>
      <c r="U194" s="33">
        <f>'19'!K62</f>
        <v>3116.6666666666665</v>
      </c>
      <c r="V194" s="33">
        <f>'20'!K62</f>
        <v>3116.6666666666665</v>
      </c>
      <c r="W194" s="33">
        <f>'21'!K62</f>
        <v>3116.6666666666665</v>
      </c>
      <c r="X194" s="33">
        <f>'22'!K62</f>
        <v>3116.6666666666665</v>
      </c>
      <c r="Y194" s="33">
        <f>'23'!K62</f>
        <v>3116.6666666666665</v>
      </c>
      <c r="Z194" s="33">
        <f>'24'!K62</f>
        <v>3116.6666666666665</v>
      </c>
      <c r="AA194" s="33">
        <f>'25'!K62</f>
        <v>3116.6666666666665</v>
      </c>
      <c r="AB194" s="33">
        <f>'26'!K62</f>
        <v>3116.6666666666665</v>
      </c>
      <c r="AC194" s="33">
        <f>'27'!K62</f>
        <v>3116.6666666666665</v>
      </c>
      <c r="AD194" s="33">
        <f>'28'!K62</f>
        <v>3116.6666666666665</v>
      </c>
      <c r="AE194" s="33" t="e">
        <f>#REF!</f>
        <v>#REF!</v>
      </c>
      <c r="AF194" s="33" t="e">
        <f>#REF!</f>
        <v>#REF!</v>
      </c>
      <c r="AG194" s="33" t="e">
        <f>#REF!</f>
        <v>#REF!</v>
      </c>
    </row>
    <row r="195" spans="1:33" x14ac:dyDescent="0.25">
      <c r="A195" s="47" t="s">
        <v>68</v>
      </c>
      <c r="B195" s="32" t="s">
        <v>6</v>
      </c>
      <c r="C195" s="33">
        <f>'1'!K63</f>
        <v>0</v>
      </c>
      <c r="D195" s="33">
        <f>'2'!K63</f>
        <v>0</v>
      </c>
      <c r="E195" s="33">
        <f>'3'!K63</f>
        <v>0</v>
      </c>
      <c r="F195" s="33">
        <f>'4'!K63</f>
        <v>0</v>
      </c>
      <c r="G195" s="33">
        <f>'5'!K63</f>
        <v>0</v>
      </c>
      <c r="H195" s="33">
        <f>'6'!K63</f>
        <v>0</v>
      </c>
      <c r="I195" s="33">
        <f>'7'!K63</f>
        <v>0</v>
      </c>
      <c r="J195" s="33">
        <f>'8'!K63</f>
        <v>0</v>
      </c>
      <c r="K195" s="33">
        <f>'9'!K63</f>
        <v>0</v>
      </c>
      <c r="L195" s="33">
        <f>'10'!K63</f>
        <v>0</v>
      </c>
      <c r="M195" s="33">
        <f>'11'!K63</f>
        <v>0</v>
      </c>
      <c r="N195" s="33">
        <f>'12'!K63</f>
        <v>0</v>
      </c>
      <c r="O195" s="33">
        <f>'13'!K63</f>
        <v>0</v>
      </c>
      <c r="P195" s="33">
        <f>'14'!K63</f>
        <v>0</v>
      </c>
      <c r="Q195" s="33">
        <f>'15'!K63</f>
        <v>0</v>
      </c>
      <c r="R195" s="33">
        <f>'16'!K63</f>
        <v>0</v>
      </c>
      <c r="S195" s="33">
        <f>'17'!K63</f>
        <v>0</v>
      </c>
      <c r="T195" s="33">
        <f>'18'!K63</f>
        <v>0</v>
      </c>
      <c r="U195" s="33">
        <f>'19'!K63</f>
        <v>0</v>
      </c>
      <c r="V195" s="33">
        <f>'20'!K63</f>
        <v>0</v>
      </c>
      <c r="W195" s="33">
        <f>'21'!K63</f>
        <v>0</v>
      </c>
      <c r="X195" s="33">
        <f>'22'!K63</f>
        <v>0</v>
      </c>
      <c r="Y195" s="33">
        <f>'23'!K63</f>
        <v>0</v>
      </c>
      <c r="Z195" s="33">
        <f>'24'!K63</f>
        <v>0</v>
      </c>
      <c r="AA195" s="33">
        <f>'25'!K63</f>
        <v>0</v>
      </c>
      <c r="AB195" s="33">
        <f>'26'!K63</f>
        <v>0</v>
      </c>
      <c r="AC195" s="33">
        <f>'27'!K63</f>
        <v>0</v>
      </c>
      <c r="AD195" s="33">
        <f>'28'!K63</f>
        <v>0</v>
      </c>
      <c r="AE195" s="33" t="e">
        <f>#REF!</f>
        <v>#REF!</v>
      </c>
      <c r="AF195" s="33" t="e">
        <f>#REF!</f>
        <v>#REF!</v>
      </c>
      <c r="AG195" s="33" t="e">
        <f>#REF!</f>
        <v>#REF!</v>
      </c>
    </row>
    <row r="196" spans="1:33" x14ac:dyDescent="0.25">
      <c r="A196" s="47" t="s">
        <v>69</v>
      </c>
      <c r="B196" s="32" t="s">
        <v>6</v>
      </c>
      <c r="C196" s="33">
        <f>'1'!K64</f>
        <v>63285.714285714283</v>
      </c>
      <c r="D196" s="33">
        <f>'2'!K64</f>
        <v>62571.428571428572</v>
      </c>
      <c r="E196" s="33">
        <f>'3'!K64</f>
        <v>65571.428571428565</v>
      </c>
      <c r="F196" s="33">
        <f>'4'!K64</f>
        <v>66571.428571428565</v>
      </c>
      <c r="G196" s="33">
        <f>'5'!K64</f>
        <v>68714.28571428571</v>
      </c>
      <c r="H196" s="33">
        <f>'6'!K64</f>
        <v>65000</v>
      </c>
      <c r="I196" s="33">
        <f>'7'!K64</f>
        <v>65285.714285714283</v>
      </c>
      <c r="J196" s="33">
        <f>'8'!K64</f>
        <v>64571.428571428572</v>
      </c>
      <c r="K196" s="33">
        <f>'9'!K64</f>
        <v>62857.142857142855</v>
      </c>
      <c r="L196" s="33">
        <f>'10'!K64</f>
        <v>67000</v>
      </c>
      <c r="M196" s="33">
        <f>'11'!K64</f>
        <v>66428.571428571435</v>
      </c>
      <c r="N196" s="33">
        <f>'12'!K64</f>
        <v>65000</v>
      </c>
      <c r="O196" s="33">
        <f>'13'!K64</f>
        <v>65000</v>
      </c>
      <c r="P196" s="33">
        <f>'14'!K64</f>
        <v>65000</v>
      </c>
      <c r="Q196" s="33">
        <f>'15'!K64</f>
        <v>72000</v>
      </c>
      <c r="R196" s="33">
        <f>'16'!K64</f>
        <v>71000</v>
      </c>
      <c r="S196" s="33">
        <f>'17'!K64</f>
        <v>71714.28571428571</v>
      </c>
      <c r="T196" s="33">
        <f>'18'!K64</f>
        <v>71714.28571428571</v>
      </c>
      <c r="U196" s="33">
        <f>'19'!K64</f>
        <v>75000</v>
      </c>
      <c r="V196" s="33">
        <f>'20'!K64</f>
        <v>75714.28571428571</v>
      </c>
      <c r="W196" s="33">
        <f>'21'!K64</f>
        <v>77142.857142857145</v>
      </c>
      <c r="X196" s="33">
        <f>'22'!K64</f>
        <v>82142.857142857145</v>
      </c>
      <c r="Y196" s="33">
        <f>'23'!K64</f>
        <v>81714.28571428571</v>
      </c>
      <c r="Z196" s="33">
        <f>'24'!K64</f>
        <v>80285.71428571429</v>
      </c>
      <c r="AA196" s="33">
        <f>'25'!K64</f>
        <v>81000</v>
      </c>
      <c r="AB196" s="33">
        <f>'26'!K64</f>
        <v>81000</v>
      </c>
      <c r="AC196" s="33">
        <f>'27'!K64</f>
        <v>78857.142857142855</v>
      </c>
      <c r="AD196" s="33">
        <f>'28'!K64</f>
        <v>79714.28571428571</v>
      </c>
      <c r="AE196" s="33" t="e">
        <f>#REF!</f>
        <v>#REF!</v>
      </c>
      <c r="AF196" s="33" t="e">
        <f>#REF!</f>
        <v>#REF!</v>
      </c>
      <c r="AG196" s="33" t="e">
        <f>#REF!</f>
        <v>#REF!</v>
      </c>
    </row>
    <row r="197" spans="1:33" x14ac:dyDescent="0.25">
      <c r="A197" s="47" t="s">
        <v>70</v>
      </c>
      <c r="B197" s="32" t="s">
        <v>6</v>
      </c>
      <c r="C197" s="33">
        <f>'1'!K65</f>
        <v>50428.571428571428</v>
      </c>
      <c r="D197" s="33">
        <f>'2'!K65</f>
        <v>47857.142857142855</v>
      </c>
      <c r="E197" s="33">
        <f>'3'!K65</f>
        <v>51000</v>
      </c>
      <c r="F197" s="33">
        <f>'4'!K65</f>
        <v>52857.142857142855</v>
      </c>
      <c r="G197" s="33">
        <f>'5'!K65</f>
        <v>52857.142857142855</v>
      </c>
      <c r="H197" s="33">
        <f>'6'!K65</f>
        <v>54000</v>
      </c>
      <c r="I197" s="33">
        <f>'7'!K65</f>
        <v>56142.857142857145</v>
      </c>
      <c r="J197" s="33">
        <f>'8'!K65</f>
        <v>56000</v>
      </c>
      <c r="K197" s="33">
        <f>'9'!K65</f>
        <v>55714.285714285717</v>
      </c>
      <c r="L197" s="33">
        <f>'10'!K65</f>
        <v>55285.714285714283</v>
      </c>
      <c r="M197" s="33">
        <f>'11'!K65</f>
        <v>56714.285714285717</v>
      </c>
      <c r="N197" s="33">
        <f>'12'!K65</f>
        <v>56857.142857142855</v>
      </c>
      <c r="O197" s="33">
        <f>'13'!K65</f>
        <v>58571.428571428572</v>
      </c>
      <c r="P197" s="33">
        <f>'14'!K65</f>
        <v>57857.142857142855</v>
      </c>
      <c r="Q197" s="33">
        <f>'15'!K65</f>
        <v>62142.857142857145</v>
      </c>
      <c r="R197" s="33">
        <f>'16'!K65</f>
        <v>66714.28571428571</v>
      </c>
      <c r="S197" s="33">
        <f>'17'!K65</f>
        <v>67428.571428571435</v>
      </c>
      <c r="T197" s="33">
        <f>'18'!K65</f>
        <v>66714.28571428571</v>
      </c>
      <c r="U197" s="33">
        <f>'19'!K65</f>
        <v>64857.142857142855</v>
      </c>
      <c r="V197" s="33">
        <f>'20'!K65</f>
        <v>67857.142857142855</v>
      </c>
      <c r="W197" s="33">
        <f>'21'!K65</f>
        <v>70000</v>
      </c>
      <c r="X197" s="33">
        <f>'22'!K65</f>
        <v>73571.428571428565</v>
      </c>
      <c r="Y197" s="33">
        <f>'23'!K65</f>
        <v>78142.857142857145</v>
      </c>
      <c r="Z197" s="33">
        <f>'24'!K65</f>
        <v>76714.28571428571</v>
      </c>
      <c r="AA197" s="33">
        <f>'25'!K65</f>
        <v>78142.857142857145</v>
      </c>
      <c r="AB197" s="33">
        <f>'26'!K65</f>
        <v>72428.571428571435</v>
      </c>
      <c r="AC197" s="33">
        <f>'27'!K65</f>
        <v>69571.428571428565</v>
      </c>
      <c r="AD197" s="33">
        <f>'28'!K65</f>
        <v>65285.714285714283</v>
      </c>
      <c r="AE197" s="33" t="e">
        <f>#REF!</f>
        <v>#REF!</v>
      </c>
      <c r="AF197" s="33" t="e">
        <f>#REF!</f>
        <v>#REF!</v>
      </c>
      <c r="AG197" s="33" t="e">
        <f>#REF!</f>
        <v>#REF!</v>
      </c>
    </row>
    <row r="198" spans="1:33" x14ac:dyDescent="0.25">
      <c r="A198" s="48"/>
      <c r="B198" s="35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</row>
    <row r="199" spans="1:33" x14ac:dyDescent="0.25">
      <c r="A199" s="51"/>
      <c r="B199" s="38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</row>
    <row r="200" spans="1:33" x14ac:dyDescent="0.25">
      <c r="A200" s="51"/>
      <c r="B200" s="38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</row>
    <row r="201" spans="1:33" x14ac:dyDescent="0.25">
      <c r="A201" s="50"/>
      <c r="B201" s="38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</row>
    <row r="202" spans="1:33" x14ac:dyDescent="0.25">
      <c r="A202" s="51"/>
      <c r="B202" s="38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</row>
    <row r="203" spans="1:33" x14ac:dyDescent="0.25">
      <c r="A203" s="51"/>
      <c r="B203" s="38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</row>
    <row r="204" spans="1:33" x14ac:dyDescent="0.25">
      <c r="A204" s="51"/>
      <c r="B204" s="38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</row>
    <row r="205" spans="1:33" x14ac:dyDescent="0.25">
      <c r="A205" s="51"/>
      <c r="B205" s="38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</row>
    <row r="206" spans="1:33" x14ac:dyDescent="0.25">
      <c r="A206" s="51"/>
      <c r="B206" s="38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</row>
    <row r="207" spans="1:33" x14ac:dyDescent="0.25">
      <c r="A207" s="51"/>
      <c r="B207" s="38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</row>
    <row r="208" spans="1:33" x14ac:dyDescent="0.25">
      <c r="A208" s="51"/>
      <c r="B208" s="38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</row>
    <row r="209" spans="1:33" x14ac:dyDescent="0.25">
      <c r="A209" s="51"/>
      <c r="B209" s="38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</row>
    <row r="210" spans="1:33" x14ac:dyDescent="0.25">
      <c r="A210" s="51"/>
      <c r="B210" s="38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</row>
    <row r="211" spans="1:33" x14ac:dyDescent="0.25">
      <c r="A211" s="50"/>
      <c r="B211" s="38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</row>
    <row r="212" spans="1:33" x14ac:dyDescent="0.25">
      <c r="A212" s="51"/>
      <c r="B212" s="38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</row>
    <row r="214" spans="1:33" x14ac:dyDescent="0.25">
      <c r="A214" s="45"/>
    </row>
    <row r="225" s="2" customFormat="1" x14ac:dyDescent="0.25"/>
    <row r="226" s="2" customFormat="1" x14ac:dyDescent="0.25"/>
    <row r="227" s="2" customFormat="1" x14ac:dyDescent="0.25"/>
    <row r="228" s="2" customFormat="1" x14ac:dyDescent="0.25"/>
    <row r="229" s="2" customFormat="1" x14ac:dyDescent="0.25"/>
    <row r="230" s="2" customFormat="1" x14ac:dyDescent="0.25"/>
    <row r="231" s="2" customFormat="1" x14ac:dyDescent="0.25"/>
    <row r="232" s="2" customFormat="1" x14ac:dyDescent="0.25"/>
    <row r="233" s="2" customFormat="1" x14ac:dyDescent="0.25"/>
    <row r="234" s="2" customFormat="1" x14ac:dyDescent="0.25"/>
    <row r="235" s="2" customFormat="1" x14ac:dyDescent="0.25"/>
    <row r="236" s="2" customFormat="1" x14ac:dyDescent="0.25"/>
    <row r="237" s="2" customFormat="1" x14ac:dyDescent="0.25"/>
    <row r="238" s="2" customFormat="1" x14ac:dyDescent="0.25"/>
    <row r="239" s="2" customFormat="1" x14ac:dyDescent="0.25"/>
    <row r="240" s="2" customFormat="1" x14ac:dyDescent="0.25"/>
    <row r="241" s="2" customFormat="1" x14ac:dyDescent="0.25"/>
    <row r="242" s="2" customFormat="1" x14ac:dyDescent="0.25"/>
    <row r="243" s="2" customFormat="1" x14ac:dyDescent="0.25"/>
    <row r="244" s="2" customFormat="1" x14ac:dyDescent="0.25"/>
    <row r="245" s="2" customFormat="1" x14ac:dyDescent="0.25"/>
    <row r="246" s="2" customFormat="1" x14ac:dyDescent="0.25"/>
    <row r="247" s="2" customFormat="1" x14ac:dyDescent="0.25"/>
    <row r="248" s="2" customFormat="1" x14ac:dyDescent="0.25"/>
    <row r="249" s="2" customFormat="1" x14ac:dyDescent="0.25"/>
    <row r="250" s="2" customFormat="1" x14ac:dyDescent="0.25"/>
    <row r="251" s="2" customFormat="1" x14ac:dyDescent="0.25"/>
    <row r="252" s="2" customFormat="1" x14ac:dyDescent="0.25"/>
    <row r="253" s="2" customFormat="1" x14ac:dyDescent="0.25"/>
    <row r="254" s="2" customFormat="1" x14ac:dyDescent="0.25"/>
    <row r="255" s="2" customFormat="1" x14ac:dyDescent="0.25"/>
    <row r="256" s="2" customFormat="1" x14ac:dyDescent="0.25"/>
    <row r="257" s="2" customFormat="1" x14ac:dyDescent="0.25"/>
    <row r="258" s="2" customFormat="1" x14ac:dyDescent="0.25"/>
    <row r="259" s="2" customFormat="1" x14ac:dyDescent="0.25"/>
    <row r="260" s="2" customFormat="1" x14ac:dyDescent="0.25"/>
    <row r="261" s="2" customFormat="1" x14ac:dyDescent="0.25"/>
    <row r="262" s="2" customFormat="1" x14ac:dyDescent="0.25"/>
    <row r="263" s="2" customFormat="1" x14ac:dyDescent="0.25"/>
    <row r="264" s="2" customFormat="1" x14ac:dyDescent="0.25"/>
    <row r="265" s="2" customFormat="1" x14ac:dyDescent="0.25"/>
  </sheetData>
  <pageMargins left="0.7" right="0.45" top="0.75" bottom="0.25" header="0.3" footer="0.3"/>
  <pageSetup paperSize="5" scale="50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A0ABF-B352-4B52-A28D-FCEFBF222C1A}">
  <dimension ref="A1:N88"/>
  <sheetViews>
    <sheetView zoomScale="70" zoomScaleNormal="70" workbookViewId="0">
      <selection activeCell="K8" sqref="K8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3.37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3.37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3.37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3.37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3.37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3.37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3.37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3.37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3.37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3.37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3.37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3.37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3.37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3.37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3.37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3.37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3.37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3.37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3.37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3.37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3.37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3.37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3.37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3.37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3.37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3.37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3.37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3.37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3.37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3.37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3.37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3.37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3.37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3.37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3.37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3.37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3.37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3.37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3.37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3.37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3.37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3.37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3.37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3.37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3.37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3.37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3.37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3.37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3.37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3.37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3.37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3.37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3.37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3.37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3.37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3.37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3.37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3.37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3.37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3.37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3.37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3.37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3.37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3.37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02" t="s">
        <v>88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M1" s="4"/>
      <c r="N1" s="4"/>
    </row>
    <row r="2" spans="1:14" ht="27.75" customHeight="1" x14ac:dyDescent="0.25">
      <c r="A2" s="103" t="s">
        <v>89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M2" s="4"/>
      <c r="N2" s="4"/>
    </row>
    <row r="3" spans="1:14" ht="27.75" customHeight="1" thickBot="1" x14ac:dyDescent="0.3">
      <c r="A3" s="104" t="s">
        <v>114</v>
      </c>
      <c r="B3" s="104"/>
      <c r="C3" s="104"/>
      <c r="D3" s="104"/>
      <c r="E3" s="104"/>
      <c r="F3" s="104"/>
      <c r="G3" s="104"/>
      <c r="H3" s="104"/>
      <c r="I3" s="104"/>
      <c r="J3" s="104"/>
      <c r="K3" s="105"/>
      <c r="M3" s="4"/>
      <c r="N3" s="4"/>
    </row>
    <row r="4" spans="1:14" ht="25.5" customHeight="1" x14ac:dyDescent="0.25">
      <c r="A4" s="96" t="s">
        <v>1</v>
      </c>
      <c r="B4" s="99" t="s">
        <v>2</v>
      </c>
      <c r="C4" s="96" t="s">
        <v>90</v>
      </c>
      <c r="D4" s="110" t="s">
        <v>91</v>
      </c>
      <c r="E4" s="113" t="s">
        <v>92</v>
      </c>
      <c r="F4" s="125" t="s">
        <v>93</v>
      </c>
      <c r="G4" s="128" t="s">
        <v>94</v>
      </c>
      <c r="H4" s="116" t="s">
        <v>95</v>
      </c>
      <c r="I4" s="119" t="s">
        <v>96</v>
      </c>
      <c r="J4" s="106" t="s">
        <v>97</v>
      </c>
      <c r="K4" s="122" t="s">
        <v>98</v>
      </c>
      <c r="M4" s="4"/>
      <c r="N4" s="4"/>
    </row>
    <row r="5" spans="1:14" ht="15" customHeight="1" x14ac:dyDescent="0.25">
      <c r="A5" s="97"/>
      <c r="B5" s="100"/>
      <c r="C5" s="97"/>
      <c r="D5" s="111"/>
      <c r="E5" s="114"/>
      <c r="F5" s="126"/>
      <c r="G5" s="129"/>
      <c r="H5" s="117"/>
      <c r="I5" s="120"/>
      <c r="J5" s="107"/>
      <c r="K5" s="123"/>
      <c r="M5" s="4"/>
      <c r="N5" s="4"/>
    </row>
    <row r="6" spans="1:14" ht="16.5" thickBot="1" x14ac:dyDescent="0.3">
      <c r="A6" s="98"/>
      <c r="B6" s="109"/>
      <c r="C6" s="98"/>
      <c r="D6" s="112"/>
      <c r="E6" s="115"/>
      <c r="F6" s="127"/>
      <c r="G6" s="130"/>
      <c r="H6" s="118"/>
      <c r="I6" s="121"/>
      <c r="J6" s="108"/>
      <c r="K6" s="124"/>
      <c r="M6" s="4"/>
      <c r="N6" s="4"/>
    </row>
    <row r="7" spans="1:14" ht="15.75" x14ac:dyDescent="0.25">
      <c r="A7" s="101">
        <v>1</v>
      </c>
      <c r="B7" s="60" t="s">
        <v>4</v>
      </c>
      <c r="C7" s="61"/>
      <c r="D7" s="62"/>
      <c r="E7" s="17" t="s">
        <v>102</v>
      </c>
      <c r="F7" s="17"/>
      <c r="G7" s="63"/>
      <c r="H7" s="63" t="s">
        <v>1</v>
      </c>
      <c r="I7" s="64"/>
      <c r="J7" s="63"/>
      <c r="K7" s="65"/>
      <c r="M7" s="4"/>
      <c r="N7" s="4"/>
    </row>
    <row r="8" spans="1:14" ht="15.75" x14ac:dyDescent="0.25">
      <c r="A8" s="101"/>
      <c r="B8" s="66" t="s">
        <v>107</v>
      </c>
      <c r="C8" s="17" t="s">
        <v>6</v>
      </c>
      <c r="D8" s="9">
        <v>14000</v>
      </c>
      <c r="E8" s="9">
        <v>14000</v>
      </c>
      <c r="F8" s="9">
        <v>14000</v>
      </c>
      <c r="G8" s="9">
        <v>14000</v>
      </c>
      <c r="H8" s="9">
        <v>14000</v>
      </c>
      <c r="I8" s="9">
        <v>14000</v>
      </c>
      <c r="J8" s="16">
        <v>14000</v>
      </c>
      <c r="K8" s="67">
        <f>AVERAGE(D8:J8)</f>
        <v>14000</v>
      </c>
      <c r="L8" s="1"/>
      <c r="M8" s="7"/>
      <c r="N8" s="4"/>
    </row>
    <row r="9" spans="1:14" ht="15.75" x14ac:dyDescent="0.25">
      <c r="A9" s="101"/>
      <c r="B9" s="66" t="s">
        <v>115</v>
      </c>
      <c r="C9" s="17" t="s">
        <v>6</v>
      </c>
      <c r="D9" s="9">
        <v>10900</v>
      </c>
      <c r="E9" s="9">
        <v>10900</v>
      </c>
      <c r="F9" s="9">
        <v>10900</v>
      </c>
      <c r="G9" s="8">
        <v>10900</v>
      </c>
      <c r="H9" s="9">
        <v>10900</v>
      </c>
      <c r="I9" s="9">
        <v>10900</v>
      </c>
      <c r="J9" s="16" t="s">
        <v>99</v>
      </c>
      <c r="K9" s="67">
        <f t="shared" ref="K9:K80" si="0">AVERAGE(D9:J9)</f>
        <v>10900</v>
      </c>
      <c r="M9" s="4"/>
      <c r="N9" s="4"/>
    </row>
    <row r="10" spans="1:14" ht="15.75" x14ac:dyDescent="0.25">
      <c r="A10" s="101"/>
      <c r="B10" s="66" t="s">
        <v>108</v>
      </c>
      <c r="C10" s="17" t="s">
        <v>6</v>
      </c>
      <c r="D10" s="9" t="s">
        <v>99</v>
      </c>
      <c r="E10" s="9" t="s">
        <v>99</v>
      </c>
      <c r="F10" s="9" t="s">
        <v>99</v>
      </c>
      <c r="G10" s="8" t="s">
        <v>99</v>
      </c>
      <c r="H10" s="9" t="s">
        <v>99</v>
      </c>
      <c r="I10" s="9" t="s">
        <v>99</v>
      </c>
      <c r="J10" s="16" t="s">
        <v>99</v>
      </c>
      <c r="K10" s="67">
        <v>0</v>
      </c>
      <c r="M10" s="4"/>
      <c r="N10" s="4"/>
    </row>
    <row r="11" spans="1:14" ht="15.75" x14ac:dyDescent="0.25">
      <c r="A11" s="101"/>
      <c r="B11" s="66" t="s">
        <v>9</v>
      </c>
      <c r="C11" s="17" t="s">
        <v>6</v>
      </c>
      <c r="D11" s="9" t="s">
        <v>99</v>
      </c>
      <c r="E11" s="9">
        <v>10000</v>
      </c>
      <c r="F11" s="16">
        <v>12000</v>
      </c>
      <c r="G11" s="8">
        <v>10000</v>
      </c>
      <c r="H11" s="9">
        <v>10000</v>
      </c>
      <c r="I11" s="16">
        <v>12000</v>
      </c>
      <c r="J11" s="16">
        <v>10000</v>
      </c>
      <c r="K11" s="67">
        <f>AVERAGE(D11:J11)</f>
        <v>10666.666666666666</v>
      </c>
      <c r="M11" s="4"/>
      <c r="N11" s="4"/>
    </row>
    <row r="12" spans="1:14" ht="15.75" x14ac:dyDescent="0.25">
      <c r="A12" s="101"/>
      <c r="B12" s="66" t="s">
        <v>10</v>
      </c>
      <c r="C12" s="17" t="s">
        <v>6</v>
      </c>
      <c r="D12" s="9" t="s">
        <v>99</v>
      </c>
      <c r="E12" s="9">
        <v>21000</v>
      </c>
      <c r="F12" s="16">
        <v>16000</v>
      </c>
      <c r="G12" s="8">
        <v>18000</v>
      </c>
      <c r="H12" s="9">
        <v>25000</v>
      </c>
      <c r="I12" s="16">
        <v>17000</v>
      </c>
      <c r="J12" s="16">
        <v>17000</v>
      </c>
      <c r="K12" s="67">
        <f t="shared" si="0"/>
        <v>19000</v>
      </c>
      <c r="M12" s="4"/>
      <c r="N12" s="4"/>
    </row>
    <row r="13" spans="1:14" ht="15.75" x14ac:dyDescent="0.25">
      <c r="A13" s="101">
        <v>2</v>
      </c>
      <c r="B13" s="60" t="s">
        <v>11</v>
      </c>
      <c r="C13" s="68"/>
      <c r="D13" s="62"/>
      <c r="E13" s="69"/>
      <c r="F13" s="17"/>
      <c r="G13" s="70"/>
      <c r="H13" s="70"/>
      <c r="I13" s="70"/>
      <c r="J13" s="70"/>
      <c r="K13" s="71"/>
      <c r="M13" s="4"/>
      <c r="N13" s="12"/>
    </row>
    <row r="14" spans="1:14" ht="15.75" x14ac:dyDescent="0.25">
      <c r="A14" s="101"/>
      <c r="B14" s="66" t="s">
        <v>116</v>
      </c>
      <c r="C14" s="17" t="s">
        <v>6</v>
      </c>
      <c r="D14" s="9">
        <v>16000</v>
      </c>
      <c r="E14" s="9">
        <v>16000</v>
      </c>
      <c r="F14" s="9">
        <v>16000</v>
      </c>
      <c r="G14" s="16">
        <v>16000</v>
      </c>
      <c r="H14" s="9">
        <v>16500</v>
      </c>
      <c r="I14" s="9">
        <v>17000</v>
      </c>
      <c r="J14" s="72">
        <v>16500</v>
      </c>
      <c r="K14" s="67">
        <f t="shared" si="0"/>
        <v>16285.714285714286</v>
      </c>
      <c r="M14" s="4"/>
      <c r="N14" s="4"/>
    </row>
    <row r="15" spans="1:14" ht="15.75" x14ac:dyDescent="0.25">
      <c r="A15" s="101"/>
      <c r="B15" s="66" t="s">
        <v>13</v>
      </c>
      <c r="C15" s="17" t="s">
        <v>6</v>
      </c>
      <c r="D15" s="9">
        <v>17000</v>
      </c>
      <c r="E15" s="9">
        <v>16000</v>
      </c>
      <c r="F15" s="16">
        <v>16000</v>
      </c>
      <c r="G15" s="8">
        <v>16000</v>
      </c>
      <c r="H15" s="9">
        <v>17000</v>
      </c>
      <c r="I15" s="9">
        <v>16000</v>
      </c>
      <c r="J15" s="72">
        <v>18000</v>
      </c>
      <c r="K15" s="67">
        <f>AVERAGE(D15:J15)</f>
        <v>16571.428571428572</v>
      </c>
      <c r="M15" s="4"/>
      <c r="N15" s="4"/>
    </row>
    <row r="16" spans="1:14" ht="15.75" x14ac:dyDescent="0.25">
      <c r="A16" s="101">
        <v>3</v>
      </c>
      <c r="B16" s="60" t="s">
        <v>14</v>
      </c>
      <c r="C16" s="73"/>
      <c r="D16" s="74"/>
      <c r="E16" s="15"/>
      <c r="F16" s="15"/>
      <c r="G16" s="15"/>
      <c r="H16" s="15"/>
      <c r="I16" s="15"/>
      <c r="J16" s="75"/>
      <c r="K16" s="71"/>
      <c r="M16" s="4"/>
      <c r="N16" s="4"/>
    </row>
    <row r="17" spans="1:14" ht="15.75" x14ac:dyDescent="0.25">
      <c r="A17" s="101"/>
      <c r="B17" s="66" t="s">
        <v>15</v>
      </c>
      <c r="C17" s="17" t="s">
        <v>6</v>
      </c>
      <c r="D17" s="9">
        <v>15000</v>
      </c>
      <c r="E17" s="9">
        <v>15000</v>
      </c>
      <c r="F17" s="9">
        <v>14000</v>
      </c>
      <c r="G17" s="9">
        <v>15000</v>
      </c>
      <c r="H17" s="9">
        <v>15000</v>
      </c>
      <c r="I17" s="9">
        <v>16000</v>
      </c>
      <c r="J17" s="72">
        <v>16000</v>
      </c>
      <c r="K17" s="67">
        <f t="shared" si="0"/>
        <v>15142.857142857143</v>
      </c>
      <c r="M17" s="4"/>
      <c r="N17" s="4"/>
    </row>
    <row r="18" spans="1:14" ht="15.75" x14ac:dyDescent="0.25">
      <c r="A18" s="59"/>
      <c r="B18" s="66" t="s">
        <v>109</v>
      </c>
      <c r="C18" s="17" t="s">
        <v>110</v>
      </c>
      <c r="D18" s="9">
        <v>14000</v>
      </c>
      <c r="E18" s="9">
        <v>14000</v>
      </c>
      <c r="F18" s="9">
        <v>14000</v>
      </c>
      <c r="G18" s="9">
        <v>14000</v>
      </c>
      <c r="H18" s="9" t="s">
        <v>99</v>
      </c>
      <c r="I18" s="9">
        <v>14000</v>
      </c>
      <c r="J18" s="72">
        <v>14000</v>
      </c>
      <c r="K18" s="67">
        <f t="shared" si="0"/>
        <v>14000</v>
      </c>
      <c r="M18" s="4"/>
      <c r="N18" s="4"/>
    </row>
    <row r="19" spans="1:14" ht="17.25" customHeight="1" x14ac:dyDescent="0.25">
      <c r="A19" s="101">
        <v>4</v>
      </c>
      <c r="B19" s="60" t="s">
        <v>16</v>
      </c>
      <c r="C19" s="73"/>
      <c r="D19" s="74"/>
      <c r="E19" s="15"/>
      <c r="F19" s="15"/>
      <c r="G19" s="76"/>
      <c r="H19" s="15"/>
      <c r="I19" s="15"/>
      <c r="J19" s="75"/>
      <c r="K19" s="71"/>
      <c r="M19" s="4"/>
      <c r="N19" s="4"/>
    </row>
    <row r="20" spans="1:14" ht="15.75" x14ac:dyDescent="0.25">
      <c r="A20" s="101"/>
      <c r="B20" s="66" t="s">
        <v>17</v>
      </c>
      <c r="C20" s="17" t="s">
        <v>6</v>
      </c>
      <c r="D20" s="9">
        <v>20000</v>
      </c>
      <c r="E20" s="9">
        <v>20000</v>
      </c>
      <c r="F20" s="16">
        <v>20000</v>
      </c>
      <c r="G20" s="8">
        <v>22000</v>
      </c>
      <c r="H20" s="16">
        <v>33000</v>
      </c>
      <c r="I20" s="16">
        <v>20000</v>
      </c>
      <c r="J20" s="77" t="s">
        <v>99</v>
      </c>
      <c r="K20" s="67">
        <f t="shared" si="0"/>
        <v>22500</v>
      </c>
      <c r="M20" s="4"/>
      <c r="N20" s="4"/>
    </row>
    <row r="21" spans="1:14" ht="15.75" x14ac:dyDescent="0.25">
      <c r="A21" s="101">
        <v>5</v>
      </c>
      <c r="B21" s="60" t="s">
        <v>18</v>
      </c>
      <c r="C21" s="73"/>
      <c r="D21" s="74"/>
      <c r="E21" s="17"/>
      <c r="F21" s="15" t="s">
        <v>1</v>
      </c>
      <c r="G21" s="76"/>
      <c r="H21" s="15"/>
      <c r="I21" s="15"/>
      <c r="J21" s="75"/>
      <c r="K21" s="71"/>
      <c r="M21" s="4"/>
      <c r="N21" s="4"/>
    </row>
    <row r="22" spans="1:14" ht="15.75" x14ac:dyDescent="0.25">
      <c r="A22" s="101"/>
      <c r="B22" s="66" t="s">
        <v>19</v>
      </c>
      <c r="C22" s="17" t="s">
        <v>6</v>
      </c>
      <c r="D22" s="9">
        <v>120000</v>
      </c>
      <c r="E22" s="9">
        <v>120000</v>
      </c>
      <c r="F22" s="9">
        <v>120000</v>
      </c>
      <c r="G22" s="9">
        <v>120000</v>
      </c>
      <c r="H22" s="9">
        <v>120000</v>
      </c>
      <c r="I22" s="8">
        <v>120000</v>
      </c>
      <c r="J22" s="72" t="s">
        <v>99</v>
      </c>
      <c r="K22" s="67">
        <f t="shared" si="0"/>
        <v>120000</v>
      </c>
      <c r="M22" s="4"/>
      <c r="N22" s="4"/>
    </row>
    <row r="23" spans="1:14" ht="15.75" x14ac:dyDescent="0.25">
      <c r="A23" s="101"/>
      <c r="B23" s="66" t="s">
        <v>20</v>
      </c>
      <c r="C23" s="17" t="s">
        <v>6</v>
      </c>
      <c r="D23" s="9">
        <v>110000</v>
      </c>
      <c r="E23" s="9">
        <v>110000</v>
      </c>
      <c r="F23" s="9">
        <v>110000</v>
      </c>
      <c r="G23" s="9">
        <v>110000</v>
      </c>
      <c r="H23" s="9">
        <v>115000</v>
      </c>
      <c r="I23" s="9">
        <v>110000</v>
      </c>
      <c r="J23" s="72">
        <v>110000</v>
      </c>
      <c r="K23" s="67">
        <f t="shared" si="0"/>
        <v>110714.28571428571</v>
      </c>
      <c r="M23" s="4"/>
      <c r="N23" s="4"/>
    </row>
    <row r="24" spans="1:14" ht="15.75" x14ac:dyDescent="0.25">
      <c r="A24" s="101"/>
      <c r="B24" s="66" t="s">
        <v>21</v>
      </c>
      <c r="C24" s="17" t="s">
        <v>6</v>
      </c>
      <c r="D24" s="9">
        <v>90000</v>
      </c>
      <c r="E24" s="9">
        <v>90000</v>
      </c>
      <c r="F24" s="9">
        <v>100000</v>
      </c>
      <c r="G24" s="9">
        <v>105000</v>
      </c>
      <c r="H24" s="9">
        <v>110000</v>
      </c>
      <c r="I24" s="8">
        <v>100000</v>
      </c>
      <c r="J24" s="72">
        <v>105000</v>
      </c>
      <c r="K24" s="67">
        <f t="shared" si="0"/>
        <v>100000</v>
      </c>
      <c r="M24" s="4"/>
      <c r="N24" s="4"/>
    </row>
    <row r="25" spans="1:14" ht="15.75" x14ac:dyDescent="0.25">
      <c r="A25" s="101"/>
      <c r="B25" s="66" t="s">
        <v>22</v>
      </c>
      <c r="C25" s="17" t="s">
        <v>6</v>
      </c>
      <c r="D25" s="9">
        <v>31000</v>
      </c>
      <c r="E25" s="9">
        <v>31000</v>
      </c>
      <c r="F25" s="9">
        <v>31000</v>
      </c>
      <c r="G25" s="9">
        <v>31000</v>
      </c>
      <c r="H25" s="72">
        <v>32000</v>
      </c>
      <c r="I25" s="9">
        <v>33000</v>
      </c>
      <c r="J25" s="72">
        <v>33000</v>
      </c>
      <c r="K25" s="67">
        <f t="shared" si="0"/>
        <v>31714.285714285714</v>
      </c>
      <c r="M25" s="4"/>
      <c r="N25" s="4"/>
    </row>
    <row r="26" spans="1:14" ht="15.75" x14ac:dyDescent="0.25">
      <c r="A26" s="101">
        <v>6</v>
      </c>
      <c r="B26" s="60" t="s">
        <v>23</v>
      </c>
      <c r="C26" s="73"/>
      <c r="D26" s="74"/>
      <c r="E26" s="17"/>
      <c r="F26" s="76"/>
      <c r="G26" s="15"/>
      <c r="H26" s="75"/>
      <c r="I26" s="15"/>
      <c r="J26" s="75"/>
      <c r="K26" s="71"/>
      <c r="M26" s="4"/>
      <c r="N26" s="4"/>
    </row>
    <row r="27" spans="1:14" ht="15.75" x14ac:dyDescent="0.25">
      <c r="A27" s="101"/>
      <c r="B27" s="66" t="s">
        <v>24</v>
      </c>
      <c r="C27" s="17" t="s">
        <v>6</v>
      </c>
      <c r="D27" s="9">
        <v>35000</v>
      </c>
      <c r="E27" s="9">
        <v>35000</v>
      </c>
      <c r="F27" s="9" t="s">
        <v>99</v>
      </c>
      <c r="G27" s="9">
        <v>40000</v>
      </c>
      <c r="H27" s="9">
        <v>30000</v>
      </c>
      <c r="I27" s="9" t="s">
        <v>99</v>
      </c>
      <c r="J27" s="72">
        <v>30000</v>
      </c>
      <c r="K27" s="67">
        <f t="shared" si="0"/>
        <v>34000</v>
      </c>
      <c r="L27" t="s">
        <v>100</v>
      </c>
      <c r="M27" s="4"/>
      <c r="N27" s="4"/>
    </row>
    <row r="28" spans="1:14" ht="15.75" x14ac:dyDescent="0.25">
      <c r="A28" s="101"/>
      <c r="B28" s="66" t="s">
        <v>25</v>
      </c>
      <c r="C28" s="17" t="s">
        <v>6</v>
      </c>
      <c r="D28" s="9">
        <v>35000</v>
      </c>
      <c r="E28" s="9">
        <v>28000</v>
      </c>
      <c r="F28" s="9">
        <v>35000</v>
      </c>
      <c r="G28" s="8">
        <v>30000</v>
      </c>
      <c r="H28" s="9">
        <v>20000</v>
      </c>
      <c r="I28" s="9">
        <v>32000</v>
      </c>
      <c r="J28" s="78">
        <v>32000</v>
      </c>
      <c r="K28" s="67">
        <f t="shared" si="0"/>
        <v>30285.714285714286</v>
      </c>
      <c r="M28" s="4"/>
      <c r="N28" s="4"/>
    </row>
    <row r="29" spans="1:14" ht="15.75" x14ac:dyDescent="0.25">
      <c r="A29" s="101"/>
      <c r="B29" s="66" t="s">
        <v>26</v>
      </c>
      <c r="C29" s="17" t="s">
        <v>6</v>
      </c>
      <c r="D29" s="9">
        <v>60000</v>
      </c>
      <c r="E29" s="9">
        <v>60000</v>
      </c>
      <c r="F29" s="16">
        <v>60000</v>
      </c>
      <c r="G29" s="8">
        <v>70000</v>
      </c>
      <c r="H29" s="9">
        <v>63000</v>
      </c>
      <c r="I29" s="9">
        <v>65000</v>
      </c>
      <c r="J29" s="79">
        <v>60000</v>
      </c>
      <c r="K29" s="67">
        <f t="shared" si="0"/>
        <v>62571.428571428572</v>
      </c>
      <c r="M29" s="4"/>
      <c r="N29" s="4"/>
    </row>
    <row r="30" spans="1:14" ht="15.75" x14ac:dyDescent="0.25">
      <c r="A30" s="101"/>
      <c r="B30" s="66" t="s">
        <v>27</v>
      </c>
      <c r="C30" s="17" t="s">
        <v>6</v>
      </c>
      <c r="D30" s="9">
        <v>25000</v>
      </c>
      <c r="E30" s="9" t="s">
        <v>99</v>
      </c>
      <c r="F30" s="10" t="s">
        <v>99</v>
      </c>
      <c r="G30" s="8">
        <v>25000</v>
      </c>
      <c r="H30" s="9">
        <v>23000</v>
      </c>
      <c r="I30" s="9" t="s">
        <v>99</v>
      </c>
      <c r="J30" s="79">
        <v>26000</v>
      </c>
      <c r="K30" s="67">
        <f t="shared" si="0"/>
        <v>24750</v>
      </c>
      <c r="M30" s="4"/>
      <c r="N30" s="4"/>
    </row>
    <row r="31" spans="1:14" ht="15.75" x14ac:dyDescent="0.25">
      <c r="A31" s="101"/>
      <c r="B31" s="66" t="s">
        <v>28</v>
      </c>
      <c r="C31" s="17" t="s">
        <v>6</v>
      </c>
      <c r="D31" s="9">
        <v>35000</v>
      </c>
      <c r="E31" s="9">
        <v>36000</v>
      </c>
      <c r="F31" s="9">
        <v>40000</v>
      </c>
      <c r="G31" s="9">
        <v>40000</v>
      </c>
      <c r="H31" s="9">
        <v>28000</v>
      </c>
      <c r="I31" s="9">
        <v>42000</v>
      </c>
      <c r="J31" s="72">
        <v>35000</v>
      </c>
      <c r="K31" s="67">
        <f t="shared" si="0"/>
        <v>36571.428571428572</v>
      </c>
      <c r="M31" s="4"/>
      <c r="N31" s="4"/>
    </row>
    <row r="32" spans="1:14" ht="15.75" x14ac:dyDescent="0.25">
      <c r="A32" s="101"/>
      <c r="B32" s="66" t="s">
        <v>29</v>
      </c>
      <c r="C32" s="17" t="s">
        <v>6</v>
      </c>
      <c r="D32" s="9" t="s">
        <v>99</v>
      </c>
      <c r="E32" s="9">
        <v>100000</v>
      </c>
      <c r="F32" s="9">
        <v>100000</v>
      </c>
      <c r="G32" s="9" t="s">
        <v>99</v>
      </c>
      <c r="H32" s="9">
        <v>80000</v>
      </c>
      <c r="I32" s="9" t="s">
        <v>99</v>
      </c>
      <c r="J32" s="79">
        <v>70000</v>
      </c>
      <c r="K32" s="67">
        <f t="shared" si="0"/>
        <v>87500</v>
      </c>
      <c r="M32" s="4"/>
      <c r="N32" s="4"/>
    </row>
    <row r="33" spans="1:14" ht="15.75" x14ac:dyDescent="0.25">
      <c r="A33" s="101">
        <v>7</v>
      </c>
      <c r="B33" s="60" t="s">
        <v>30</v>
      </c>
      <c r="C33" s="73"/>
      <c r="D33" s="74"/>
      <c r="E33" s="17"/>
      <c r="F33" s="76"/>
      <c r="G33" s="76"/>
      <c r="H33" s="15"/>
      <c r="I33" s="15"/>
      <c r="J33" s="75"/>
      <c r="K33" s="71"/>
      <c r="M33" s="4"/>
      <c r="N33" s="4"/>
    </row>
    <row r="34" spans="1:14" ht="15.75" x14ac:dyDescent="0.25">
      <c r="A34" s="101"/>
      <c r="B34" s="66" t="s">
        <v>31</v>
      </c>
      <c r="C34" s="17" t="s">
        <v>6</v>
      </c>
      <c r="D34" s="9">
        <v>26000</v>
      </c>
      <c r="E34" s="9">
        <v>26000</v>
      </c>
      <c r="F34" s="9">
        <v>26000</v>
      </c>
      <c r="G34" s="9">
        <v>26000</v>
      </c>
      <c r="H34" s="9">
        <v>25000</v>
      </c>
      <c r="I34" s="9">
        <v>27000</v>
      </c>
      <c r="J34" s="72">
        <v>26000</v>
      </c>
      <c r="K34" s="67">
        <f t="shared" si="0"/>
        <v>26000</v>
      </c>
      <c r="M34" s="4"/>
      <c r="N34" s="4"/>
    </row>
    <row r="35" spans="1:14" ht="15.75" x14ac:dyDescent="0.25">
      <c r="A35" s="101"/>
      <c r="B35" s="66" t="s">
        <v>32</v>
      </c>
      <c r="C35" s="17" t="s">
        <v>33</v>
      </c>
      <c r="D35" s="9">
        <v>3000</v>
      </c>
      <c r="E35" s="9">
        <v>2500</v>
      </c>
      <c r="F35" s="9">
        <v>2500</v>
      </c>
      <c r="G35" s="9">
        <v>2800</v>
      </c>
      <c r="H35" s="9">
        <v>2400</v>
      </c>
      <c r="I35" s="9">
        <v>3000</v>
      </c>
      <c r="J35" s="72">
        <v>3000</v>
      </c>
      <c r="K35" s="67">
        <f t="shared" si="0"/>
        <v>2742.8571428571427</v>
      </c>
      <c r="M35" s="4"/>
      <c r="N35" s="4"/>
    </row>
    <row r="36" spans="1:14" ht="15.75" x14ac:dyDescent="0.25">
      <c r="A36" s="59">
        <v>8</v>
      </c>
      <c r="B36" s="73" t="s">
        <v>117</v>
      </c>
      <c r="C36" s="80"/>
      <c r="D36" s="9"/>
      <c r="E36" s="9"/>
      <c r="F36" s="9"/>
      <c r="G36" s="9"/>
      <c r="H36" s="9"/>
      <c r="I36" s="9"/>
      <c r="J36" s="72"/>
      <c r="K36" s="81"/>
      <c r="M36" s="4"/>
      <c r="N36" s="4"/>
    </row>
    <row r="37" spans="1:14" ht="15.75" x14ac:dyDescent="0.25">
      <c r="A37" s="59"/>
      <c r="B37" s="66" t="s">
        <v>118</v>
      </c>
      <c r="C37" s="17" t="s">
        <v>6</v>
      </c>
      <c r="D37" s="9">
        <v>10000</v>
      </c>
      <c r="E37" s="9">
        <v>1250</v>
      </c>
      <c r="F37" s="9">
        <v>9000</v>
      </c>
      <c r="G37" s="9">
        <v>9000</v>
      </c>
      <c r="H37" s="9">
        <v>16000</v>
      </c>
      <c r="I37" s="9">
        <v>9000</v>
      </c>
      <c r="J37" s="72">
        <v>3000</v>
      </c>
      <c r="K37" s="67">
        <f t="shared" si="0"/>
        <v>8178.5714285714284</v>
      </c>
      <c r="M37" s="4"/>
      <c r="N37" s="4"/>
    </row>
    <row r="38" spans="1:14" ht="15.75" x14ac:dyDescent="0.25">
      <c r="A38" s="59"/>
      <c r="B38" s="66" t="s">
        <v>119</v>
      </c>
      <c r="C38" s="17" t="s">
        <v>6</v>
      </c>
      <c r="D38" s="9" t="s">
        <v>99</v>
      </c>
      <c r="E38" s="9">
        <v>10000</v>
      </c>
      <c r="F38" s="9">
        <v>12000</v>
      </c>
      <c r="G38" s="9">
        <v>14000</v>
      </c>
      <c r="H38" s="9" t="s">
        <v>99</v>
      </c>
      <c r="I38" s="9">
        <v>12000</v>
      </c>
      <c r="J38" s="72">
        <v>12000</v>
      </c>
      <c r="K38" s="67">
        <f>AVERAGE(D38:J38)</f>
        <v>12000</v>
      </c>
      <c r="M38" s="4"/>
      <c r="N38" s="4"/>
    </row>
    <row r="39" spans="1:14" ht="15.75" x14ac:dyDescent="0.25">
      <c r="A39" s="59">
        <v>9</v>
      </c>
      <c r="B39" s="82" t="s">
        <v>120</v>
      </c>
      <c r="C39" s="83"/>
      <c r="D39" s="9"/>
      <c r="E39" s="9"/>
      <c r="F39" s="9"/>
      <c r="G39" s="9"/>
      <c r="H39" s="9"/>
      <c r="I39" s="9"/>
      <c r="J39" s="72"/>
      <c r="K39" s="81"/>
      <c r="M39" s="4"/>
      <c r="N39" s="4"/>
    </row>
    <row r="40" spans="1:14" ht="15.75" x14ac:dyDescent="0.25">
      <c r="A40" s="59"/>
      <c r="B40" s="66" t="s">
        <v>121</v>
      </c>
      <c r="C40" s="17" t="s">
        <v>6</v>
      </c>
      <c r="D40" s="9" t="s">
        <v>99</v>
      </c>
      <c r="E40" s="9" t="s">
        <v>99</v>
      </c>
      <c r="F40" s="9" t="s">
        <v>99</v>
      </c>
      <c r="G40" s="9">
        <v>16000</v>
      </c>
      <c r="H40" s="9">
        <v>14000</v>
      </c>
      <c r="I40" s="9" t="s">
        <v>99</v>
      </c>
      <c r="J40" s="72">
        <v>15000</v>
      </c>
      <c r="K40" s="67">
        <f t="shared" si="0"/>
        <v>15000</v>
      </c>
      <c r="M40" s="4"/>
      <c r="N40" s="4"/>
    </row>
    <row r="41" spans="1:14" ht="15.75" x14ac:dyDescent="0.25">
      <c r="A41" s="59"/>
      <c r="B41" s="66" t="s">
        <v>122</v>
      </c>
      <c r="C41" s="17" t="s">
        <v>6</v>
      </c>
      <c r="D41" s="9" t="s">
        <v>99</v>
      </c>
      <c r="E41" s="9" t="s">
        <v>99</v>
      </c>
      <c r="F41" s="9">
        <v>6000</v>
      </c>
      <c r="G41" s="9" t="s">
        <v>99</v>
      </c>
      <c r="H41" s="9" t="s">
        <v>99</v>
      </c>
      <c r="I41" s="9">
        <v>6000</v>
      </c>
      <c r="J41" s="72" t="s">
        <v>99</v>
      </c>
      <c r="K41" s="67">
        <f t="shared" si="0"/>
        <v>6000</v>
      </c>
      <c r="M41" s="4"/>
      <c r="N41" s="4"/>
    </row>
    <row r="42" spans="1:14" ht="15.75" x14ac:dyDescent="0.25">
      <c r="A42" s="59"/>
      <c r="B42" s="66" t="s">
        <v>123</v>
      </c>
      <c r="C42" s="17" t="s">
        <v>6</v>
      </c>
      <c r="D42" s="9" t="s">
        <v>99</v>
      </c>
      <c r="E42" s="9">
        <v>2500</v>
      </c>
      <c r="F42" s="9" t="s">
        <v>99</v>
      </c>
      <c r="G42" s="9" t="s">
        <v>99</v>
      </c>
      <c r="H42" s="9" t="s">
        <v>99</v>
      </c>
      <c r="I42" s="9" t="s">
        <v>99</v>
      </c>
      <c r="J42" s="72" t="s">
        <v>99</v>
      </c>
      <c r="K42" s="67">
        <f t="shared" si="0"/>
        <v>2500</v>
      </c>
      <c r="M42" s="4"/>
      <c r="N42" s="4"/>
    </row>
    <row r="43" spans="1:14" ht="15.75" x14ac:dyDescent="0.25">
      <c r="A43" s="101">
        <v>10</v>
      </c>
      <c r="B43" s="60" t="s">
        <v>34</v>
      </c>
      <c r="C43" s="73"/>
      <c r="D43" s="74"/>
      <c r="E43" s="17"/>
      <c r="F43" s="76"/>
      <c r="G43" s="15"/>
      <c r="H43" s="15"/>
      <c r="I43" s="15"/>
      <c r="J43" s="84"/>
      <c r="K43" s="71"/>
      <c r="M43" s="4"/>
      <c r="N43" s="4"/>
    </row>
    <row r="44" spans="1:14" ht="15.75" x14ac:dyDescent="0.25">
      <c r="A44" s="101"/>
      <c r="B44" s="66" t="s">
        <v>35</v>
      </c>
      <c r="C44" s="17" t="s">
        <v>36</v>
      </c>
      <c r="D44" s="9">
        <v>12000</v>
      </c>
      <c r="E44" s="9">
        <v>12000</v>
      </c>
      <c r="F44" s="9">
        <v>12500</v>
      </c>
      <c r="G44" s="9">
        <v>12500</v>
      </c>
      <c r="H44" s="10" t="s">
        <v>99</v>
      </c>
      <c r="I44" s="16">
        <v>12500</v>
      </c>
      <c r="J44" s="72">
        <v>12500</v>
      </c>
      <c r="K44" s="67">
        <f t="shared" si="0"/>
        <v>12333.333333333334</v>
      </c>
      <c r="M44" s="4"/>
      <c r="N44" s="4"/>
    </row>
    <row r="45" spans="1:14" ht="15.75" x14ac:dyDescent="0.25">
      <c r="A45" s="101"/>
      <c r="B45" s="66" t="s">
        <v>124</v>
      </c>
      <c r="C45" s="17" t="s">
        <v>36</v>
      </c>
      <c r="D45" s="9">
        <v>12000</v>
      </c>
      <c r="E45" s="9">
        <v>13000</v>
      </c>
      <c r="F45" s="16">
        <v>12500</v>
      </c>
      <c r="G45" s="9">
        <v>12500</v>
      </c>
      <c r="H45" s="10" t="s">
        <v>99</v>
      </c>
      <c r="I45" s="16">
        <v>12500</v>
      </c>
      <c r="J45" s="79">
        <v>12500</v>
      </c>
      <c r="K45" s="67">
        <f>AVERAGE(D45:J45)</f>
        <v>12500</v>
      </c>
      <c r="M45" s="4"/>
      <c r="N45" s="4"/>
    </row>
    <row r="46" spans="1:14" ht="15.75" x14ac:dyDescent="0.25">
      <c r="A46" s="101">
        <v>11</v>
      </c>
      <c r="B46" s="60" t="s">
        <v>38</v>
      </c>
      <c r="C46" s="73"/>
      <c r="D46" s="74"/>
      <c r="E46" s="17"/>
      <c r="F46" s="15"/>
      <c r="G46" s="76"/>
      <c r="H46" s="15"/>
      <c r="I46" s="15"/>
      <c r="J46" s="75"/>
      <c r="K46" s="71"/>
      <c r="M46" s="4"/>
      <c r="N46" s="4"/>
    </row>
    <row r="47" spans="1:14" ht="15.75" x14ac:dyDescent="0.25">
      <c r="A47" s="101"/>
      <c r="B47" s="66" t="s">
        <v>39</v>
      </c>
      <c r="C47" s="17" t="s">
        <v>40</v>
      </c>
      <c r="D47" s="9" t="s">
        <v>99</v>
      </c>
      <c r="E47" s="9" t="s">
        <v>99</v>
      </c>
      <c r="F47" s="10" t="s">
        <v>99</v>
      </c>
      <c r="G47" s="8" t="s">
        <v>99</v>
      </c>
      <c r="H47" s="9">
        <v>17500</v>
      </c>
      <c r="I47" s="16" t="s">
        <v>99</v>
      </c>
      <c r="J47" s="79" t="s">
        <v>99</v>
      </c>
      <c r="K47" s="67">
        <f t="shared" si="0"/>
        <v>17500</v>
      </c>
      <c r="M47" s="4"/>
      <c r="N47" s="4"/>
    </row>
    <row r="48" spans="1:14" ht="15.75" x14ac:dyDescent="0.25">
      <c r="A48" s="101"/>
      <c r="B48" s="66" t="s">
        <v>41</v>
      </c>
      <c r="C48" s="17" t="s">
        <v>42</v>
      </c>
      <c r="D48" s="9" t="s">
        <v>99</v>
      </c>
      <c r="E48" s="9" t="s">
        <v>99</v>
      </c>
      <c r="F48" s="10" t="s">
        <v>99</v>
      </c>
      <c r="G48" s="8" t="s">
        <v>99</v>
      </c>
      <c r="H48" s="9">
        <v>2000</v>
      </c>
      <c r="I48" s="16" t="s">
        <v>99</v>
      </c>
      <c r="J48" s="79" t="s">
        <v>99</v>
      </c>
      <c r="K48" s="67">
        <f t="shared" si="0"/>
        <v>2000</v>
      </c>
      <c r="M48" s="4"/>
      <c r="N48" s="4"/>
    </row>
    <row r="49" spans="1:14" ht="15.75" x14ac:dyDescent="0.25">
      <c r="A49" s="59">
        <v>12</v>
      </c>
      <c r="B49" s="85" t="s">
        <v>43</v>
      </c>
      <c r="C49" s="80"/>
      <c r="D49" s="19"/>
      <c r="E49" s="10"/>
      <c r="F49" s="10"/>
      <c r="G49" s="22"/>
      <c r="H49" s="10"/>
      <c r="I49" s="10"/>
      <c r="J49" s="77"/>
      <c r="K49" s="71"/>
      <c r="M49" s="4"/>
      <c r="N49" s="4"/>
    </row>
    <row r="50" spans="1:14" ht="15.75" x14ac:dyDescent="0.25">
      <c r="A50" s="59"/>
      <c r="B50" s="66" t="s">
        <v>44</v>
      </c>
      <c r="C50" s="86" t="s">
        <v>6</v>
      </c>
      <c r="D50" s="9" t="s">
        <v>99</v>
      </c>
      <c r="E50" s="9">
        <v>8000</v>
      </c>
      <c r="F50" s="9">
        <v>10000</v>
      </c>
      <c r="G50" s="9">
        <v>10000</v>
      </c>
      <c r="H50" s="9">
        <v>15000</v>
      </c>
      <c r="I50" s="8">
        <v>10000</v>
      </c>
      <c r="J50" s="72">
        <v>15000</v>
      </c>
      <c r="K50" s="67">
        <f t="shared" si="0"/>
        <v>11333.333333333334</v>
      </c>
      <c r="M50" s="4" t="s">
        <v>101</v>
      </c>
      <c r="N50" s="4"/>
    </row>
    <row r="51" spans="1:14" ht="15.75" x14ac:dyDescent="0.25">
      <c r="A51" s="59"/>
      <c r="B51" s="66" t="s">
        <v>45</v>
      </c>
      <c r="C51" s="86" t="s">
        <v>6</v>
      </c>
      <c r="D51" s="9">
        <v>10000</v>
      </c>
      <c r="E51" s="9">
        <v>10000</v>
      </c>
      <c r="F51" s="8">
        <v>9000</v>
      </c>
      <c r="G51" s="9">
        <v>10000</v>
      </c>
      <c r="H51" s="9">
        <v>12000</v>
      </c>
      <c r="I51" s="9">
        <v>9000</v>
      </c>
      <c r="J51" s="72">
        <v>10000</v>
      </c>
      <c r="K51" s="67">
        <f t="shared" si="0"/>
        <v>10000</v>
      </c>
      <c r="M51" s="4"/>
      <c r="N51" s="23"/>
    </row>
    <row r="52" spans="1:14" ht="15.75" x14ac:dyDescent="0.25">
      <c r="A52" s="101">
        <v>13</v>
      </c>
      <c r="B52" s="60" t="s">
        <v>46</v>
      </c>
      <c r="C52" s="73"/>
      <c r="D52" s="74"/>
      <c r="E52" s="17"/>
      <c r="F52" s="76"/>
      <c r="G52" s="76"/>
      <c r="H52" s="15"/>
      <c r="I52" s="15"/>
      <c r="J52" s="84"/>
      <c r="K52" s="71"/>
      <c r="M52" s="4"/>
      <c r="N52" s="4"/>
    </row>
    <row r="53" spans="1:14" ht="15.75" x14ac:dyDescent="0.25">
      <c r="A53" s="101"/>
      <c r="B53" s="66" t="s">
        <v>47</v>
      </c>
      <c r="C53" s="17" t="s">
        <v>125</v>
      </c>
      <c r="D53" s="9">
        <v>3000</v>
      </c>
      <c r="E53" s="9">
        <v>4000</v>
      </c>
      <c r="F53" s="9">
        <v>5000</v>
      </c>
      <c r="G53" s="9">
        <v>5000</v>
      </c>
      <c r="H53" s="9">
        <v>2500</v>
      </c>
      <c r="I53" s="16">
        <v>5000</v>
      </c>
      <c r="J53" s="72">
        <v>2500</v>
      </c>
      <c r="K53" s="67">
        <f t="shared" si="0"/>
        <v>3857.1428571428573</v>
      </c>
      <c r="M53" s="4"/>
      <c r="N53" s="4"/>
    </row>
    <row r="54" spans="1:14" ht="15.75" x14ac:dyDescent="0.25">
      <c r="A54" s="101">
        <v>14</v>
      </c>
      <c r="B54" s="60" t="s">
        <v>49</v>
      </c>
      <c r="C54" s="80"/>
      <c r="D54" s="62"/>
      <c r="E54" s="17"/>
      <c r="F54" s="20"/>
      <c r="G54" s="20"/>
      <c r="H54" s="17"/>
      <c r="I54" s="17"/>
      <c r="J54" s="87"/>
      <c r="K54" s="71"/>
      <c r="M54" s="4"/>
      <c r="N54" s="4"/>
    </row>
    <row r="55" spans="1:14" ht="15.75" x14ac:dyDescent="0.25">
      <c r="A55" s="101"/>
      <c r="B55" s="88" t="s">
        <v>50</v>
      </c>
      <c r="C55" s="86" t="s">
        <v>6</v>
      </c>
      <c r="D55" s="9">
        <v>10000</v>
      </c>
      <c r="E55" s="9">
        <v>10500</v>
      </c>
      <c r="F55" s="9">
        <v>10000</v>
      </c>
      <c r="G55" s="9">
        <v>11000</v>
      </c>
      <c r="H55" s="9">
        <v>12000</v>
      </c>
      <c r="I55" s="9">
        <v>10000</v>
      </c>
      <c r="J55" s="72">
        <v>10000</v>
      </c>
      <c r="K55" s="67">
        <f t="shared" si="0"/>
        <v>10500</v>
      </c>
      <c r="M55" s="4"/>
      <c r="N55" s="4"/>
    </row>
    <row r="56" spans="1:14" ht="15.75" x14ac:dyDescent="0.25">
      <c r="A56" s="101">
        <v>15</v>
      </c>
      <c r="B56" s="60" t="s">
        <v>51</v>
      </c>
      <c r="C56" s="73"/>
      <c r="D56" s="74"/>
      <c r="E56" s="17"/>
      <c r="F56" s="76"/>
      <c r="G56" s="15"/>
      <c r="H56" s="15"/>
      <c r="I56" s="15"/>
      <c r="J56" s="84"/>
      <c r="K56" s="71"/>
      <c r="M56" s="4"/>
      <c r="N56" s="4"/>
    </row>
    <row r="57" spans="1:14" ht="15.75" x14ac:dyDescent="0.25">
      <c r="A57" s="101"/>
      <c r="B57" s="66" t="s">
        <v>52</v>
      </c>
      <c r="C57" s="17" t="s">
        <v>6</v>
      </c>
      <c r="D57" s="9">
        <v>16000</v>
      </c>
      <c r="E57" s="9">
        <v>13000</v>
      </c>
      <c r="F57" s="9">
        <v>14000</v>
      </c>
      <c r="G57" s="9">
        <v>14000</v>
      </c>
      <c r="H57" s="9">
        <v>11500</v>
      </c>
      <c r="I57" s="9">
        <v>15000</v>
      </c>
      <c r="J57" s="72" t="s">
        <v>99</v>
      </c>
      <c r="K57" s="67">
        <f t="shared" si="0"/>
        <v>13916.666666666666</v>
      </c>
      <c r="M57" s="4"/>
      <c r="N57" s="4"/>
    </row>
    <row r="58" spans="1:14" ht="15.75" x14ac:dyDescent="0.25">
      <c r="A58" s="101"/>
      <c r="B58" s="66" t="s">
        <v>53</v>
      </c>
      <c r="C58" s="17" t="s">
        <v>6</v>
      </c>
      <c r="D58" s="9" t="s">
        <v>99</v>
      </c>
      <c r="E58" s="9" t="s">
        <v>99</v>
      </c>
      <c r="F58" s="16">
        <v>15000</v>
      </c>
      <c r="G58" s="22" t="s">
        <v>99</v>
      </c>
      <c r="H58" s="9">
        <v>13000</v>
      </c>
      <c r="I58" s="8">
        <v>14000</v>
      </c>
      <c r="J58" s="72">
        <v>14000</v>
      </c>
      <c r="K58" s="67">
        <f t="shared" si="0"/>
        <v>14000</v>
      </c>
      <c r="M58" s="4"/>
      <c r="N58" s="4"/>
    </row>
    <row r="59" spans="1:14" ht="15.75" x14ac:dyDescent="0.25">
      <c r="A59" s="101"/>
      <c r="B59" s="66" t="s">
        <v>54</v>
      </c>
      <c r="C59" s="17" t="s">
        <v>6</v>
      </c>
      <c r="D59" s="9">
        <v>24000</v>
      </c>
      <c r="E59" s="9">
        <v>23000</v>
      </c>
      <c r="F59" s="9">
        <v>23000</v>
      </c>
      <c r="G59" s="9">
        <v>23000</v>
      </c>
      <c r="H59" s="9">
        <v>20000</v>
      </c>
      <c r="I59" s="9">
        <v>23000</v>
      </c>
      <c r="J59" s="72">
        <v>24000</v>
      </c>
      <c r="K59" s="67">
        <f t="shared" si="0"/>
        <v>22857.142857142859</v>
      </c>
      <c r="M59" s="4"/>
      <c r="N59" s="4"/>
    </row>
    <row r="60" spans="1:14" ht="15.75" x14ac:dyDescent="0.25">
      <c r="A60" s="101"/>
      <c r="B60" s="66" t="s">
        <v>55</v>
      </c>
      <c r="C60" s="17" t="s">
        <v>6</v>
      </c>
      <c r="D60" s="9">
        <v>30000</v>
      </c>
      <c r="E60" s="9">
        <v>30000</v>
      </c>
      <c r="F60" s="9">
        <v>28000</v>
      </c>
      <c r="G60" s="9">
        <v>30000</v>
      </c>
      <c r="H60" s="9">
        <v>27000</v>
      </c>
      <c r="I60" s="9">
        <v>28000</v>
      </c>
      <c r="J60" s="72">
        <v>28000</v>
      </c>
      <c r="K60" s="67">
        <f t="shared" si="0"/>
        <v>28714.285714285714</v>
      </c>
      <c r="M60" s="4"/>
      <c r="N60" s="4"/>
    </row>
    <row r="61" spans="1:14" ht="15.75" x14ac:dyDescent="0.25">
      <c r="A61" s="17">
        <v>16</v>
      </c>
      <c r="B61" s="60" t="s">
        <v>56</v>
      </c>
      <c r="C61" s="80"/>
      <c r="D61" s="89"/>
      <c r="E61" s="10"/>
      <c r="F61" s="22"/>
      <c r="G61" s="10"/>
      <c r="H61" s="10"/>
      <c r="I61" s="10"/>
      <c r="J61" s="90"/>
      <c r="K61" s="71"/>
      <c r="M61" s="4"/>
      <c r="N61" s="4"/>
    </row>
    <row r="62" spans="1:14" ht="15.75" x14ac:dyDescent="0.25">
      <c r="A62" s="17"/>
      <c r="B62" s="66" t="s">
        <v>57</v>
      </c>
      <c r="C62" s="86" t="s">
        <v>58</v>
      </c>
      <c r="D62" s="9">
        <v>3000</v>
      </c>
      <c r="E62" s="9">
        <v>3200</v>
      </c>
      <c r="F62" s="9">
        <v>3000</v>
      </c>
      <c r="G62" s="9">
        <v>3000</v>
      </c>
      <c r="H62" s="10" t="s">
        <v>99</v>
      </c>
      <c r="I62" s="16">
        <v>3000</v>
      </c>
      <c r="J62" s="72">
        <v>3500</v>
      </c>
      <c r="K62" s="67">
        <f t="shared" si="0"/>
        <v>3116.6666666666665</v>
      </c>
      <c r="M62" s="4"/>
      <c r="N62" s="4"/>
    </row>
    <row r="63" spans="1:14" ht="15.75" x14ac:dyDescent="0.25">
      <c r="A63" s="101">
        <v>17</v>
      </c>
      <c r="B63" s="60" t="s">
        <v>59</v>
      </c>
      <c r="C63" s="73"/>
      <c r="D63" s="74"/>
      <c r="E63" s="17"/>
      <c r="F63" s="76"/>
      <c r="G63" s="76"/>
      <c r="H63" s="15"/>
      <c r="I63" s="15"/>
      <c r="J63" s="84"/>
      <c r="K63" s="71"/>
      <c r="M63" s="4"/>
      <c r="N63" s="4"/>
    </row>
    <row r="64" spans="1:14" ht="15.75" x14ac:dyDescent="0.25">
      <c r="A64" s="101"/>
      <c r="B64" s="66" t="s">
        <v>60</v>
      </c>
      <c r="C64" s="17" t="s">
        <v>6</v>
      </c>
      <c r="D64" s="9">
        <v>61000</v>
      </c>
      <c r="E64" s="9">
        <v>65000</v>
      </c>
      <c r="F64" s="9">
        <v>65000</v>
      </c>
      <c r="G64" s="9">
        <v>60000</v>
      </c>
      <c r="H64" s="9">
        <v>65000</v>
      </c>
      <c r="I64" s="9">
        <v>52000</v>
      </c>
      <c r="J64" s="72">
        <v>75000</v>
      </c>
      <c r="K64" s="67">
        <f t="shared" si="0"/>
        <v>63285.714285714283</v>
      </c>
      <c r="M64" s="4"/>
      <c r="N64" s="4"/>
    </row>
    <row r="65" spans="1:14" ht="15.75" x14ac:dyDescent="0.25">
      <c r="A65" s="101"/>
      <c r="B65" s="66" t="s">
        <v>61</v>
      </c>
      <c r="C65" s="17" t="s">
        <v>6</v>
      </c>
      <c r="D65" s="9">
        <v>48000</v>
      </c>
      <c r="E65" s="9">
        <v>48000</v>
      </c>
      <c r="F65" s="9">
        <v>42000</v>
      </c>
      <c r="G65" s="9">
        <v>55000</v>
      </c>
      <c r="H65" s="9">
        <v>55000</v>
      </c>
      <c r="I65" s="8">
        <v>45000</v>
      </c>
      <c r="J65" s="72">
        <v>60000</v>
      </c>
      <c r="K65" s="67">
        <f t="shared" si="0"/>
        <v>50428.571428571428</v>
      </c>
      <c r="M65" s="4"/>
      <c r="N65" s="4"/>
    </row>
    <row r="66" spans="1:14" ht="15.75" x14ac:dyDescent="0.25">
      <c r="A66" s="101"/>
      <c r="B66" s="66" t="s">
        <v>62</v>
      </c>
      <c r="C66" s="17" t="s">
        <v>6</v>
      </c>
      <c r="D66" s="9">
        <v>28000</v>
      </c>
      <c r="E66" s="9">
        <v>30000</v>
      </c>
      <c r="F66" s="9">
        <v>30000</v>
      </c>
      <c r="G66" s="9">
        <v>30000</v>
      </c>
      <c r="H66" s="9">
        <v>30000</v>
      </c>
      <c r="I66" s="9">
        <v>30000</v>
      </c>
      <c r="J66" s="72">
        <v>35000</v>
      </c>
      <c r="K66" s="67">
        <f t="shared" si="0"/>
        <v>30428.571428571428</v>
      </c>
      <c r="M66" s="4"/>
      <c r="N66" s="4"/>
    </row>
    <row r="67" spans="1:14" ht="15.75" x14ac:dyDescent="0.25">
      <c r="A67" s="17">
        <v>18</v>
      </c>
      <c r="B67" s="60" t="s">
        <v>63</v>
      </c>
      <c r="C67" s="80"/>
      <c r="D67" s="24"/>
      <c r="E67" s="10"/>
      <c r="F67" s="22"/>
      <c r="G67" s="10"/>
      <c r="H67" s="10" t="s">
        <v>1</v>
      </c>
      <c r="I67" s="10"/>
      <c r="J67" s="77"/>
      <c r="K67" s="71"/>
      <c r="M67" s="4"/>
      <c r="N67" s="4"/>
    </row>
    <row r="68" spans="1:14" ht="15.75" x14ac:dyDescent="0.25">
      <c r="A68" s="17"/>
      <c r="B68" s="66" t="s">
        <v>64</v>
      </c>
      <c r="C68" s="17" t="s">
        <v>65</v>
      </c>
      <c r="D68" s="9">
        <v>20000</v>
      </c>
      <c r="E68" s="9">
        <v>18000</v>
      </c>
      <c r="F68" s="9">
        <v>18000</v>
      </c>
      <c r="G68" s="9">
        <v>18000</v>
      </c>
      <c r="H68" s="10" t="s">
        <v>99</v>
      </c>
      <c r="I68" s="9">
        <v>18000</v>
      </c>
      <c r="J68" s="79">
        <v>18000</v>
      </c>
      <c r="K68" s="67">
        <f t="shared" si="0"/>
        <v>18333.333333333332</v>
      </c>
      <c r="M68" s="4"/>
      <c r="N68" s="4"/>
    </row>
    <row r="69" spans="1:14" ht="15.75" x14ac:dyDescent="0.25">
      <c r="A69" s="101">
        <v>19</v>
      </c>
      <c r="B69" s="60" t="s">
        <v>66</v>
      </c>
      <c r="C69" s="60"/>
      <c r="D69" s="74"/>
      <c r="E69" s="17"/>
      <c r="F69" s="15"/>
      <c r="G69" s="15"/>
      <c r="H69" s="15"/>
      <c r="I69" s="15"/>
      <c r="J69" s="75"/>
      <c r="K69" s="71"/>
      <c r="M69" s="4"/>
      <c r="N69" s="4"/>
    </row>
    <row r="70" spans="1:14" ht="15.75" x14ac:dyDescent="0.25">
      <c r="A70" s="101"/>
      <c r="B70" s="66" t="s">
        <v>67</v>
      </c>
      <c r="C70" s="17" t="s">
        <v>6</v>
      </c>
      <c r="D70" s="9">
        <v>36000</v>
      </c>
      <c r="E70" s="9">
        <v>35000</v>
      </c>
      <c r="F70" s="9">
        <v>36000</v>
      </c>
      <c r="G70" s="9">
        <v>35000</v>
      </c>
      <c r="H70" s="9">
        <v>36000</v>
      </c>
      <c r="I70" s="9">
        <v>35000</v>
      </c>
      <c r="J70" s="72">
        <v>40000</v>
      </c>
      <c r="K70" s="67">
        <f t="shared" si="0"/>
        <v>36142.857142857145</v>
      </c>
      <c r="M70" s="4"/>
      <c r="N70" s="4"/>
    </row>
    <row r="71" spans="1:14" ht="15.75" x14ac:dyDescent="0.25">
      <c r="A71" s="101"/>
      <c r="B71" s="66" t="s">
        <v>68</v>
      </c>
      <c r="C71" s="17" t="s">
        <v>6</v>
      </c>
      <c r="D71" s="9">
        <v>34000</v>
      </c>
      <c r="E71" s="9">
        <v>32000</v>
      </c>
      <c r="F71" s="9">
        <v>34000</v>
      </c>
      <c r="G71" s="9">
        <v>32000</v>
      </c>
      <c r="H71" s="9">
        <v>31000</v>
      </c>
      <c r="I71" s="9">
        <v>34000</v>
      </c>
      <c r="J71" s="72">
        <v>33000</v>
      </c>
      <c r="K71" s="67">
        <f t="shared" si="0"/>
        <v>32857.142857142855</v>
      </c>
      <c r="M71" s="4"/>
      <c r="N71" s="4"/>
    </row>
    <row r="72" spans="1:14" ht="15.75" x14ac:dyDescent="0.25">
      <c r="A72" s="101"/>
      <c r="B72" s="66" t="s">
        <v>69</v>
      </c>
      <c r="C72" s="17" t="s">
        <v>6</v>
      </c>
      <c r="D72" s="9">
        <v>25000</v>
      </c>
      <c r="E72" s="9">
        <v>28000</v>
      </c>
      <c r="F72" s="9">
        <v>23000</v>
      </c>
      <c r="G72" s="9">
        <v>28000</v>
      </c>
      <c r="H72" s="9">
        <v>20000</v>
      </c>
      <c r="I72" s="9">
        <v>25000</v>
      </c>
      <c r="J72" s="72">
        <v>30000</v>
      </c>
      <c r="K72" s="67">
        <f t="shared" si="0"/>
        <v>25571.428571428572</v>
      </c>
      <c r="M72" s="4"/>
      <c r="N72" s="4"/>
    </row>
    <row r="73" spans="1:14" ht="15.75" x14ac:dyDescent="0.25">
      <c r="A73" s="101"/>
      <c r="B73" s="66" t="s">
        <v>70</v>
      </c>
      <c r="C73" s="17" t="s">
        <v>6</v>
      </c>
      <c r="D73" s="9">
        <v>28000</v>
      </c>
      <c r="E73" s="9">
        <v>25000</v>
      </c>
      <c r="F73" s="16">
        <v>28000</v>
      </c>
      <c r="G73" s="8">
        <v>30000</v>
      </c>
      <c r="H73" s="9">
        <v>25000</v>
      </c>
      <c r="I73" s="9">
        <v>25000</v>
      </c>
      <c r="J73" s="72" t="s">
        <v>99</v>
      </c>
      <c r="K73" s="67">
        <f t="shared" si="0"/>
        <v>26833.333333333332</v>
      </c>
      <c r="M73" s="4"/>
      <c r="N73" s="4"/>
    </row>
    <row r="74" spans="1:14" ht="15.75" x14ac:dyDescent="0.25">
      <c r="A74" s="17">
        <v>20</v>
      </c>
      <c r="B74" s="60" t="s">
        <v>71</v>
      </c>
      <c r="C74" s="91"/>
      <c r="D74" s="24"/>
      <c r="E74" s="10"/>
      <c r="F74" s="10"/>
      <c r="G74" s="89"/>
      <c r="H74" s="10"/>
      <c r="I74" s="10"/>
      <c r="J74" s="90"/>
      <c r="K74" s="71"/>
      <c r="M74" s="4"/>
      <c r="N74" s="4"/>
    </row>
    <row r="75" spans="1:14" ht="15.75" x14ac:dyDescent="0.25">
      <c r="A75" s="17"/>
      <c r="B75" s="66" t="s">
        <v>72</v>
      </c>
      <c r="C75" s="86" t="s">
        <v>6</v>
      </c>
      <c r="D75" s="9">
        <v>7000</v>
      </c>
      <c r="E75" s="9">
        <v>7000</v>
      </c>
      <c r="F75" s="9">
        <v>5000</v>
      </c>
      <c r="G75" s="9">
        <v>6000</v>
      </c>
      <c r="H75" s="9">
        <v>5000</v>
      </c>
      <c r="I75" s="9">
        <v>5000</v>
      </c>
      <c r="J75" s="72">
        <v>5000</v>
      </c>
      <c r="K75" s="67">
        <f t="shared" si="0"/>
        <v>5714.2857142857147</v>
      </c>
      <c r="M75" s="4"/>
      <c r="N75" s="4"/>
    </row>
    <row r="76" spans="1:14" ht="15.75" x14ac:dyDescent="0.25">
      <c r="A76" s="17"/>
      <c r="B76" s="66" t="s">
        <v>73</v>
      </c>
      <c r="C76" s="86" t="s">
        <v>6</v>
      </c>
      <c r="D76" s="9">
        <v>7000</v>
      </c>
      <c r="E76" s="9">
        <v>6000</v>
      </c>
      <c r="F76" s="16">
        <v>6000</v>
      </c>
      <c r="G76" s="8">
        <v>6000</v>
      </c>
      <c r="H76" s="9">
        <v>5000</v>
      </c>
      <c r="I76" s="9">
        <v>6000</v>
      </c>
      <c r="J76" s="79">
        <v>6000</v>
      </c>
      <c r="K76" s="67">
        <f t="shared" si="0"/>
        <v>6000</v>
      </c>
      <c r="M76" s="4"/>
      <c r="N76" s="4"/>
    </row>
    <row r="77" spans="1:14" ht="15.75" x14ac:dyDescent="0.25">
      <c r="A77" s="17">
        <v>21</v>
      </c>
      <c r="B77" s="60" t="s">
        <v>74</v>
      </c>
      <c r="C77" s="91"/>
      <c r="D77" s="19"/>
      <c r="E77" s="10"/>
      <c r="F77" s="10"/>
      <c r="G77" s="22"/>
      <c r="H77" s="10"/>
      <c r="I77" s="10"/>
      <c r="J77" s="77"/>
      <c r="K77" s="71"/>
      <c r="M77" s="4"/>
      <c r="N77" s="4"/>
    </row>
    <row r="78" spans="1:14" ht="15.75" x14ac:dyDescent="0.25">
      <c r="A78" s="17"/>
      <c r="B78" s="66" t="s">
        <v>75</v>
      </c>
      <c r="C78" s="86" t="s">
        <v>6</v>
      </c>
      <c r="D78" s="9">
        <v>8000</v>
      </c>
      <c r="E78" s="9">
        <v>8000</v>
      </c>
      <c r="F78" s="9">
        <v>10000</v>
      </c>
      <c r="G78" s="9">
        <v>8000</v>
      </c>
      <c r="H78" s="9">
        <v>6000</v>
      </c>
      <c r="I78" s="16">
        <v>8000</v>
      </c>
      <c r="J78" s="72" t="s">
        <v>99</v>
      </c>
      <c r="K78" s="67">
        <f t="shared" si="0"/>
        <v>8000</v>
      </c>
      <c r="M78" s="4"/>
      <c r="N78" s="4"/>
    </row>
    <row r="79" spans="1:14" ht="15.75" x14ac:dyDescent="0.25">
      <c r="A79" s="17"/>
      <c r="B79" s="66" t="s">
        <v>76</v>
      </c>
      <c r="C79" s="86" t="s">
        <v>6</v>
      </c>
      <c r="D79" s="9">
        <v>8000</v>
      </c>
      <c r="E79" s="9">
        <v>10000</v>
      </c>
      <c r="F79" s="9">
        <v>20000</v>
      </c>
      <c r="G79" s="9">
        <v>14000</v>
      </c>
      <c r="H79" s="9">
        <v>6000</v>
      </c>
      <c r="I79" s="16">
        <v>15000</v>
      </c>
      <c r="J79" s="72">
        <v>15000</v>
      </c>
      <c r="K79" s="67">
        <f t="shared" si="0"/>
        <v>12571.428571428571</v>
      </c>
      <c r="M79" s="4"/>
      <c r="N79" s="4"/>
    </row>
    <row r="80" spans="1:14" ht="15.75" x14ac:dyDescent="0.25">
      <c r="A80" s="17"/>
      <c r="B80" s="66" t="s">
        <v>77</v>
      </c>
      <c r="C80" s="86" t="s">
        <v>6</v>
      </c>
      <c r="D80" s="9">
        <v>18000</v>
      </c>
      <c r="E80" s="9">
        <v>16000</v>
      </c>
      <c r="F80" s="9">
        <v>17000</v>
      </c>
      <c r="G80" s="9">
        <v>15000</v>
      </c>
      <c r="H80" s="9">
        <v>15000</v>
      </c>
      <c r="I80" s="9">
        <v>15000</v>
      </c>
      <c r="J80" s="72">
        <v>18000</v>
      </c>
      <c r="K80" s="67">
        <f t="shared" si="0"/>
        <v>16285.714285714286</v>
      </c>
      <c r="M80" s="4"/>
      <c r="N80" s="4"/>
    </row>
    <row r="81" spans="1:14" ht="15.75" x14ac:dyDescent="0.25">
      <c r="A81" s="17"/>
      <c r="B81" s="66" t="s">
        <v>78</v>
      </c>
      <c r="C81" s="86" t="s">
        <v>6</v>
      </c>
      <c r="D81" s="9">
        <v>20000</v>
      </c>
      <c r="E81" s="9">
        <v>15000</v>
      </c>
      <c r="F81" s="9">
        <v>10000</v>
      </c>
      <c r="G81" s="9">
        <v>10000</v>
      </c>
      <c r="H81" s="9">
        <v>20000</v>
      </c>
      <c r="I81" s="8">
        <v>7000</v>
      </c>
      <c r="J81" s="72">
        <v>20000</v>
      </c>
      <c r="K81" s="67">
        <f t="shared" ref="K81:K88" si="1">AVERAGE(D81:J81)</f>
        <v>14571.428571428571</v>
      </c>
      <c r="M81" s="4"/>
      <c r="N81" s="4"/>
    </row>
    <row r="82" spans="1:14" ht="15.75" x14ac:dyDescent="0.25">
      <c r="A82" s="17"/>
      <c r="B82" s="66" t="s">
        <v>79</v>
      </c>
      <c r="C82" s="86" t="s">
        <v>6</v>
      </c>
      <c r="D82" s="9">
        <v>10000</v>
      </c>
      <c r="E82" s="9">
        <v>12000</v>
      </c>
      <c r="F82" s="9">
        <v>14000</v>
      </c>
      <c r="G82" s="9">
        <v>12000</v>
      </c>
      <c r="H82" s="9">
        <v>10000</v>
      </c>
      <c r="I82" s="9">
        <v>14000</v>
      </c>
      <c r="J82" s="72">
        <v>15000</v>
      </c>
      <c r="K82" s="67">
        <f t="shared" si="1"/>
        <v>12428.571428571429</v>
      </c>
      <c r="M82" s="4"/>
      <c r="N82" s="4"/>
    </row>
    <row r="83" spans="1:14" ht="15.75" x14ac:dyDescent="0.25">
      <c r="A83" s="17"/>
      <c r="B83" s="66" t="s">
        <v>80</v>
      </c>
      <c r="C83" s="86" t="s">
        <v>6</v>
      </c>
      <c r="D83" s="9">
        <v>7000</v>
      </c>
      <c r="E83" s="9">
        <v>8000</v>
      </c>
      <c r="F83" s="16">
        <v>9000</v>
      </c>
      <c r="G83" s="8">
        <v>8000</v>
      </c>
      <c r="H83" s="9">
        <v>9000</v>
      </c>
      <c r="I83" s="16">
        <v>9000</v>
      </c>
      <c r="J83" s="72">
        <v>8000</v>
      </c>
      <c r="K83" s="67">
        <f t="shared" si="1"/>
        <v>8285.7142857142862</v>
      </c>
      <c r="M83" s="4"/>
      <c r="N83" s="4"/>
    </row>
    <row r="84" spans="1:14" ht="15.75" x14ac:dyDescent="0.25">
      <c r="A84" s="17"/>
      <c r="B84" s="66" t="s">
        <v>81</v>
      </c>
      <c r="C84" s="86" t="s">
        <v>82</v>
      </c>
      <c r="D84" s="9">
        <v>1500</v>
      </c>
      <c r="E84" s="9">
        <v>1500</v>
      </c>
      <c r="F84" s="9">
        <v>2000</v>
      </c>
      <c r="G84" s="8">
        <v>2000</v>
      </c>
      <c r="H84" s="9">
        <v>1500</v>
      </c>
      <c r="I84" s="9">
        <v>2000</v>
      </c>
      <c r="J84" s="79">
        <v>1500</v>
      </c>
      <c r="K84" s="67">
        <f t="shared" si="1"/>
        <v>1714.2857142857142</v>
      </c>
      <c r="L84" s="4"/>
      <c r="M84" s="4"/>
      <c r="N84" s="4"/>
    </row>
    <row r="85" spans="1:14" x14ac:dyDescent="0.25">
      <c r="A85" s="17"/>
      <c r="B85" s="66" t="s">
        <v>83</v>
      </c>
      <c r="C85" s="86" t="s">
        <v>82</v>
      </c>
      <c r="D85" s="9">
        <v>1000</v>
      </c>
      <c r="E85" s="9">
        <v>1500</v>
      </c>
      <c r="F85" s="9">
        <v>1500</v>
      </c>
      <c r="G85" s="8">
        <v>2000</v>
      </c>
      <c r="H85" s="9">
        <v>1500</v>
      </c>
      <c r="I85" s="9">
        <v>1500</v>
      </c>
      <c r="J85" s="79">
        <v>1000</v>
      </c>
      <c r="K85" s="67">
        <f t="shared" si="1"/>
        <v>1428.5714285714287</v>
      </c>
    </row>
    <row r="86" spans="1:14" x14ac:dyDescent="0.25">
      <c r="A86" s="17"/>
      <c r="B86" s="66" t="s">
        <v>84</v>
      </c>
      <c r="C86" s="86" t="s">
        <v>82</v>
      </c>
      <c r="D86" s="9" t="s">
        <v>99</v>
      </c>
      <c r="E86" s="9">
        <v>2000</v>
      </c>
      <c r="F86" s="9" t="s">
        <v>99</v>
      </c>
      <c r="G86" s="8" t="s">
        <v>99</v>
      </c>
      <c r="H86" s="9">
        <v>2500</v>
      </c>
      <c r="I86" s="9" t="s">
        <v>99</v>
      </c>
      <c r="J86" s="79">
        <v>2000</v>
      </c>
      <c r="K86" s="67">
        <f t="shared" si="1"/>
        <v>2166.6666666666665</v>
      </c>
    </row>
    <row r="87" spans="1:14" x14ac:dyDescent="0.25">
      <c r="A87" s="17">
        <v>22</v>
      </c>
      <c r="B87" s="60" t="s">
        <v>85</v>
      </c>
      <c r="C87" s="91"/>
      <c r="D87" s="22"/>
      <c r="E87" s="10"/>
      <c r="F87" s="10" t="s">
        <v>102</v>
      </c>
      <c r="G87" s="22"/>
      <c r="H87" s="10"/>
      <c r="I87" s="10"/>
      <c r="J87" s="77"/>
      <c r="K87" s="71"/>
    </row>
    <row r="88" spans="1:14" x14ac:dyDescent="0.25">
      <c r="A88" s="17"/>
      <c r="B88" s="66" t="s">
        <v>86</v>
      </c>
      <c r="C88" s="86" t="s">
        <v>87</v>
      </c>
      <c r="D88" s="9" t="s">
        <v>99</v>
      </c>
      <c r="E88" s="9" t="s">
        <v>99</v>
      </c>
      <c r="F88" s="9">
        <v>18000</v>
      </c>
      <c r="G88" s="8">
        <v>17000</v>
      </c>
      <c r="H88" s="10" t="s">
        <v>99</v>
      </c>
      <c r="I88" s="16">
        <v>18000</v>
      </c>
      <c r="J88" s="79">
        <v>18000</v>
      </c>
      <c r="K88" s="67">
        <f t="shared" si="1"/>
        <v>17750</v>
      </c>
    </row>
  </sheetData>
  <mergeCells count="28">
    <mergeCell ref="A56:A60"/>
    <mergeCell ref="A63:A66"/>
    <mergeCell ref="A33:A35"/>
    <mergeCell ref="A43:A45"/>
    <mergeCell ref="A46:A48"/>
    <mergeCell ref="A52:A53"/>
    <mergeCell ref="A54:A55"/>
    <mergeCell ref="F4:F6"/>
    <mergeCell ref="G4:G6"/>
    <mergeCell ref="A19:A20"/>
    <mergeCell ref="A21:A25"/>
    <mergeCell ref="A26:A32"/>
    <mergeCell ref="A69:A73"/>
    <mergeCell ref="A1:K1"/>
    <mergeCell ref="A2:K2"/>
    <mergeCell ref="A3:K3"/>
    <mergeCell ref="J4:J6"/>
    <mergeCell ref="A4:A6"/>
    <mergeCell ref="B4:B6"/>
    <mergeCell ref="C4:C6"/>
    <mergeCell ref="D4:D6"/>
    <mergeCell ref="E4:E6"/>
    <mergeCell ref="H4:H6"/>
    <mergeCell ref="I4:I6"/>
    <mergeCell ref="K4:K6"/>
    <mergeCell ref="A7:A12"/>
    <mergeCell ref="A13:A15"/>
    <mergeCell ref="A16:A17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2ABA5-F302-4DE5-9E29-E735C332E14F}">
  <dimension ref="A1:N88"/>
  <sheetViews>
    <sheetView workbookViewId="0">
      <selection activeCell="A4" sqref="A4:A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3.37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3.37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3.37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3.37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3.37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3.37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3.37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3.37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3.37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3.37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3.37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3.37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3.37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3.37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3.37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3.37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3.37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3.37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3.37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3.37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3.37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3.37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3.37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3.37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3.37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3.37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3.37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3.37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3.37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3.37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3.37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3.37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3.37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3.37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3.37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3.37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3.37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3.37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3.37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3.37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3.37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3.37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3.37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3.37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3.37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3.37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3.37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3.37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3.37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3.37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3.37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3.37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3.37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3.37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3.37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3.37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3.37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3.37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3.37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3.37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3.37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3.37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3.37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3.37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02" t="s">
        <v>88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M1" s="4"/>
      <c r="N1" s="4"/>
    </row>
    <row r="2" spans="1:14" ht="27.75" customHeight="1" x14ac:dyDescent="0.25">
      <c r="A2" s="103" t="s">
        <v>89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M2" s="4"/>
      <c r="N2" s="4"/>
    </row>
    <row r="3" spans="1:14" ht="27.75" customHeight="1" thickBot="1" x14ac:dyDescent="0.3">
      <c r="A3" s="104" t="s">
        <v>126</v>
      </c>
      <c r="B3" s="104"/>
      <c r="C3" s="104"/>
      <c r="D3" s="104"/>
      <c r="E3" s="104"/>
      <c r="F3" s="104"/>
      <c r="G3" s="104"/>
      <c r="H3" s="104"/>
      <c r="I3" s="104"/>
      <c r="J3" s="104"/>
      <c r="K3" s="105"/>
      <c r="M3" s="4"/>
      <c r="N3" s="4"/>
    </row>
    <row r="4" spans="1:14" ht="25.5" customHeight="1" x14ac:dyDescent="0.25">
      <c r="A4" s="96" t="s">
        <v>1</v>
      </c>
      <c r="B4" s="99" t="s">
        <v>2</v>
      </c>
      <c r="C4" s="96" t="s">
        <v>90</v>
      </c>
      <c r="D4" s="110" t="s">
        <v>91</v>
      </c>
      <c r="E4" s="113" t="s">
        <v>92</v>
      </c>
      <c r="F4" s="125" t="s">
        <v>93</v>
      </c>
      <c r="G4" s="128" t="s">
        <v>94</v>
      </c>
      <c r="H4" s="116" t="s">
        <v>95</v>
      </c>
      <c r="I4" s="119" t="s">
        <v>96</v>
      </c>
      <c r="J4" s="106" t="s">
        <v>97</v>
      </c>
      <c r="K4" s="122" t="s">
        <v>98</v>
      </c>
      <c r="M4" s="4"/>
      <c r="N4" s="4"/>
    </row>
    <row r="5" spans="1:14" ht="15" customHeight="1" x14ac:dyDescent="0.25">
      <c r="A5" s="97"/>
      <c r="B5" s="100"/>
      <c r="C5" s="97"/>
      <c r="D5" s="111"/>
      <c r="E5" s="114"/>
      <c r="F5" s="126"/>
      <c r="G5" s="129"/>
      <c r="H5" s="117"/>
      <c r="I5" s="120"/>
      <c r="J5" s="107"/>
      <c r="K5" s="123"/>
      <c r="M5" s="4"/>
      <c r="N5" s="4"/>
    </row>
    <row r="6" spans="1:14" ht="16.5" thickBot="1" x14ac:dyDescent="0.3">
      <c r="A6" s="98"/>
      <c r="B6" s="109"/>
      <c r="C6" s="98"/>
      <c r="D6" s="112"/>
      <c r="E6" s="115"/>
      <c r="F6" s="127"/>
      <c r="G6" s="130"/>
      <c r="H6" s="118"/>
      <c r="I6" s="121"/>
      <c r="J6" s="108"/>
      <c r="K6" s="124"/>
      <c r="M6" s="4"/>
      <c r="N6" s="4"/>
    </row>
    <row r="7" spans="1:14" ht="15.75" x14ac:dyDescent="0.25">
      <c r="A7" s="101">
        <v>1</v>
      </c>
      <c r="B7" s="60" t="s">
        <v>4</v>
      </c>
      <c r="C7" s="61"/>
      <c r="D7" s="62"/>
      <c r="E7" s="17" t="s">
        <v>102</v>
      </c>
      <c r="F7" s="17"/>
      <c r="G7" s="63"/>
      <c r="H7" s="63" t="s">
        <v>1</v>
      </c>
      <c r="I7" s="64"/>
      <c r="J7" s="63"/>
      <c r="K7" s="65"/>
      <c r="M7" s="4"/>
      <c r="N7" s="4"/>
    </row>
    <row r="8" spans="1:14" ht="15.75" x14ac:dyDescent="0.25">
      <c r="A8" s="101"/>
      <c r="B8" s="66" t="s">
        <v>107</v>
      </c>
      <c r="C8" s="17" t="s">
        <v>6</v>
      </c>
      <c r="D8" s="9">
        <v>14000</v>
      </c>
      <c r="E8" s="9">
        <v>14000</v>
      </c>
      <c r="F8" s="9">
        <v>14000</v>
      </c>
      <c r="G8" s="9">
        <v>14000</v>
      </c>
      <c r="H8" s="9">
        <v>16000</v>
      </c>
      <c r="I8" s="9">
        <v>14000</v>
      </c>
      <c r="J8" s="16">
        <v>14000</v>
      </c>
      <c r="K8" s="67">
        <f>AVERAGE(D8:J8)</f>
        <v>14285.714285714286</v>
      </c>
      <c r="L8" s="1"/>
      <c r="M8" s="7"/>
      <c r="N8" s="4"/>
    </row>
    <row r="9" spans="1:14" ht="15.75" x14ac:dyDescent="0.25">
      <c r="A9" s="101"/>
      <c r="B9" s="66" t="s">
        <v>115</v>
      </c>
      <c r="C9" s="17" t="s">
        <v>6</v>
      </c>
      <c r="D9" s="9">
        <v>10900</v>
      </c>
      <c r="E9" s="9">
        <v>10900</v>
      </c>
      <c r="F9" s="9">
        <v>10900</v>
      </c>
      <c r="G9" s="8">
        <v>10900</v>
      </c>
      <c r="H9" s="9">
        <v>12000</v>
      </c>
      <c r="I9" s="9">
        <v>10900</v>
      </c>
      <c r="J9" s="16" t="s">
        <v>99</v>
      </c>
      <c r="K9" s="67">
        <f t="shared" ref="K9:K80" si="0">AVERAGE(D9:J9)</f>
        <v>11083.333333333334</v>
      </c>
      <c r="M9" s="4"/>
      <c r="N9" s="4"/>
    </row>
    <row r="10" spans="1:14" ht="15.75" x14ac:dyDescent="0.25">
      <c r="A10" s="101"/>
      <c r="B10" s="66" t="s">
        <v>108</v>
      </c>
      <c r="C10" s="17" t="s">
        <v>6</v>
      </c>
      <c r="D10" s="9" t="s">
        <v>99</v>
      </c>
      <c r="E10" s="9" t="s">
        <v>99</v>
      </c>
      <c r="F10" s="9" t="s">
        <v>99</v>
      </c>
      <c r="G10" s="8" t="s">
        <v>99</v>
      </c>
      <c r="H10" s="9" t="s">
        <v>99</v>
      </c>
      <c r="I10" s="9" t="s">
        <v>99</v>
      </c>
      <c r="J10" s="16" t="s">
        <v>99</v>
      </c>
      <c r="K10" s="67">
        <v>0</v>
      </c>
      <c r="M10" s="4"/>
      <c r="N10" s="4"/>
    </row>
    <row r="11" spans="1:14" ht="15.75" x14ac:dyDescent="0.25">
      <c r="A11" s="101"/>
      <c r="B11" s="66" t="s">
        <v>9</v>
      </c>
      <c r="C11" s="17" t="s">
        <v>6</v>
      </c>
      <c r="D11" s="9" t="s">
        <v>99</v>
      </c>
      <c r="E11" s="9">
        <v>10000</v>
      </c>
      <c r="F11" s="16">
        <v>12000</v>
      </c>
      <c r="G11" s="8">
        <v>10000</v>
      </c>
      <c r="H11" s="9">
        <v>10000</v>
      </c>
      <c r="I11" s="16">
        <v>12000</v>
      </c>
      <c r="J11" s="16">
        <v>10000</v>
      </c>
      <c r="K11" s="67">
        <f>AVERAGE(D11:J11)</f>
        <v>10666.666666666666</v>
      </c>
      <c r="M11" s="4"/>
      <c r="N11" s="4"/>
    </row>
    <row r="12" spans="1:14" ht="15.75" x14ac:dyDescent="0.25">
      <c r="A12" s="101"/>
      <c r="B12" s="66" t="s">
        <v>10</v>
      </c>
      <c r="C12" s="17" t="s">
        <v>6</v>
      </c>
      <c r="D12" s="9" t="s">
        <v>99</v>
      </c>
      <c r="E12" s="9">
        <v>21000</v>
      </c>
      <c r="F12" s="16">
        <v>16000</v>
      </c>
      <c r="G12" s="8">
        <v>18000</v>
      </c>
      <c r="H12" s="9">
        <v>25000</v>
      </c>
      <c r="I12" s="16">
        <v>17000</v>
      </c>
      <c r="J12" s="16">
        <v>17000</v>
      </c>
      <c r="K12" s="67">
        <f t="shared" si="0"/>
        <v>19000</v>
      </c>
      <c r="M12" s="4"/>
      <c r="N12" s="4"/>
    </row>
    <row r="13" spans="1:14" ht="15.75" x14ac:dyDescent="0.25">
      <c r="A13" s="101">
        <v>2</v>
      </c>
      <c r="B13" s="60" t="s">
        <v>11</v>
      </c>
      <c r="C13" s="68"/>
      <c r="D13" s="62"/>
      <c r="E13" s="69"/>
      <c r="F13" s="17"/>
      <c r="G13" s="70"/>
      <c r="H13" s="70"/>
      <c r="I13" s="70"/>
      <c r="J13" s="70"/>
      <c r="K13" s="71"/>
      <c r="M13" s="4"/>
      <c r="N13" s="12"/>
    </row>
    <row r="14" spans="1:14" ht="15.75" x14ac:dyDescent="0.25">
      <c r="A14" s="101"/>
      <c r="B14" s="66" t="s">
        <v>116</v>
      </c>
      <c r="C14" s="17" t="s">
        <v>6</v>
      </c>
      <c r="D14" s="9">
        <v>16000</v>
      </c>
      <c r="E14" s="9">
        <v>16000</v>
      </c>
      <c r="F14" s="9">
        <v>16000</v>
      </c>
      <c r="G14" s="16">
        <v>16000</v>
      </c>
      <c r="H14" s="9">
        <v>16500</v>
      </c>
      <c r="I14" s="9">
        <v>17000</v>
      </c>
      <c r="J14" s="72">
        <v>16500</v>
      </c>
      <c r="K14" s="67">
        <f t="shared" si="0"/>
        <v>16285.714285714286</v>
      </c>
      <c r="M14" s="4"/>
      <c r="N14" s="4"/>
    </row>
    <row r="15" spans="1:14" ht="15.75" x14ac:dyDescent="0.25">
      <c r="A15" s="101"/>
      <c r="B15" s="66" t="s">
        <v>13</v>
      </c>
      <c r="C15" s="17" t="s">
        <v>6</v>
      </c>
      <c r="D15" s="9">
        <v>17000</v>
      </c>
      <c r="E15" s="9">
        <v>16000</v>
      </c>
      <c r="F15" s="16">
        <v>16000</v>
      </c>
      <c r="G15" s="8">
        <v>16000</v>
      </c>
      <c r="H15" s="9">
        <v>17000</v>
      </c>
      <c r="I15" s="9">
        <v>16000</v>
      </c>
      <c r="J15" s="72">
        <v>18000</v>
      </c>
      <c r="K15" s="67">
        <f>AVERAGE(D15:J15)</f>
        <v>16571.428571428572</v>
      </c>
      <c r="M15" s="4"/>
      <c r="N15" s="4"/>
    </row>
    <row r="16" spans="1:14" ht="15.75" x14ac:dyDescent="0.25">
      <c r="A16" s="101">
        <v>3</v>
      </c>
      <c r="B16" s="60" t="s">
        <v>14</v>
      </c>
      <c r="C16" s="73"/>
      <c r="D16" s="74"/>
      <c r="E16" s="15"/>
      <c r="F16" s="15"/>
      <c r="G16" s="15"/>
      <c r="H16" s="15"/>
      <c r="I16" s="15"/>
      <c r="J16" s="75"/>
      <c r="K16" s="71"/>
      <c r="M16" s="4"/>
      <c r="N16" s="4"/>
    </row>
    <row r="17" spans="1:14" ht="15.75" x14ac:dyDescent="0.25">
      <c r="A17" s="101"/>
      <c r="B17" s="66" t="s">
        <v>15</v>
      </c>
      <c r="C17" s="17" t="s">
        <v>6</v>
      </c>
      <c r="D17" s="9">
        <v>15000</v>
      </c>
      <c r="E17" s="9">
        <v>15000</v>
      </c>
      <c r="F17" s="9">
        <v>14000</v>
      </c>
      <c r="G17" s="9">
        <v>15000</v>
      </c>
      <c r="H17" s="9">
        <v>16000</v>
      </c>
      <c r="I17" s="9">
        <v>16000</v>
      </c>
      <c r="J17" s="72">
        <v>16000</v>
      </c>
      <c r="K17" s="67">
        <f t="shared" si="0"/>
        <v>15285.714285714286</v>
      </c>
      <c r="M17" s="4"/>
      <c r="N17" s="4"/>
    </row>
    <row r="18" spans="1:14" ht="15.75" x14ac:dyDescent="0.25">
      <c r="A18" s="59"/>
      <c r="B18" s="66" t="s">
        <v>109</v>
      </c>
      <c r="C18" s="17" t="s">
        <v>110</v>
      </c>
      <c r="D18" s="9">
        <v>14000</v>
      </c>
      <c r="E18" s="9">
        <v>14000</v>
      </c>
      <c r="F18" s="9">
        <v>14000</v>
      </c>
      <c r="G18" s="9">
        <v>14000</v>
      </c>
      <c r="H18" s="9" t="s">
        <v>99</v>
      </c>
      <c r="I18" s="9">
        <v>14000</v>
      </c>
      <c r="J18" s="72">
        <v>14000</v>
      </c>
      <c r="K18" s="67">
        <f t="shared" si="0"/>
        <v>14000</v>
      </c>
      <c r="M18" s="4"/>
      <c r="N18" s="4"/>
    </row>
    <row r="19" spans="1:14" ht="17.25" customHeight="1" x14ac:dyDescent="0.25">
      <c r="A19" s="101">
        <v>4</v>
      </c>
      <c r="B19" s="60" t="s">
        <v>16</v>
      </c>
      <c r="C19" s="73"/>
      <c r="D19" s="74"/>
      <c r="E19" s="15"/>
      <c r="F19" s="15"/>
      <c r="G19" s="76"/>
      <c r="H19" s="15"/>
      <c r="I19" s="15"/>
      <c r="J19" s="75"/>
      <c r="K19" s="71"/>
      <c r="M19" s="4"/>
      <c r="N19" s="4"/>
    </row>
    <row r="20" spans="1:14" ht="15.75" x14ac:dyDescent="0.25">
      <c r="A20" s="101"/>
      <c r="B20" s="66" t="s">
        <v>17</v>
      </c>
      <c r="C20" s="17" t="s">
        <v>6</v>
      </c>
      <c r="D20" s="9">
        <v>20000</v>
      </c>
      <c r="E20" s="9">
        <v>20000</v>
      </c>
      <c r="F20" s="16">
        <v>20000</v>
      </c>
      <c r="G20" s="8">
        <v>22000</v>
      </c>
      <c r="H20" s="16">
        <v>33000</v>
      </c>
      <c r="I20" s="16">
        <v>20000</v>
      </c>
      <c r="J20" s="77" t="s">
        <v>99</v>
      </c>
      <c r="K20" s="67">
        <f t="shared" si="0"/>
        <v>22500</v>
      </c>
      <c r="M20" s="4"/>
      <c r="N20" s="4"/>
    </row>
    <row r="21" spans="1:14" ht="15.75" x14ac:dyDescent="0.25">
      <c r="A21" s="101">
        <v>5</v>
      </c>
      <c r="B21" s="60" t="s">
        <v>18</v>
      </c>
      <c r="C21" s="73"/>
      <c r="D21" s="74"/>
      <c r="E21" s="17"/>
      <c r="F21" s="15" t="s">
        <v>1</v>
      </c>
      <c r="G21" s="76"/>
      <c r="H21" s="15"/>
      <c r="I21" s="15"/>
      <c r="J21" s="75"/>
      <c r="K21" s="71"/>
      <c r="M21" s="4"/>
      <c r="N21" s="4"/>
    </row>
    <row r="22" spans="1:14" ht="15.75" x14ac:dyDescent="0.25">
      <c r="A22" s="101"/>
      <c r="B22" s="66" t="s">
        <v>19</v>
      </c>
      <c r="C22" s="17" t="s">
        <v>6</v>
      </c>
      <c r="D22" s="9">
        <v>120000</v>
      </c>
      <c r="E22" s="9">
        <v>120000</v>
      </c>
      <c r="F22" s="9">
        <v>120000</v>
      </c>
      <c r="G22" s="9">
        <v>120000</v>
      </c>
      <c r="H22" s="9">
        <v>120000</v>
      </c>
      <c r="I22" s="8">
        <v>120000</v>
      </c>
      <c r="J22" s="72" t="s">
        <v>99</v>
      </c>
      <c r="K22" s="67">
        <f t="shared" si="0"/>
        <v>120000</v>
      </c>
      <c r="M22" s="4"/>
      <c r="N22" s="4"/>
    </row>
    <row r="23" spans="1:14" ht="15.75" x14ac:dyDescent="0.25">
      <c r="A23" s="101"/>
      <c r="B23" s="66" t="s">
        <v>20</v>
      </c>
      <c r="C23" s="17" t="s">
        <v>6</v>
      </c>
      <c r="D23" s="9">
        <v>110000</v>
      </c>
      <c r="E23" s="9">
        <v>110000</v>
      </c>
      <c r="F23" s="9">
        <v>110000</v>
      </c>
      <c r="G23" s="9">
        <v>110000</v>
      </c>
      <c r="H23" s="9">
        <v>115000</v>
      </c>
      <c r="I23" s="9">
        <v>110000</v>
      </c>
      <c r="J23" s="72">
        <v>110000</v>
      </c>
      <c r="K23" s="67">
        <f t="shared" si="0"/>
        <v>110714.28571428571</v>
      </c>
      <c r="M23" s="4"/>
      <c r="N23" s="4"/>
    </row>
    <row r="24" spans="1:14" ht="15.75" x14ac:dyDescent="0.25">
      <c r="A24" s="101"/>
      <c r="B24" s="66" t="s">
        <v>21</v>
      </c>
      <c r="C24" s="17" t="s">
        <v>6</v>
      </c>
      <c r="D24" s="9">
        <v>90000</v>
      </c>
      <c r="E24" s="9">
        <v>90000</v>
      </c>
      <c r="F24" s="9">
        <v>100000</v>
      </c>
      <c r="G24" s="9">
        <v>105000</v>
      </c>
      <c r="H24" s="9">
        <v>110000</v>
      </c>
      <c r="I24" s="8">
        <v>100000</v>
      </c>
      <c r="J24" s="72">
        <v>105000</v>
      </c>
      <c r="K24" s="67">
        <f t="shared" si="0"/>
        <v>100000</v>
      </c>
      <c r="M24" s="4"/>
      <c r="N24" s="4"/>
    </row>
    <row r="25" spans="1:14" ht="15.75" x14ac:dyDescent="0.25">
      <c r="A25" s="101"/>
      <c r="B25" s="66" t="s">
        <v>22</v>
      </c>
      <c r="C25" s="17" t="s">
        <v>6</v>
      </c>
      <c r="D25" s="9">
        <v>32000</v>
      </c>
      <c r="E25" s="9">
        <v>31000</v>
      </c>
      <c r="F25" s="9">
        <v>30000</v>
      </c>
      <c r="G25" s="9">
        <v>31000</v>
      </c>
      <c r="H25" s="72">
        <v>32000</v>
      </c>
      <c r="I25" s="9">
        <v>33000</v>
      </c>
      <c r="J25" s="72">
        <v>33000</v>
      </c>
      <c r="K25" s="67">
        <f t="shared" si="0"/>
        <v>31714.285714285714</v>
      </c>
      <c r="M25" s="4"/>
      <c r="N25" s="4"/>
    </row>
    <row r="26" spans="1:14" ht="15.75" x14ac:dyDescent="0.25">
      <c r="A26" s="101">
        <v>6</v>
      </c>
      <c r="B26" s="60" t="s">
        <v>23</v>
      </c>
      <c r="C26" s="73"/>
      <c r="D26" s="74"/>
      <c r="E26" s="17"/>
      <c r="F26" s="76"/>
      <c r="G26" s="15"/>
      <c r="H26" s="75"/>
      <c r="I26" s="15"/>
      <c r="J26" s="75"/>
      <c r="K26" s="71"/>
      <c r="M26" s="4"/>
      <c r="N26" s="4"/>
    </row>
    <row r="27" spans="1:14" ht="15.75" x14ac:dyDescent="0.25">
      <c r="A27" s="101"/>
      <c r="B27" s="66" t="s">
        <v>24</v>
      </c>
      <c r="C27" s="17" t="s">
        <v>6</v>
      </c>
      <c r="D27" s="9">
        <v>35000</v>
      </c>
      <c r="E27" s="9">
        <v>35000</v>
      </c>
      <c r="F27" s="9" t="s">
        <v>99</v>
      </c>
      <c r="G27" s="9">
        <v>40000</v>
      </c>
      <c r="H27" s="9">
        <v>30000</v>
      </c>
      <c r="I27" s="9" t="s">
        <v>99</v>
      </c>
      <c r="J27" s="72">
        <v>30000</v>
      </c>
      <c r="K27" s="67">
        <f t="shared" si="0"/>
        <v>34000</v>
      </c>
      <c r="L27" t="s">
        <v>100</v>
      </c>
      <c r="M27" s="4"/>
      <c r="N27" s="4"/>
    </row>
    <row r="28" spans="1:14" ht="15.75" x14ac:dyDescent="0.25">
      <c r="A28" s="101"/>
      <c r="B28" s="66" t="s">
        <v>25</v>
      </c>
      <c r="C28" s="17" t="s">
        <v>6</v>
      </c>
      <c r="D28" s="9">
        <v>35000</v>
      </c>
      <c r="E28" s="9">
        <v>28000</v>
      </c>
      <c r="F28" s="9">
        <v>35000</v>
      </c>
      <c r="G28" s="8">
        <v>30000</v>
      </c>
      <c r="H28" s="9">
        <v>20000</v>
      </c>
      <c r="I28" s="9">
        <v>32000</v>
      </c>
      <c r="J28" s="78">
        <v>32000</v>
      </c>
      <c r="K28" s="67">
        <f t="shared" si="0"/>
        <v>30285.714285714286</v>
      </c>
      <c r="M28" s="4"/>
      <c r="N28" s="4"/>
    </row>
    <row r="29" spans="1:14" ht="15.75" x14ac:dyDescent="0.25">
      <c r="A29" s="101"/>
      <c r="B29" s="66" t="s">
        <v>26</v>
      </c>
      <c r="C29" s="17" t="s">
        <v>6</v>
      </c>
      <c r="D29" s="9">
        <v>60000</v>
      </c>
      <c r="E29" s="9">
        <v>60000</v>
      </c>
      <c r="F29" s="16">
        <v>60000</v>
      </c>
      <c r="G29" s="8">
        <v>70000</v>
      </c>
      <c r="H29" s="9">
        <v>63000</v>
      </c>
      <c r="I29" s="9">
        <v>65000</v>
      </c>
      <c r="J29" s="79">
        <v>60000</v>
      </c>
      <c r="K29" s="67">
        <f t="shared" si="0"/>
        <v>62571.428571428572</v>
      </c>
      <c r="M29" s="4"/>
      <c r="N29" s="4"/>
    </row>
    <row r="30" spans="1:14" ht="15.75" x14ac:dyDescent="0.25">
      <c r="A30" s="101"/>
      <c r="B30" s="66" t="s">
        <v>27</v>
      </c>
      <c r="C30" s="17" t="s">
        <v>6</v>
      </c>
      <c r="D30" s="9">
        <v>25000</v>
      </c>
      <c r="E30" s="9" t="s">
        <v>99</v>
      </c>
      <c r="F30" s="10" t="s">
        <v>99</v>
      </c>
      <c r="G30" s="8">
        <v>25000</v>
      </c>
      <c r="H30" s="9">
        <v>23000</v>
      </c>
      <c r="I30" s="9" t="s">
        <v>99</v>
      </c>
      <c r="J30" s="79">
        <v>26000</v>
      </c>
      <c r="K30" s="67">
        <f t="shared" si="0"/>
        <v>24750</v>
      </c>
      <c r="M30" s="4"/>
      <c r="N30" s="4"/>
    </row>
    <row r="31" spans="1:14" ht="15.75" x14ac:dyDescent="0.25">
      <c r="A31" s="101"/>
      <c r="B31" s="66" t="s">
        <v>28</v>
      </c>
      <c r="C31" s="17" t="s">
        <v>6</v>
      </c>
      <c r="D31" s="9">
        <v>35000</v>
      </c>
      <c r="E31" s="9">
        <v>36000</v>
      </c>
      <c r="F31" s="9">
        <v>40000</v>
      </c>
      <c r="G31" s="9">
        <v>40000</v>
      </c>
      <c r="H31" s="9">
        <v>28000</v>
      </c>
      <c r="I31" s="9">
        <v>42000</v>
      </c>
      <c r="J31" s="72">
        <v>35000</v>
      </c>
      <c r="K31" s="67">
        <f t="shared" si="0"/>
        <v>36571.428571428572</v>
      </c>
      <c r="M31" s="4"/>
      <c r="N31" s="4"/>
    </row>
    <row r="32" spans="1:14" ht="15.75" x14ac:dyDescent="0.25">
      <c r="A32" s="101"/>
      <c r="B32" s="66" t="s">
        <v>29</v>
      </c>
      <c r="C32" s="17" t="s">
        <v>6</v>
      </c>
      <c r="D32" s="9" t="s">
        <v>99</v>
      </c>
      <c r="E32" s="9">
        <v>100000</v>
      </c>
      <c r="F32" s="9">
        <v>100000</v>
      </c>
      <c r="G32" s="9" t="s">
        <v>99</v>
      </c>
      <c r="H32" s="9">
        <v>80000</v>
      </c>
      <c r="I32" s="9" t="s">
        <v>99</v>
      </c>
      <c r="J32" s="79">
        <v>70000</v>
      </c>
      <c r="K32" s="67">
        <f t="shared" si="0"/>
        <v>87500</v>
      </c>
      <c r="M32" s="4"/>
      <c r="N32" s="4"/>
    </row>
    <row r="33" spans="1:14" ht="15.75" x14ac:dyDescent="0.25">
      <c r="A33" s="101">
        <v>7</v>
      </c>
      <c r="B33" s="60" t="s">
        <v>30</v>
      </c>
      <c r="C33" s="73"/>
      <c r="D33" s="74"/>
      <c r="E33" s="17"/>
      <c r="F33" s="76"/>
      <c r="G33" s="76"/>
      <c r="H33" s="15"/>
      <c r="I33" s="15"/>
      <c r="J33" s="75"/>
      <c r="K33" s="71"/>
      <c r="M33" s="4"/>
      <c r="N33" s="4"/>
    </row>
    <row r="34" spans="1:14" ht="15.75" x14ac:dyDescent="0.25">
      <c r="A34" s="101"/>
      <c r="B34" s="66" t="s">
        <v>31</v>
      </c>
      <c r="C34" s="17" t="s">
        <v>6</v>
      </c>
      <c r="D34" s="9">
        <v>26000</v>
      </c>
      <c r="E34" s="9">
        <v>26000</v>
      </c>
      <c r="F34" s="9">
        <v>26000</v>
      </c>
      <c r="G34" s="9">
        <v>26000</v>
      </c>
      <c r="H34" s="9">
        <v>26000</v>
      </c>
      <c r="I34" s="9">
        <v>27000</v>
      </c>
      <c r="J34" s="72">
        <v>26000</v>
      </c>
      <c r="K34" s="67">
        <f t="shared" si="0"/>
        <v>26142.857142857141</v>
      </c>
      <c r="M34" s="4"/>
      <c r="N34" s="4"/>
    </row>
    <row r="35" spans="1:14" ht="15.75" x14ac:dyDescent="0.25">
      <c r="A35" s="101"/>
      <c r="B35" s="66" t="s">
        <v>32</v>
      </c>
      <c r="C35" s="17" t="s">
        <v>33</v>
      </c>
      <c r="D35" s="9">
        <v>3000</v>
      </c>
      <c r="E35" s="9">
        <v>2500</v>
      </c>
      <c r="F35" s="9">
        <v>2500</v>
      </c>
      <c r="G35" s="9">
        <v>2800</v>
      </c>
      <c r="H35" s="9">
        <v>2500</v>
      </c>
      <c r="I35" s="9">
        <v>3000</v>
      </c>
      <c r="J35" s="72">
        <v>3000</v>
      </c>
      <c r="K35" s="67">
        <f t="shared" si="0"/>
        <v>2757.1428571428573</v>
      </c>
      <c r="M35" s="4"/>
      <c r="N35" s="4"/>
    </row>
    <row r="36" spans="1:14" ht="15.75" x14ac:dyDescent="0.25">
      <c r="A36" s="59">
        <v>8</v>
      </c>
      <c r="B36" s="73" t="s">
        <v>117</v>
      </c>
      <c r="C36" s="80"/>
      <c r="D36" s="9"/>
      <c r="E36" s="9"/>
      <c r="F36" s="9"/>
      <c r="G36" s="9"/>
      <c r="H36" s="9"/>
      <c r="I36" s="9"/>
      <c r="J36" s="72"/>
      <c r="K36" s="81"/>
      <c r="M36" s="4"/>
      <c r="N36" s="4"/>
    </row>
    <row r="37" spans="1:14" ht="15.75" x14ac:dyDescent="0.25">
      <c r="A37" s="59"/>
      <c r="B37" s="66" t="s">
        <v>118</v>
      </c>
      <c r="C37" s="17" t="s">
        <v>6</v>
      </c>
      <c r="D37" s="9">
        <v>10000</v>
      </c>
      <c r="E37" s="9">
        <v>1250</v>
      </c>
      <c r="F37" s="9">
        <v>9000</v>
      </c>
      <c r="G37" s="9">
        <v>9000</v>
      </c>
      <c r="H37" s="9">
        <v>16000</v>
      </c>
      <c r="I37" s="9">
        <v>9000</v>
      </c>
      <c r="J37" s="72">
        <v>3000</v>
      </c>
      <c r="K37" s="67">
        <f t="shared" si="0"/>
        <v>8178.5714285714284</v>
      </c>
      <c r="M37" s="4"/>
      <c r="N37" s="4"/>
    </row>
    <row r="38" spans="1:14" ht="15.75" x14ac:dyDescent="0.25">
      <c r="A38" s="59"/>
      <c r="B38" s="66" t="s">
        <v>119</v>
      </c>
      <c r="C38" s="17" t="s">
        <v>6</v>
      </c>
      <c r="D38" s="9" t="s">
        <v>99</v>
      </c>
      <c r="E38" s="9">
        <v>10000</v>
      </c>
      <c r="F38" s="9">
        <v>12000</v>
      </c>
      <c r="G38" s="9">
        <v>14000</v>
      </c>
      <c r="H38" s="9" t="s">
        <v>99</v>
      </c>
      <c r="I38" s="9">
        <v>12000</v>
      </c>
      <c r="J38" s="72">
        <v>12000</v>
      </c>
      <c r="K38" s="67">
        <f>AVERAGE(D38:J38)</f>
        <v>12000</v>
      </c>
      <c r="M38" s="4"/>
      <c r="N38" s="4"/>
    </row>
    <row r="39" spans="1:14" ht="15.75" x14ac:dyDescent="0.25">
      <c r="A39" s="59">
        <v>9</v>
      </c>
      <c r="B39" s="82" t="s">
        <v>120</v>
      </c>
      <c r="C39" s="83"/>
      <c r="D39" s="9"/>
      <c r="E39" s="9"/>
      <c r="F39" s="9"/>
      <c r="G39" s="9"/>
      <c r="H39" s="9"/>
      <c r="I39" s="9"/>
      <c r="J39" s="72"/>
      <c r="K39" s="81"/>
      <c r="M39" s="4"/>
      <c r="N39" s="4"/>
    </row>
    <row r="40" spans="1:14" ht="15.75" x14ac:dyDescent="0.25">
      <c r="A40" s="59"/>
      <c r="B40" s="66" t="s">
        <v>121</v>
      </c>
      <c r="C40" s="17" t="s">
        <v>6</v>
      </c>
      <c r="D40" s="9" t="s">
        <v>99</v>
      </c>
      <c r="E40" s="9" t="s">
        <v>99</v>
      </c>
      <c r="F40" s="9" t="s">
        <v>99</v>
      </c>
      <c r="G40" s="9">
        <v>16000</v>
      </c>
      <c r="H40" s="9">
        <v>14000</v>
      </c>
      <c r="I40" s="9" t="s">
        <v>99</v>
      </c>
      <c r="J40" s="72">
        <v>15000</v>
      </c>
      <c r="K40" s="67">
        <f t="shared" si="0"/>
        <v>15000</v>
      </c>
      <c r="M40" s="4"/>
      <c r="N40" s="4"/>
    </row>
    <row r="41" spans="1:14" ht="15.75" x14ac:dyDescent="0.25">
      <c r="A41" s="59"/>
      <c r="B41" s="66" t="s">
        <v>122</v>
      </c>
      <c r="C41" s="17" t="s">
        <v>6</v>
      </c>
      <c r="D41" s="9" t="s">
        <v>99</v>
      </c>
      <c r="E41" s="9" t="s">
        <v>99</v>
      </c>
      <c r="F41" s="9">
        <v>6000</v>
      </c>
      <c r="G41" s="9" t="s">
        <v>99</v>
      </c>
      <c r="H41" s="9" t="s">
        <v>99</v>
      </c>
      <c r="I41" s="9">
        <v>6000</v>
      </c>
      <c r="J41" s="72" t="s">
        <v>99</v>
      </c>
      <c r="K41" s="67">
        <f t="shared" si="0"/>
        <v>6000</v>
      </c>
      <c r="M41" s="4"/>
      <c r="N41" s="4"/>
    </row>
    <row r="42" spans="1:14" ht="15.75" x14ac:dyDescent="0.25">
      <c r="A42" s="59"/>
      <c r="B42" s="66" t="s">
        <v>123</v>
      </c>
      <c r="C42" s="17" t="s">
        <v>6</v>
      </c>
      <c r="D42" s="9" t="s">
        <v>99</v>
      </c>
      <c r="E42" s="9">
        <v>2500</v>
      </c>
      <c r="F42" s="9" t="s">
        <v>99</v>
      </c>
      <c r="G42" s="9" t="s">
        <v>99</v>
      </c>
      <c r="H42" s="9" t="s">
        <v>99</v>
      </c>
      <c r="I42" s="9" t="s">
        <v>99</v>
      </c>
      <c r="J42" s="72" t="s">
        <v>99</v>
      </c>
      <c r="K42" s="67">
        <f t="shared" si="0"/>
        <v>2500</v>
      </c>
      <c r="M42" s="4"/>
      <c r="N42" s="4"/>
    </row>
    <row r="43" spans="1:14" ht="15.75" x14ac:dyDescent="0.25">
      <c r="A43" s="101">
        <v>10</v>
      </c>
      <c r="B43" s="60" t="s">
        <v>34</v>
      </c>
      <c r="C43" s="73"/>
      <c r="D43" s="74"/>
      <c r="E43" s="17"/>
      <c r="F43" s="76"/>
      <c r="G43" s="15"/>
      <c r="H43" s="15"/>
      <c r="I43" s="15"/>
      <c r="J43" s="84"/>
      <c r="K43" s="71"/>
      <c r="M43" s="4"/>
      <c r="N43" s="4"/>
    </row>
    <row r="44" spans="1:14" ht="15.75" x14ac:dyDescent="0.25">
      <c r="A44" s="101"/>
      <c r="B44" s="66" t="s">
        <v>35</v>
      </c>
      <c r="C44" s="17" t="s">
        <v>36</v>
      </c>
      <c r="D44" s="9">
        <v>12000</v>
      </c>
      <c r="E44" s="9">
        <v>12000</v>
      </c>
      <c r="F44" s="9">
        <v>12500</v>
      </c>
      <c r="G44" s="9">
        <v>12500</v>
      </c>
      <c r="H44" s="10" t="s">
        <v>99</v>
      </c>
      <c r="I44" s="16">
        <v>12500</v>
      </c>
      <c r="J44" s="72">
        <v>12500</v>
      </c>
      <c r="K44" s="67">
        <f t="shared" si="0"/>
        <v>12333.333333333334</v>
      </c>
      <c r="M44" s="4"/>
      <c r="N44" s="4"/>
    </row>
    <row r="45" spans="1:14" ht="15.75" x14ac:dyDescent="0.25">
      <c r="A45" s="101"/>
      <c r="B45" s="66" t="s">
        <v>124</v>
      </c>
      <c r="C45" s="17" t="s">
        <v>36</v>
      </c>
      <c r="D45" s="9">
        <v>12000</v>
      </c>
      <c r="E45" s="9">
        <v>13000</v>
      </c>
      <c r="F45" s="16">
        <v>12500</v>
      </c>
      <c r="G45" s="9">
        <v>12500</v>
      </c>
      <c r="H45" s="10" t="s">
        <v>99</v>
      </c>
      <c r="I45" s="16">
        <v>12500</v>
      </c>
      <c r="J45" s="79">
        <v>12500</v>
      </c>
      <c r="K45" s="67">
        <f>AVERAGE(D45:J45)</f>
        <v>12500</v>
      </c>
      <c r="M45" s="4"/>
      <c r="N45" s="4"/>
    </row>
    <row r="46" spans="1:14" ht="15.75" x14ac:dyDescent="0.25">
      <c r="A46" s="101">
        <v>11</v>
      </c>
      <c r="B46" s="60" t="s">
        <v>38</v>
      </c>
      <c r="C46" s="73"/>
      <c r="D46" s="74"/>
      <c r="E46" s="17"/>
      <c r="F46" s="15"/>
      <c r="G46" s="76"/>
      <c r="H46" s="15"/>
      <c r="I46" s="15"/>
      <c r="J46" s="75"/>
      <c r="K46" s="71"/>
      <c r="M46" s="4"/>
      <c r="N46" s="4"/>
    </row>
    <row r="47" spans="1:14" ht="15.75" x14ac:dyDescent="0.25">
      <c r="A47" s="101"/>
      <c r="B47" s="66" t="s">
        <v>39</v>
      </c>
      <c r="C47" s="17" t="s">
        <v>40</v>
      </c>
      <c r="D47" s="9" t="s">
        <v>99</v>
      </c>
      <c r="E47" s="9" t="s">
        <v>99</v>
      </c>
      <c r="F47" s="10" t="s">
        <v>99</v>
      </c>
      <c r="G47" s="8" t="s">
        <v>99</v>
      </c>
      <c r="H47" s="9">
        <v>17500</v>
      </c>
      <c r="I47" s="16" t="s">
        <v>99</v>
      </c>
      <c r="J47" s="79" t="s">
        <v>99</v>
      </c>
      <c r="K47" s="67">
        <f t="shared" si="0"/>
        <v>17500</v>
      </c>
      <c r="M47" s="4"/>
      <c r="N47" s="4"/>
    </row>
    <row r="48" spans="1:14" ht="15.75" x14ac:dyDescent="0.25">
      <c r="A48" s="101"/>
      <c r="B48" s="66" t="s">
        <v>41</v>
      </c>
      <c r="C48" s="17" t="s">
        <v>42</v>
      </c>
      <c r="D48" s="9" t="s">
        <v>99</v>
      </c>
      <c r="E48" s="9" t="s">
        <v>99</v>
      </c>
      <c r="F48" s="10" t="s">
        <v>99</v>
      </c>
      <c r="G48" s="8" t="s">
        <v>99</v>
      </c>
      <c r="H48" s="9">
        <v>2000</v>
      </c>
      <c r="I48" s="16" t="s">
        <v>99</v>
      </c>
      <c r="J48" s="79" t="s">
        <v>99</v>
      </c>
      <c r="K48" s="67">
        <f t="shared" si="0"/>
        <v>2000</v>
      </c>
      <c r="M48" s="4"/>
      <c r="N48" s="4"/>
    </row>
    <row r="49" spans="1:14" ht="15.75" x14ac:dyDescent="0.25">
      <c r="A49" s="59">
        <v>12</v>
      </c>
      <c r="B49" s="85" t="s">
        <v>43</v>
      </c>
      <c r="C49" s="80"/>
      <c r="D49" s="19"/>
      <c r="E49" s="10"/>
      <c r="F49" s="10"/>
      <c r="G49" s="22"/>
      <c r="H49" s="10"/>
      <c r="I49" s="10"/>
      <c r="J49" s="77"/>
      <c r="K49" s="71"/>
      <c r="M49" s="4"/>
      <c r="N49" s="4"/>
    </row>
    <row r="50" spans="1:14" ht="15.75" x14ac:dyDescent="0.25">
      <c r="A50" s="59"/>
      <c r="B50" s="66" t="s">
        <v>44</v>
      </c>
      <c r="C50" s="86" t="s">
        <v>6</v>
      </c>
      <c r="D50" s="9" t="s">
        <v>99</v>
      </c>
      <c r="E50" s="9">
        <v>8000</v>
      </c>
      <c r="F50" s="9">
        <v>10000</v>
      </c>
      <c r="G50" s="9">
        <v>10000</v>
      </c>
      <c r="H50" s="9">
        <v>15000</v>
      </c>
      <c r="I50" s="8">
        <v>10000</v>
      </c>
      <c r="J50" s="72">
        <v>15000</v>
      </c>
      <c r="K50" s="67">
        <f t="shared" si="0"/>
        <v>11333.333333333334</v>
      </c>
      <c r="M50" s="4" t="s">
        <v>101</v>
      </c>
      <c r="N50" s="4"/>
    </row>
    <row r="51" spans="1:14" ht="15.75" x14ac:dyDescent="0.25">
      <c r="A51" s="59"/>
      <c r="B51" s="66" t="s">
        <v>45</v>
      </c>
      <c r="C51" s="86" t="s">
        <v>6</v>
      </c>
      <c r="D51" s="9">
        <v>10000</v>
      </c>
      <c r="E51" s="9">
        <v>10000</v>
      </c>
      <c r="F51" s="8">
        <v>9000</v>
      </c>
      <c r="G51" s="9">
        <v>10000</v>
      </c>
      <c r="H51" s="9">
        <v>12000</v>
      </c>
      <c r="I51" s="9">
        <v>9000</v>
      </c>
      <c r="J51" s="72">
        <v>10000</v>
      </c>
      <c r="K51" s="67">
        <f t="shared" si="0"/>
        <v>10000</v>
      </c>
      <c r="M51" s="4"/>
      <c r="N51" s="23"/>
    </row>
    <row r="52" spans="1:14" ht="15.75" x14ac:dyDescent="0.25">
      <c r="A52" s="101">
        <v>13</v>
      </c>
      <c r="B52" s="60" t="s">
        <v>46</v>
      </c>
      <c r="C52" s="73"/>
      <c r="D52" s="74"/>
      <c r="E52" s="17"/>
      <c r="F52" s="76"/>
      <c r="G52" s="76"/>
      <c r="H52" s="15"/>
      <c r="I52" s="15"/>
      <c r="J52" s="84"/>
      <c r="K52" s="71"/>
      <c r="M52" s="4"/>
      <c r="N52" s="4"/>
    </row>
    <row r="53" spans="1:14" ht="15.75" x14ac:dyDescent="0.25">
      <c r="A53" s="101"/>
      <c r="B53" s="66" t="s">
        <v>47</v>
      </c>
      <c r="C53" s="17" t="s">
        <v>125</v>
      </c>
      <c r="D53" s="9">
        <v>3000</v>
      </c>
      <c r="E53" s="9">
        <v>4000</v>
      </c>
      <c r="F53" s="9">
        <v>5000</v>
      </c>
      <c r="G53" s="9">
        <v>5000</v>
      </c>
      <c r="H53" s="9">
        <v>2500</v>
      </c>
      <c r="I53" s="16">
        <v>5000</v>
      </c>
      <c r="J53" s="72">
        <v>2500</v>
      </c>
      <c r="K53" s="67">
        <f t="shared" si="0"/>
        <v>3857.1428571428573</v>
      </c>
      <c r="M53" s="4"/>
      <c r="N53" s="4"/>
    </row>
    <row r="54" spans="1:14" ht="15.75" x14ac:dyDescent="0.25">
      <c r="A54" s="101">
        <v>14</v>
      </c>
      <c r="B54" s="60" t="s">
        <v>49</v>
      </c>
      <c r="C54" s="80"/>
      <c r="D54" s="62"/>
      <c r="E54" s="17"/>
      <c r="F54" s="20"/>
      <c r="G54" s="20"/>
      <c r="H54" s="17"/>
      <c r="I54" s="17"/>
      <c r="J54" s="87"/>
      <c r="K54" s="71"/>
      <c r="M54" s="4"/>
      <c r="N54" s="4"/>
    </row>
    <row r="55" spans="1:14" ht="15.75" x14ac:dyDescent="0.25">
      <c r="A55" s="101"/>
      <c r="B55" s="88" t="s">
        <v>50</v>
      </c>
      <c r="C55" s="86" t="s">
        <v>6</v>
      </c>
      <c r="D55" s="9">
        <v>10000</v>
      </c>
      <c r="E55" s="9">
        <v>10500</v>
      </c>
      <c r="F55" s="9">
        <v>10000</v>
      </c>
      <c r="G55" s="9">
        <v>11000</v>
      </c>
      <c r="H55" s="9">
        <v>12000</v>
      </c>
      <c r="I55" s="9">
        <v>10000</v>
      </c>
      <c r="J55" s="72">
        <v>10000</v>
      </c>
      <c r="K55" s="67">
        <f t="shared" si="0"/>
        <v>10500</v>
      </c>
      <c r="M55" s="4"/>
      <c r="N55" s="4"/>
    </row>
    <row r="56" spans="1:14" ht="15.75" x14ac:dyDescent="0.25">
      <c r="A56" s="101">
        <v>15</v>
      </c>
      <c r="B56" s="60" t="s">
        <v>51</v>
      </c>
      <c r="C56" s="73"/>
      <c r="D56" s="74"/>
      <c r="E56" s="17"/>
      <c r="F56" s="76"/>
      <c r="G56" s="15"/>
      <c r="H56" s="15"/>
      <c r="I56" s="15"/>
      <c r="J56" s="84"/>
      <c r="K56" s="71"/>
      <c r="M56" s="4"/>
      <c r="N56" s="4"/>
    </row>
    <row r="57" spans="1:14" ht="15.75" x14ac:dyDescent="0.25">
      <c r="A57" s="101"/>
      <c r="B57" s="66" t="s">
        <v>52</v>
      </c>
      <c r="C57" s="17" t="s">
        <v>6</v>
      </c>
      <c r="D57" s="9">
        <v>16000</v>
      </c>
      <c r="E57" s="9">
        <v>13000</v>
      </c>
      <c r="F57" s="9">
        <v>14000</v>
      </c>
      <c r="G57" s="9">
        <v>14000</v>
      </c>
      <c r="H57" s="9">
        <v>11500</v>
      </c>
      <c r="I57" s="9">
        <v>15000</v>
      </c>
      <c r="J57" s="72" t="s">
        <v>99</v>
      </c>
      <c r="K57" s="67">
        <f t="shared" si="0"/>
        <v>13916.666666666666</v>
      </c>
      <c r="M57" s="4"/>
      <c r="N57" s="4"/>
    </row>
    <row r="58" spans="1:14" ht="15.75" x14ac:dyDescent="0.25">
      <c r="A58" s="101"/>
      <c r="B58" s="66" t="s">
        <v>53</v>
      </c>
      <c r="C58" s="17" t="s">
        <v>6</v>
      </c>
      <c r="D58" s="9" t="s">
        <v>99</v>
      </c>
      <c r="E58" s="9" t="s">
        <v>99</v>
      </c>
      <c r="F58" s="16">
        <v>15000</v>
      </c>
      <c r="G58" s="22" t="s">
        <v>99</v>
      </c>
      <c r="H58" s="9">
        <v>13000</v>
      </c>
      <c r="I58" s="8">
        <v>14000</v>
      </c>
      <c r="J58" s="72">
        <v>14000</v>
      </c>
      <c r="K58" s="67">
        <f t="shared" si="0"/>
        <v>14000</v>
      </c>
      <c r="M58" s="4"/>
      <c r="N58" s="4"/>
    </row>
    <row r="59" spans="1:14" ht="15.75" x14ac:dyDescent="0.25">
      <c r="A59" s="101"/>
      <c r="B59" s="66" t="s">
        <v>54</v>
      </c>
      <c r="C59" s="17" t="s">
        <v>6</v>
      </c>
      <c r="D59" s="9">
        <v>24000</v>
      </c>
      <c r="E59" s="9">
        <v>23000</v>
      </c>
      <c r="F59" s="9">
        <v>23000</v>
      </c>
      <c r="G59" s="9">
        <v>23000</v>
      </c>
      <c r="H59" s="9">
        <v>20000</v>
      </c>
      <c r="I59" s="9">
        <v>23000</v>
      </c>
      <c r="J59" s="72">
        <v>24000</v>
      </c>
      <c r="K59" s="67">
        <f t="shared" si="0"/>
        <v>22857.142857142859</v>
      </c>
      <c r="M59" s="4"/>
      <c r="N59" s="4"/>
    </row>
    <row r="60" spans="1:14" ht="15.75" x14ac:dyDescent="0.25">
      <c r="A60" s="101"/>
      <c r="B60" s="66" t="s">
        <v>55</v>
      </c>
      <c r="C60" s="17" t="s">
        <v>6</v>
      </c>
      <c r="D60" s="9">
        <v>30000</v>
      </c>
      <c r="E60" s="9">
        <v>30000</v>
      </c>
      <c r="F60" s="9">
        <v>28000</v>
      </c>
      <c r="G60" s="9">
        <v>30000</v>
      </c>
      <c r="H60" s="9">
        <v>27000</v>
      </c>
      <c r="I60" s="9">
        <v>28000</v>
      </c>
      <c r="J60" s="72">
        <v>28000</v>
      </c>
      <c r="K60" s="67">
        <f t="shared" si="0"/>
        <v>28714.285714285714</v>
      </c>
      <c r="M60" s="4"/>
      <c r="N60" s="4"/>
    </row>
    <row r="61" spans="1:14" ht="15.75" x14ac:dyDescent="0.25">
      <c r="A61" s="17">
        <v>16</v>
      </c>
      <c r="B61" s="60" t="s">
        <v>56</v>
      </c>
      <c r="C61" s="80"/>
      <c r="D61" s="89"/>
      <c r="E61" s="10"/>
      <c r="F61" s="22"/>
      <c r="G61" s="10"/>
      <c r="H61" s="10"/>
      <c r="I61" s="10"/>
      <c r="J61" s="90"/>
      <c r="K61" s="71"/>
      <c r="M61" s="4"/>
      <c r="N61" s="4"/>
    </row>
    <row r="62" spans="1:14" ht="15.75" x14ac:dyDescent="0.25">
      <c r="A62" s="17"/>
      <c r="B62" s="66" t="s">
        <v>57</v>
      </c>
      <c r="C62" s="86" t="s">
        <v>58</v>
      </c>
      <c r="D62" s="9">
        <v>3000</v>
      </c>
      <c r="E62" s="9">
        <v>3200</v>
      </c>
      <c r="F62" s="9">
        <v>3000</v>
      </c>
      <c r="G62" s="9">
        <v>3000</v>
      </c>
      <c r="H62" s="10" t="s">
        <v>99</v>
      </c>
      <c r="I62" s="16">
        <v>3000</v>
      </c>
      <c r="J62" s="72">
        <v>3500</v>
      </c>
      <c r="K62" s="67">
        <f t="shared" si="0"/>
        <v>3116.6666666666665</v>
      </c>
      <c r="M62" s="4"/>
      <c r="N62" s="4"/>
    </row>
    <row r="63" spans="1:14" ht="15.75" x14ac:dyDescent="0.25">
      <c r="A63" s="101">
        <v>17</v>
      </c>
      <c r="B63" s="60" t="s">
        <v>59</v>
      </c>
      <c r="C63" s="73"/>
      <c r="D63" s="74"/>
      <c r="E63" s="17"/>
      <c r="F63" s="76"/>
      <c r="G63" s="76"/>
      <c r="H63" s="15"/>
      <c r="I63" s="15"/>
      <c r="J63" s="84"/>
      <c r="K63" s="71"/>
      <c r="M63" s="4"/>
      <c r="N63" s="4"/>
    </row>
    <row r="64" spans="1:14" ht="15.75" x14ac:dyDescent="0.25">
      <c r="A64" s="101"/>
      <c r="B64" s="66" t="s">
        <v>60</v>
      </c>
      <c r="C64" s="17" t="s">
        <v>6</v>
      </c>
      <c r="D64" s="9">
        <v>61000</v>
      </c>
      <c r="E64" s="9">
        <v>65000</v>
      </c>
      <c r="F64" s="9">
        <v>65000</v>
      </c>
      <c r="G64" s="9">
        <v>60000</v>
      </c>
      <c r="H64" s="9">
        <v>60000</v>
      </c>
      <c r="I64" s="9">
        <v>52000</v>
      </c>
      <c r="J64" s="72">
        <v>75000</v>
      </c>
      <c r="K64" s="67">
        <f t="shared" si="0"/>
        <v>62571.428571428572</v>
      </c>
      <c r="M64" s="4"/>
      <c r="N64" s="4"/>
    </row>
    <row r="65" spans="1:14" ht="15.75" x14ac:dyDescent="0.25">
      <c r="A65" s="101"/>
      <c r="B65" s="66" t="s">
        <v>61</v>
      </c>
      <c r="C65" s="17" t="s">
        <v>6</v>
      </c>
      <c r="D65" s="9">
        <v>50000</v>
      </c>
      <c r="E65" s="9">
        <v>48000</v>
      </c>
      <c r="F65" s="9">
        <v>37000</v>
      </c>
      <c r="G65" s="9">
        <v>55000</v>
      </c>
      <c r="H65" s="9">
        <v>40000</v>
      </c>
      <c r="I65" s="8">
        <v>45000</v>
      </c>
      <c r="J65" s="72">
        <v>60000</v>
      </c>
      <c r="K65" s="67">
        <f t="shared" si="0"/>
        <v>47857.142857142855</v>
      </c>
      <c r="M65" s="4"/>
      <c r="N65" s="4"/>
    </row>
    <row r="66" spans="1:14" ht="15.75" x14ac:dyDescent="0.25">
      <c r="A66" s="101"/>
      <c r="B66" s="66" t="s">
        <v>62</v>
      </c>
      <c r="C66" s="17" t="s">
        <v>6</v>
      </c>
      <c r="D66" s="9">
        <v>28000</v>
      </c>
      <c r="E66" s="9">
        <v>30000</v>
      </c>
      <c r="F66" s="9">
        <v>25000</v>
      </c>
      <c r="G66" s="9">
        <v>30000</v>
      </c>
      <c r="H66" s="9">
        <v>25000</v>
      </c>
      <c r="I66" s="9">
        <v>30000</v>
      </c>
      <c r="J66" s="72">
        <v>35000</v>
      </c>
      <c r="K66" s="67">
        <f t="shared" si="0"/>
        <v>29000</v>
      </c>
      <c r="M66" s="4"/>
      <c r="N66" s="4"/>
    </row>
    <row r="67" spans="1:14" ht="15.75" x14ac:dyDescent="0.25">
      <c r="A67" s="17">
        <v>18</v>
      </c>
      <c r="B67" s="60" t="s">
        <v>63</v>
      </c>
      <c r="C67" s="80"/>
      <c r="D67" s="24"/>
      <c r="E67" s="10"/>
      <c r="F67" s="22"/>
      <c r="G67" s="10"/>
      <c r="H67" s="10" t="s">
        <v>1</v>
      </c>
      <c r="I67" s="10"/>
      <c r="J67" s="77"/>
      <c r="K67" s="71"/>
      <c r="M67" s="4"/>
      <c r="N67" s="4"/>
    </row>
    <row r="68" spans="1:14" ht="15.75" x14ac:dyDescent="0.25">
      <c r="A68" s="17"/>
      <c r="B68" s="66" t="s">
        <v>64</v>
      </c>
      <c r="C68" s="17" t="s">
        <v>65</v>
      </c>
      <c r="D68" s="9">
        <v>20000</v>
      </c>
      <c r="E68" s="9">
        <v>18000</v>
      </c>
      <c r="F68" s="9">
        <v>18000</v>
      </c>
      <c r="G68" s="9">
        <v>18000</v>
      </c>
      <c r="H68" s="10" t="s">
        <v>99</v>
      </c>
      <c r="I68" s="9">
        <v>18000</v>
      </c>
      <c r="J68" s="79">
        <v>18000</v>
      </c>
      <c r="K68" s="67">
        <f t="shared" si="0"/>
        <v>18333.333333333332</v>
      </c>
      <c r="M68" s="4"/>
      <c r="N68" s="4"/>
    </row>
    <row r="69" spans="1:14" ht="15.75" x14ac:dyDescent="0.25">
      <c r="A69" s="101">
        <v>19</v>
      </c>
      <c r="B69" s="60" t="s">
        <v>66</v>
      </c>
      <c r="C69" s="60"/>
      <c r="D69" s="74"/>
      <c r="E69" s="17"/>
      <c r="F69" s="15"/>
      <c r="G69" s="15"/>
      <c r="H69" s="15"/>
      <c r="I69" s="15"/>
      <c r="J69" s="75"/>
      <c r="K69" s="71"/>
      <c r="M69" s="4"/>
      <c r="N69" s="4"/>
    </row>
    <row r="70" spans="1:14" ht="15.75" x14ac:dyDescent="0.25">
      <c r="A70" s="101"/>
      <c r="B70" s="66" t="s">
        <v>67</v>
      </c>
      <c r="C70" s="17" t="s">
        <v>6</v>
      </c>
      <c r="D70" s="9">
        <v>36000</v>
      </c>
      <c r="E70" s="9">
        <v>35000</v>
      </c>
      <c r="F70" s="9">
        <v>36000</v>
      </c>
      <c r="G70" s="9">
        <v>35000</v>
      </c>
      <c r="H70" s="9">
        <v>36000</v>
      </c>
      <c r="I70" s="9">
        <v>35000</v>
      </c>
      <c r="J70" s="72">
        <v>40000</v>
      </c>
      <c r="K70" s="67">
        <f t="shared" si="0"/>
        <v>36142.857142857145</v>
      </c>
      <c r="M70" s="4"/>
      <c r="N70" s="4"/>
    </row>
    <row r="71" spans="1:14" ht="15.75" x14ac:dyDescent="0.25">
      <c r="A71" s="101"/>
      <c r="B71" s="66" t="s">
        <v>68</v>
      </c>
      <c r="C71" s="17" t="s">
        <v>6</v>
      </c>
      <c r="D71" s="9">
        <v>34000</v>
      </c>
      <c r="E71" s="9">
        <v>32000</v>
      </c>
      <c r="F71" s="9">
        <v>34000</v>
      </c>
      <c r="G71" s="9">
        <v>32000</v>
      </c>
      <c r="H71" s="9">
        <v>31000</v>
      </c>
      <c r="I71" s="9">
        <v>34000</v>
      </c>
      <c r="J71" s="72">
        <v>33000</v>
      </c>
      <c r="K71" s="67">
        <f t="shared" si="0"/>
        <v>32857.142857142855</v>
      </c>
      <c r="M71" s="4"/>
      <c r="N71" s="4"/>
    </row>
    <row r="72" spans="1:14" ht="15.75" x14ac:dyDescent="0.25">
      <c r="A72" s="101"/>
      <c r="B72" s="66" t="s">
        <v>69</v>
      </c>
      <c r="C72" s="17" t="s">
        <v>6</v>
      </c>
      <c r="D72" s="9">
        <v>26000</v>
      </c>
      <c r="E72" s="9">
        <v>28000</v>
      </c>
      <c r="F72" s="9">
        <v>22000</v>
      </c>
      <c r="G72" s="9">
        <v>28000</v>
      </c>
      <c r="H72" s="9">
        <v>20000</v>
      </c>
      <c r="I72" s="9">
        <v>25000</v>
      </c>
      <c r="J72" s="72">
        <v>30000</v>
      </c>
      <c r="K72" s="67">
        <f t="shared" si="0"/>
        <v>25571.428571428572</v>
      </c>
      <c r="M72" s="4"/>
      <c r="N72" s="4"/>
    </row>
    <row r="73" spans="1:14" ht="15.75" x14ac:dyDescent="0.25">
      <c r="A73" s="101"/>
      <c r="B73" s="66" t="s">
        <v>70</v>
      </c>
      <c r="C73" s="17" t="s">
        <v>6</v>
      </c>
      <c r="D73" s="9">
        <v>28000</v>
      </c>
      <c r="E73" s="9">
        <v>25000</v>
      </c>
      <c r="F73" s="16">
        <v>28000</v>
      </c>
      <c r="G73" s="8">
        <v>30000</v>
      </c>
      <c r="H73" s="9">
        <v>25000</v>
      </c>
      <c r="I73" s="9">
        <v>25000</v>
      </c>
      <c r="J73" s="72" t="s">
        <v>99</v>
      </c>
      <c r="K73" s="67">
        <f t="shared" si="0"/>
        <v>26833.333333333332</v>
      </c>
      <c r="M73" s="4"/>
      <c r="N73" s="4"/>
    </row>
    <row r="74" spans="1:14" ht="15.75" x14ac:dyDescent="0.25">
      <c r="A74" s="17">
        <v>20</v>
      </c>
      <c r="B74" s="60" t="s">
        <v>71</v>
      </c>
      <c r="C74" s="91"/>
      <c r="D74" s="24"/>
      <c r="E74" s="10"/>
      <c r="F74" s="10"/>
      <c r="G74" s="89"/>
      <c r="H74" s="10"/>
      <c r="I74" s="10"/>
      <c r="J74" s="90"/>
      <c r="K74" s="71"/>
      <c r="M74" s="4"/>
      <c r="N74" s="4"/>
    </row>
    <row r="75" spans="1:14" ht="15.75" x14ac:dyDescent="0.25">
      <c r="A75" s="17"/>
      <c r="B75" s="66" t="s">
        <v>72</v>
      </c>
      <c r="C75" s="86" t="s">
        <v>6</v>
      </c>
      <c r="D75" s="9">
        <v>7000</v>
      </c>
      <c r="E75" s="9">
        <v>7000</v>
      </c>
      <c r="F75" s="9">
        <v>5000</v>
      </c>
      <c r="G75" s="9">
        <v>6000</v>
      </c>
      <c r="H75" s="9">
        <v>5000</v>
      </c>
      <c r="I75" s="9">
        <v>5000</v>
      </c>
      <c r="J75" s="72">
        <v>5000</v>
      </c>
      <c r="K75" s="67">
        <f t="shared" si="0"/>
        <v>5714.2857142857147</v>
      </c>
      <c r="M75" s="4"/>
      <c r="N75" s="4"/>
    </row>
    <row r="76" spans="1:14" ht="15.75" x14ac:dyDescent="0.25">
      <c r="A76" s="17"/>
      <c r="B76" s="66" t="s">
        <v>73</v>
      </c>
      <c r="C76" s="86" t="s">
        <v>6</v>
      </c>
      <c r="D76" s="9">
        <v>7000</v>
      </c>
      <c r="E76" s="9">
        <v>6000</v>
      </c>
      <c r="F76" s="16">
        <v>6000</v>
      </c>
      <c r="G76" s="8">
        <v>6000</v>
      </c>
      <c r="H76" s="9">
        <v>5000</v>
      </c>
      <c r="I76" s="9">
        <v>6000</v>
      </c>
      <c r="J76" s="79">
        <v>6000</v>
      </c>
      <c r="K76" s="67">
        <f t="shared" si="0"/>
        <v>6000</v>
      </c>
      <c r="M76" s="4"/>
      <c r="N76" s="4"/>
    </row>
    <row r="77" spans="1:14" ht="15.75" x14ac:dyDescent="0.25">
      <c r="A77" s="17">
        <v>21</v>
      </c>
      <c r="B77" s="60" t="s">
        <v>74</v>
      </c>
      <c r="C77" s="91"/>
      <c r="D77" s="19"/>
      <c r="E77" s="10"/>
      <c r="F77" s="10"/>
      <c r="G77" s="22"/>
      <c r="H77" s="10"/>
      <c r="I77" s="10"/>
      <c r="J77" s="77"/>
      <c r="K77" s="71"/>
      <c r="M77" s="4"/>
      <c r="N77" s="4"/>
    </row>
    <row r="78" spans="1:14" ht="15.75" x14ac:dyDescent="0.25">
      <c r="A78" s="17"/>
      <c r="B78" s="66" t="s">
        <v>75</v>
      </c>
      <c r="C78" s="86" t="s">
        <v>6</v>
      </c>
      <c r="D78" s="9">
        <v>8000</v>
      </c>
      <c r="E78" s="9">
        <v>8000</v>
      </c>
      <c r="F78" s="9">
        <v>10000</v>
      </c>
      <c r="G78" s="9">
        <v>8000</v>
      </c>
      <c r="H78" s="9">
        <v>6000</v>
      </c>
      <c r="I78" s="16">
        <v>8000</v>
      </c>
      <c r="J78" s="72" t="s">
        <v>99</v>
      </c>
      <c r="K78" s="67">
        <f t="shared" si="0"/>
        <v>8000</v>
      </c>
      <c r="M78" s="4"/>
      <c r="N78" s="4"/>
    </row>
    <row r="79" spans="1:14" ht="15.75" x14ac:dyDescent="0.25">
      <c r="A79" s="17"/>
      <c r="B79" s="66" t="s">
        <v>76</v>
      </c>
      <c r="C79" s="86" t="s">
        <v>6</v>
      </c>
      <c r="D79" s="9">
        <v>8000</v>
      </c>
      <c r="E79" s="9">
        <v>10000</v>
      </c>
      <c r="F79" s="9">
        <v>20000</v>
      </c>
      <c r="G79" s="9">
        <v>14000</v>
      </c>
      <c r="H79" s="9">
        <v>6000</v>
      </c>
      <c r="I79" s="16">
        <v>15000</v>
      </c>
      <c r="J79" s="72">
        <v>15000</v>
      </c>
      <c r="K79" s="67">
        <f t="shared" si="0"/>
        <v>12571.428571428571</v>
      </c>
      <c r="M79" s="4"/>
      <c r="N79" s="4"/>
    </row>
    <row r="80" spans="1:14" ht="15.75" x14ac:dyDescent="0.25">
      <c r="A80" s="17"/>
      <c r="B80" s="66" t="s">
        <v>77</v>
      </c>
      <c r="C80" s="86" t="s">
        <v>6</v>
      </c>
      <c r="D80" s="9">
        <v>18000</v>
      </c>
      <c r="E80" s="9">
        <v>16000</v>
      </c>
      <c r="F80" s="9">
        <v>17000</v>
      </c>
      <c r="G80" s="9">
        <v>15000</v>
      </c>
      <c r="H80" s="9">
        <v>15000</v>
      </c>
      <c r="I80" s="9">
        <v>15000</v>
      </c>
      <c r="J80" s="72">
        <v>18000</v>
      </c>
      <c r="K80" s="67">
        <f t="shared" si="0"/>
        <v>16285.714285714286</v>
      </c>
      <c r="M80" s="4"/>
      <c r="N80" s="4"/>
    </row>
    <row r="81" spans="1:14" ht="15.75" x14ac:dyDescent="0.25">
      <c r="A81" s="17"/>
      <c r="B81" s="66" t="s">
        <v>78</v>
      </c>
      <c r="C81" s="86" t="s">
        <v>6</v>
      </c>
      <c r="D81" s="9">
        <v>20000</v>
      </c>
      <c r="E81" s="9">
        <v>15000</v>
      </c>
      <c r="F81" s="9">
        <v>10000</v>
      </c>
      <c r="G81" s="9">
        <v>10000</v>
      </c>
      <c r="H81" s="9">
        <v>22000</v>
      </c>
      <c r="I81" s="8">
        <v>7000</v>
      </c>
      <c r="J81" s="72">
        <v>24000</v>
      </c>
      <c r="K81" s="67">
        <f t="shared" ref="K81:K88" si="1">AVERAGE(D81:J81)</f>
        <v>15428.571428571429</v>
      </c>
      <c r="M81" s="4"/>
      <c r="N81" s="4"/>
    </row>
    <row r="82" spans="1:14" ht="15.75" x14ac:dyDescent="0.25">
      <c r="A82" s="17"/>
      <c r="B82" s="66" t="s">
        <v>79</v>
      </c>
      <c r="C82" s="86" t="s">
        <v>6</v>
      </c>
      <c r="D82" s="9">
        <v>10000</v>
      </c>
      <c r="E82" s="9">
        <v>12000</v>
      </c>
      <c r="F82" s="9">
        <v>14000</v>
      </c>
      <c r="G82" s="9">
        <v>12000</v>
      </c>
      <c r="H82" s="9">
        <v>10000</v>
      </c>
      <c r="I82" s="9">
        <v>14000</v>
      </c>
      <c r="J82" s="72">
        <v>15000</v>
      </c>
      <c r="K82" s="67">
        <f t="shared" si="1"/>
        <v>12428.571428571429</v>
      </c>
      <c r="M82" s="4"/>
      <c r="N82" s="4"/>
    </row>
    <row r="83" spans="1:14" ht="15.75" x14ac:dyDescent="0.25">
      <c r="A83" s="17"/>
      <c r="B83" s="66" t="s">
        <v>80</v>
      </c>
      <c r="C83" s="86" t="s">
        <v>6</v>
      </c>
      <c r="D83" s="9">
        <v>7000</v>
      </c>
      <c r="E83" s="9">
        <v>8000</v>
      </c>
      <c r="F83" s="16">
        <v>9000</v>
      </c>
      <c r="G83" s="8">
        <v>8000</v>
      </c>
      <c r="H83" s="9">
        <v>9000</v>
      </c>
      <c r="I83" s="16">
        <v>9000</v>
      </c>
      <c r="J83" s="72">
        <v>8000</v>
      </c>
      <c r="K83" s="67">
        <f t="shared" si="1"/>
        <v>8285.7142857142862</v>
      </c>
      <c r="M83" s="4"/>
      <c r="N83" s="4"/>
    </row>
    <row r="84" spans="1:14" ht="15.75" x14ac:dyDescent="0.25">
      <c r="A84" s="17"/>
      <c r="B84" s="66" t="s">
        <v>81</v>
      </c>
      <c r="C84" s="86" t="s">
        <v>82</v>
      </c>
      <c r="D84" s="9">
        <v>1500</v>
      </c>
      <c r="E84" s="9">
        <v>1500</v>
      </c>
      <c r="F84" s="9">
        <v>2000</v>
      </c>
      <c r="G84" s="8">
        <v>2000</v>
      </c>
      <c r="H84" s="9">
        <v>1500</v>
      </c>
      <c r="I84" s="9">
        <v>2000</v>
      </c>
      <c r="J84" s="79">
        <v>1500</v>
      </c>
      <c r="K84" s="67">
        <f t="shared" si="1"/>
        <v>1714.2857142857142</v>
      </c>
      <c r="L84" s="4"/>
      <c r="M84" s="4"/>
      <c r="N84" s="4"/>
    </row>
    <row r="85" spans="1:14" x14ac:dyDescent="0.25">
      <c r="A85" s="17"/>
      <c r="B85" s="66" t="s">
        <v>83</v>
      </c>
      <c r="C85" s="86" t="s">
        <v>82</v>
      </c>
      <c r="D85" s="9">
        <v>1000</v>
      </c>
      <c r="E85" s="9">
        <v>1500</v>
      </c>
      <c r="F85" s="9">
        <v>1500</v>
      </c>
      <c r="G85" s="8">
        <v>2000</v>
      </c>
      <c r="H85" s="9">
        <v>1500</v>
      </c>
      <c r="I85" s="9">
        <v>1500</v>
      </c>
      <c r="J85" s="79">
        <v>1000</v>
      </c>
      <c r="K85" s="67">
        <f t="shared" si="1"/>
        <v>1428.5714285714287</v>
      </c>
    </row>
    <row r="86" spans="1:14" x14ac:dyDescent="0.25">
      <c r="A86" s="17"/>
      <c r="B86" s="66" t="s">
        <v>84</v>
      </c>
      <c r="C86" s="86" t="s">
        <v>82</v>
      </c>
      <c r="D86" s="9" t="s">
        <v>99</v>
      </c>
      <c r="E86" s="9">
        <v>2000</v>
      </c>
      <c r="F86" s="9" t="s">
        <v>99</v>
      </c>
      <c r="G86" s="8" t="s">
        <v>99</v>
      </c>
      <c r="H86" s="9">
        <v>2500</v>
      </c>
      <c r="I86" s="9" t="s">
        <v>99</v>
      </c>
      <c r="J86" s="79">
        <v>2000</v>
      </c>
      <c r="K86" s="67">
        <f t="shared" si="1"/>
        <v>2166.6666666666665</v>
      </c>
    </row>
    <row r="87" spans="1:14" x14ac:dyDescent="0.25">
      <c r="A87" s="17">
        <v>22</v>
      </c>
      <c r="B87" s="60" t="s">
        <v>85</v>
      </c>
      <c r="C87" s="91"/>
      <c r="D87" s="22"/>
      <c r="E87" s="10"/>
      <c r="F87" s="10" t="s">
        <v>102</v>
      </c>
      <c r="G87" s="22"/>
      <c r="H87" s="10"/>
      <c r="I87" s="10"/>
      <c r="J87" s="77"/>
      <c r="K87" s="71"/>
    </row>
    <row r="88" spans="1:14" x14ac:dyDescent="0.25">
      <c r="A88" s="17"/>
      <c r="B88" s="66" t="s">
        <v>86</v>
      </c>
      <c r="C88" s="86" t="s">
        <v>87</v>
      </c>
      <c r="D88" s="9" t="s">
        <v>99</v>
      </c>
      <c r="E88" s="9" t="s">
        <v>99</v>
      </c>
      <c r="F88" s="9">
        <v>18000</v>
      </c>
      <c r="G88" s="8">
        <v>17000</v>
      </c>
      <c r="H88" s="10" t="s">
        <v>99</v>
      </c>
      <c r="I88" s="16">
        <v>18000</v>
      </c>
      <c r="J88" s="79">
        <v>18000</v>
      </c>
      <c r="K88" s="67">
        <f t="shared" si="1"/>
        <v>17750</v>
      </c>
    </row>
  </sheetData>
  <mergeCells count="28">
    <mergeCell ref="A56:A60"/>
    <mergeCell ref="A63:A66"/>
    <mergeCell ref="A33:A35"/>
    <mergeCell ref="A43:A45"/>
    <mergeCell ref="A46:A48"/>
    <mergeCell ref="A52:A53"/>
    <mergeCell ref="A54:A55"/>
    <mergeCell ref="F4:F6"/>
    <mergeCell ref="G4:G6"/>
    <mergeCell ref="A19:A20"/>
    <mergeCell ref="A21:A25"/>
    <mergeCell ref="A26:A32"/>
    <mergeCell ref="A69:A73"/>
    <mergeCell ref="A1:K1"/>
    <mergeCell ref="A2:K2"/>
    <mergeCell ref="A3:K3"/>
    <mergeCell ref="J4:J6"/>
    <mergeCell ref="A4:A6"/>
    <mergeCell ref="B4:B6"/>
    <mergeCell ref="C4:C6"/>
    <mergeCell ref="D4:D6"/>
    <mergeCell ref="E4:E6"/>
    <mergeCell ref="H4:H6"/>
    <mergeCell ref="I4:I6"/>
    <mergeCell ref="K4:K6"/>
    <mergeCell ref="A7:A12"/>
    <mergeCell ref="A13:A15"/>
    <mergeCell ref="A16:A17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ECF76-52D2-423F-AB4F-CE8C8034222E}">
  <dimension ref="A1:N88"/>
  <sheetViews>
    <sheetView workbookViewId="0">
      <selection activeCell="A4" sqref="A4:A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3.37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3.37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3.37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3.37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3.37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3.37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3.37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3.37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3.37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3.37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3.37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3.37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3.37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3.37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3.37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3.37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3.37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3.37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3.37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3.37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3.37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3.37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3.37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3.37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3.37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3.37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3.37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3.37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3.37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3.37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3.37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3.37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3.37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3.37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3.37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3.37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3.37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3.37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3.37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3.37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3.37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3.37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3.37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3.37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3.37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3.37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3.37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3.37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3.37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3.37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3.37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3.37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3.37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3.37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3.37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3.37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3.37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3.37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3.37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3.37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3.37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3.37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3.37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3.37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02" t="s">
        <v>88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M1" s="4"/>
      <c r="N1" s="4"/>
    </row>
    <row r="2" spans="1:14" ht="27.75" customHeight="1" x14ac:dyDescent="0.25">
      <c r="A2" s="103" t="s">
        <v>89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M2" s="4"/>
      <c r="N2" s="4"/>
    </row>
    <row r="3" spans="1:14" ht="27.75" customHeight="1" thickBot="1" x14ac:dyDescent="0.3">
      <c r="A3" s="104" t="s">
        <v>127</v>
      </c>
      <c r="B3" s="104"/>
      <c r="C3" s="104"/>
      <c r="D3" s="104"/>
      <c r="E3" s="104"/>
      <c r="F3" s="104"/>
      <c r="G3" s="104"/>
      <c r="H3" s="104"/>
      <c r="I3" s="104"/>
      <c r="J3" s="104"/>
      <c r="K3" s="105"/>
      <c r="M3" s="4"/>
      <c r="N3" s="4"/>
    </row>
    <row r="4" spans="1:14" ht="25.5" customHeight="1" x14ac:dyDescent="0.25">
      <c r="A4" s="96" t="s">
        <v>1</v>
      </c>
      <c r="B4" s="99" t="s">
        <v>2</v>
      </c>
      <c r="C4" s="96" t="s">
        <v>90</v>
      </c>
      <c r="D4" s="110" t="s">
        <v>91</v>
      </c>
      <c r="E4" s="113" t="s">
        <v>92</v>
      </c>
      <c r="F4" s="125" t="s">
        <v>93</v>
      </c>
      <c r="G4" s="128" t="s">
        <v>94</v>
      </c>
      <c r="H4" s="116" t="s">
        <v>95</v>
      </c>
      <c r="I4" s="119" t="s">
        <v>96</v>
      </c>
      <c r="J4" s="106" t="s">
        <v>97</v>
      </c>
      <c r="K4" s="122" t="s">
        <v>98</v>
      </c>
      <c r="M4" s="4"/>
      <c r="N4" s="4"/>
    </row>
    <row r="5" spans="1:14" ht="15" customHeight="1" x14ac:dyDescent="0.25">
      <c r="A5" s="97"/>
      <c r="B5" s="100"/>
      <c r="C5" s="97"/>
      <c r="D5" s="111"/>
      <c r="E5" s="114"/>
      <c r="F5" s="126"/>
      <c r="G5" s="129"/>
      <c r="H5" s="117"/>
      <c r="I5" s="120"/>
      <c r="J5" s="107"/>
      <c r="K5" s="123"/>
      <c r="M5" s="4"/>
      <c r="N5" s="4"/>
    </row>
    <row r="6" spans="1:14" ht="16.5" thickBot="1" x14ac:dyDescent="0.3">
      <c r="A6" s="98"/>
      <c r="B6" s="109"/>
      <c r="C6" s="98"/>
      <c r="D6" s="112"/>
      <c r="E6" s="115"/>
      <c r="F6" s="127"/>
      <c r="G6" s="130"/>
      <c r="H6" s="118"/>
      <c r="I6" s="121"/>
      <c r="J6" s="108"/>
      <c r="K6" s="124"/>
      <c r="M6" s="4"/>
      <c r="N6" s="4"/>
    </row>
    <row r="7" spans="1:14" ht="15.75" x14ac:dyDescent="0.25">
      <c r="A7" s="101">
        <v>1</v>
      </c>
      <c r="B7" s="60" t="s">
        <v>4</v>
      </c>
      <c r="C7" s="61"/>
      <c r="D7" s="62"/>
      <c r="E7" s="17" t="s">
        <v>102</v>
      </c>
      <c r="F7" s="17"/>
      <c r="G7" s="63"/>
      <c r="H7" s="63" t="s">
        <v>1</v>
      </c>
      <c r="I7" s="64"/>
      <c r="J7" s="63"/>
      <c r="K7" s="65"/>
      <c r="M7" s="4"/>
      <c r="N7" s="4"/>
    </row>
    <row r="8" spans="1:14" ht="15.75" x14ac:dyDescent="0.25">
      <c r="A8" s="101"/>
      <c r="B8" s="66" t="s">
        <v>107</v>
      </c>
      <c r="C8" s="17" t="s">
        <v>6</v>
      </c>
      <c r="D8" s="9">
        <v>14000</v>
      </c>
      <c r="E8" s="9">
        <v>14000</v>
      </c>
      <c r="F8" s="9">
        <v>14200</v>
      </c>
      <c r="G8" s="9">
        <v>14000</v>
      </c>
      <c r="H8" s="9">
        <v>16000</v>
      </c>
      <c r="I8" s="9">
        <v>14000</v>
      </c>
      <c r="J8" s="16">
        <v>14000</v>
      </c>
      <c r="K8" s="67">
        <f>AVERAGE(D8:J8)</f>
        <v>14314.285714285714</v>
      </c>
      <c r="L8" s="1"/>
      <c r="M8" s="7"/>
      <c r="N8" s="4"/>
    </row>
    <row r="9" spans="1:14" ht="15.75" x14ac:dyDescent="0.25">
      <c r="A9" s="101"/>
      <c r="B9" s="66" t="s">
        <v>115</v>
      </c>
      <c r="C9" s="17" t="s">
        <v>6</v>
      </c>
      <c r="D9" s="9">
        <v>10900</v>
      </c>
      <c r="E9" s="9">
        <v>10900</v>
      </c>
      <c r="F9" s="9">
        <v>10900</v>
      </c>
      <c r="G9" s="8">
        <v>10900</v>
      </c>
      <c r="H9" s="9">
        <v>12000</v>
      </c>
      <c r="I9" s="9">
        <v>10900</v>
      </c>
      <c r="J9" s="16" t="s">
        <v>99</v>
      </c>
      <c r="K9" s="67">
        <f t="shared" ref="K9:K80" si="0">AVERAGE(D9:J9)</f>
        <v>11083.333333333334</v>
      </c>
      <c r="M9" s="4"/>
      <c r="N9" s="4"/>
    </row>
    <row r="10" spans="1:14" ht="15.75" x14ac:dyDescent="0.25">
      <c r="A10" s="101"/>
      <c r="B10" s="66" t="s">
        <v>108</v>
      </c>
      <c r="C10" s="17" t="s">
        <v>6</v>
      </c>
      <c r="D10" s="9" t="s">
        <v>99</v>
      </c>
      <c r="E10" s="9" t="s">
        <v>99</v>
      </c>
      <c r="F10" s="9" t="s">
        <v>99</v>
      </c>
      <c r="G10" s="8" t="s">
        <v>99</v>
      </c>
      <c r="H10" s="9" t="s">
        <v>99</v>
      </c>
      <c r="I10" s="9" t="s">
        <v>99</v>
      </c>
      <c r="J10" s="16" t="s">
        <v>99</v>
      </c>
      <c r="K10" s="67">
        <v>0</v>
      </c>
      <c r="M10" s="4"/>
      <c r="N10" s="4"/>
    </row>
    <row r="11" spans="1:14" ht="15.75" x14ac:dyDescent="0.25">
      <c r="A11" s="101"/>
      <c r="B11" s="66" t="s">
        <v>9</v>
      </c>
      <c r="C11" s="17" t="s">
        <v>6</v>
      </c>
      <c r="D11" s="9" t="s">
        <v>99</v>
      </c>
      <c r="E11" s="9">
        <v>10000</v>
      </c>
      <c r="F11" s="16">
        <v>12000</v>
      </c>
      <c r="G11" s="8">
        <v>10000</v>
      </c>
      <c r="H11" s="9">
        <v>10000</v>
      </c>
      <c r="I11" s="16">
        <v>12000</v>
      </c>
      <c r="J11" s="16">
        <v>10000</v>
      </c>
      <c r="K11" s="67">
        <f>AVERAGE(D11:J11)</f>
        <v>10666.666666666666</v>
      </c>
      <c r="M11" s="4"/>
      <c r="N11" s="4"/>
    </row>
    <row r="12" spans="1:14" ht="15.75" x14ac:dyDescent="0.25">
      <c r="A12" s="101"/>
      <c r="B12" s="66" t="s">
        <v>10</v>
      </c>
      <c r="C12" s="17" t="s">
        <v>6</v>
      </c>
      <c r="D12" s="9" t="s">
        <v>99</v>
      </c>
      <c r="E12" s="9">
        <v>21000</v>
      </c>
      <c r="F12" s="16">
        <v>16000</v>
      </c>
      <c r="G12" s="8">
        <v>18000</v>
      </c>
      <c r="H12" s="9">
        <v>25000</v>
      </c>
      <c r="I12" s="16">
        <v>17000</v>
      </c>
      <c r="J12" s="16">
        <v>17000</v>
      </c>
      <c r="K12" s="67">
        <f t="shared" si="0"/>
        <v>19000</v>
      </c>
      <c r="M12" s="4"/>
      <c r="N12" s="4"/>
    </row>
    <row r="13" spans="1:14" ht="15.75" x14ac:dyDescent="0.25">
      <c r="A13" s="101">
        <v>2</v>
      </c>
      <c r="B13" s="60" t="s">
        <v>11</v>
      </c>
      <c r="C13" s="68"/>
      <c r="D13" s="62"/>
      <c r="E13" s="69"/>
      <c r="F13" s="17"/>
      <c r="G13" s="70"/>
      <c r="H13" s="70"/>
      <c r="I13" s="70"/>
      <c r="J13" s="70"/>
      <c r="K13" s="71"/>
      <c r="M13" s="4"/>
      <c r="N13" s="12"/>
    </row>
    <row r="14" spans="1:14" ht="15.75" x14ac:dyDescent="0.25">
      <c r="A14" s="101"/>
      <c r="B14" s="66" t="s">
        <v>116</v>
      </c>
      <c r="C14" s="17" t="s">
        <v>6</v>
      </c>
      <c r="D14" s="9">
        <v>16000</v>
      </c>
      <c r="E14" s="9">
        <v>16000</v>
      </c>
      <c r="F14" s="9">
        <v>16000</v>
      </c>
      <c r="G14" s="16">
        <v>16000</v>
      </c>
      <c r="H14" s="9">
        <v>16500</v>
      </c>
      <c r="I14" s="9">
        <v>16500</v>
      </c>
      <c r="J14" s="72">
        <v>16500</v>
      </c>
      <c r="K14" s="67">
        <f t="shared" si="0"/>
        <v>16214.285714285714</v>
      </c>
      <c r="M14" s="4"/>
      <c r="N14" s="4"/>
    </row>
    <row r="15" spans="1:14" ht="15.75" x14ac:dyDescent="0.25">
      <c r="A15" s="101"/>
      <c r="B15" s="66" t="s">
        <v>13</v>
      </c>
      <c r="C15" s="17" t="s">
        <v>6</v>
      </c>
      <c r="D15" s="9">
        <v>17000</v>
      </c>
      <c r="E15" s="9">
        <v>16000</v>
      </c>
      <c r="F15" s="16">
        <v>16000</v>
      </c>
      <c r="G15" s="8">
        <v>16000</v>
      </c>
      <c r="H15" s="9">
        <v>17000</v>
      </c>
      <c r="I15" s="9">
        <v>16000</v>
      </c>
      <c r="J15" s="72">
        <v>18000</v>
      </c>
      <c r="K15" s="67">
        <f>AVERAGE(D15:J15)</f>
        <v>16571.428571428572</v>
      </c>
      <c r="M15" s="4"/>
      <c r="N15" s="4"/>
    </row>
    <row r="16" spans="1:14" ht="15.75" x14ac:dyDescent="0.25">
      <c r="A16" s="101">
        <v>3</v>
      </c>
      <c r="B16" s="60" t="s">
        <v>14</v>
      </c>
      <c r="C16" s="73"/>
      <c r="D16" s="74"/>
      <c r="E16" s="15"/>
      <c r="F16" s="15"/>
      <c r="G16" s="15"/>
      <c r="H16" s="15"/>
      <c r="I16" s="15"/>
      <c r="J16" s="75"/>
      <c r="K16" s="71"/>
      <c r="M16" s="4"/>
      <c r="N16" s="4"/>
    </row>
    <row r="17" spans="1:14" ht="15.75" x14ac:dyDescent="0.25">
      <c r="A17" s="101"/>
      <c r="B17" s="66" t="s">
        <v>15</v>
      </c>
      <c r="C17" s="17" t="s">
        <v>6</v>
      </c>
      <c r="D17" s="9">
        <v>15000</v>
      </c>
      <c r="E17" s="9">
        <v>15000</v>
      </c>
      <c r="F17" s="9">
        <v>14000</v>
      </c>
      <c r="G17" s="9">
        <v>15000</v>
      </c>
      <c r="H17" s="9">
        <v>16000</v>
      </c>
      <c r="I17" s="9">
        <v>16000</v>
      </c>
      <c r="J17" s="72">
        <v>16000</v>
      </c>
      <c r="K17" s="67">
        <f t="shared" si="0"/>
        <v>15285.714285714286</v>
      </c>
      <c r="M17" s="4"/>
      <c r="N17" s="4"/>
    </row>
    <row r="18" spans="1:14" ht="15.75" x14ac:dyDescent="0.25">
      <c r="A18" s="59"/>
      <c r="B18" s="66" t="s">
        <v>109</v>
      </c>
      <c r="C18" s="17" t="s">
        <v>110</v>
      </c>
      <c r="D18" s="9">
        <v>14000</v>
      </c>
      <c r="E18" s="9">
        <v>14000</v>
      </c>
      <c r="F18" s="9">
        <v>14000</v>
      </c>
      <c r="G18" s="9">
        <v>14000</v>
      </c>
      <c r="H18" s="9" t="s">
        <v>99</v>
      </c>
      <c r="I18" s="9">
        <v>14000</v>
      </c>
      <c r="J18" s="72">
        <v>14000</v>
      </c>
      <c r="K18" s="67">
        <f t="shared" si="0"/>
        <v>14000</v>
      </c>
      <c r="M18" s="4"/>
      <c r="N18" s="4"/>
    </row>
    <row r="19" spans="1:14" ht="17.25" customHeight="1" x14ac:dyDescent="0.25">
      <c r="A19" s="101">
        <v>4</v>
      </c>
      <c r="B19" s="60" t="s">
        <v>16</v>
      </c>
      <c r="C19" s="73"/>
      <c r="D19" s="74"/>
      <c r="E19" s="15"/>
      <c r="F19" s="15"/>
      <c r="G19" s="76"/>
      <c r="H19" s="15"/>
      <c r="I19" s="15"/>
      <c r="J19" s="75"/>
      <c r="K19" s="71"/>
      <c r="M19" s="4"/>
      <c r="N19" s="4"/>
    </row>
    <row r="20" spans="1:14" ht="15.75" x14ac:dyDescent="0.25">
      <c r="A20" s="101"/>
      <c r="B20" s="66" t="s">
        <v>17</v>
      </c>
      <c r="C20" s="17" t="s">
        <v>6</v>
      </c>
      <c r="D20" s="9">
        <v>20000</v>
      </c>
      <c r="E20" s="9">
        <v>20000</v>
      </c>
      <c r="F20" s="16">
        <v>20000</v>
      </c>
      <c r="G20" s="8">
        <v>22000</v>
      </c>
      <c r="H20" s="16">
        <v>33000</v>
      </c>
      <c r="I20" s="16">
        <v>20000</v>
      </c>
      <c r="J20" s="77" t="s">
        <v>99</v>
      </c>
      <c r="K20" s="67">
        <f t="shared" si="0"/>
        <v>22500</v>
      </c>
      <c r="M20" s="4"/>
      <c r="N20" s="4"/>
    </row>
    <row r="21" spans="1:14" ht="15.75" x14ac:dyDescent="0.25">
      <c r="A21" s="101">
        <v>5</v>
      </c>
      <c r="B21" s="60" t="s">
        <v>18</v>
      </c>
      <c r="C21" s="73"/>
      <c r="D21" s="74"/>
      <c r="E21" s="17"/>
      <c r="F21" s="15" t="s">
        <v>1</v>
      </c>
      <c r="G21" s="76"/>
      <c r="H21" s="15"/>
      <c r="I21" s="15"/>
      <c r="J21" s="75"/>
      <c r="K21" s="71"/>
      <c r="M21" s="4"/>
      <c r="N21" s="4"/>
    </row>
    <row r="22" spans="1:14" ht="15.75" x14ac:dyDescent="0.25">
      <c r="A22" s="101"/>
      <c r="B22" s="66" t="s">
        <v>19</v>
      </c>
      <c r="C22" s="17" t="s">
        <v>6</v>
      </c>
      <c r="D22" s="9">
        <v>120000</v>
      </c>
      <c r="E22" s="9">
        <v>120000</v>
      </c>
      <c r="F22" s="9">
        <v>120000</v>
      </c>
      <c r="G22" s="9">
        <v>120000</v>
      </c>
      <c r="H22" s="9">
        <v>120000</v>
      </c>
      <c r="I22" s="8">
        <v>120000</v>
      </c>
      <c r="J22" s="72" t="s">
        <v>99</v>
      </c>
      <c r="K22" s="67">
        <f t="shared" si="0"/>
        <v>120000</v>
      </c>
      <c r="M22" s="4"/>
      <c r="N22" s="4"/>
    </row>
    <row r="23" spans="1:14" ht="15.75" x14ac:dyDescent="0.25">
      <c r="A23" s="101"/>
      <c r="B23" s="66" t="s">
        <v>20</v>
      </c>
      <c r="C23" s="17" t="s">
        <v>6</v>
      </c>
      <c r="D23" s="9">
        <v>110000</v>
      </c>
      <c r="E23" s="9">
        <v>110000</v>
      </c>
      <c r="F23" s="9">
        <v>110000</v>
      </c>
      <c r="G23" s="9">
        <v>110000</v>
      </c>
      <c r="H23" s="9">
        <v>115000</v>
      </c>
      <c r="I23" s="9">
        <v>110000</v>
      </c>
      <c r="J23" s="72">
        <v>110000</v>
      </c>
      <c r="K23" s="67">
        <f t="shared" si="0"/>
        <v>110714.28571428571</v>
      </c>
      <c r="M23" s="4"/>
      <c r="N23" s="4"/>
    </row>
    <row r="24" spans="1:14" ht="15.75" x14ac:dyDescent="0.25">
      <c r="A24" s="101"/>
      <c r="B24" s="66" t="s">
        <v>21</v>
      </c>
      <c r="C24" s="17" t="s">
        <v>6</v>
      </c>
      <c r="D24" s="9">
        <v>90000</v>
      </c>
      <c r="E24" s="9">
        <v>90000</v>
      </c>
      <c r="F24" s="9">
        <v>100000</v>
      </c>
      <c r="G24" s="9">
        <v>105000</v>
      </c>
      <c r="H24" s="9">
        <v>110000</v>
      </c>
      <c r="I24" s="8">
        <v>100000</v>
      </c>
      <c r="J24" s="72">
        <v>105000</v>
      </c>
      <c r="K24" s="67">
        <f t="shared" si="0"/>
        <v>100000</v>
      </c>
      <c r="M24" s="4"/>
      <c r="N24" s="4"/>
    </row>
    <row r="25" spans="1:14" ht="15.75" x14ac:dyDescent="0.25">
      <c r="A25" s="101"/>
      <c r="B25" s="66" t="s">
        <v>22</v>
      </c>
      <c r="C25" s="17" t="s">
        <v>6</v>
      </c>
      <c r="D25" s="9">
        <v>32000</v>
      </c>
      <c r="E25" s="9">
        <v>31000</v>
      </c>
      <c r="F25" s="9">
        <v>30000</v>
      </c>
      <c r="G25" s="9">
        <v>31000</v>
      </c>
      <c r="H25" s="72">
        <v>32000</v>
      </c>
      <c r="I25" s="9">
        <v>32000</v>
      </c>
      <c r="J25" s="72">
        <v>33000</v>
      </c>
      <c r="K25" s="67">
        <f t="shared" si="0"/>
        <v>31571.428571428572</v>
      </c>
      <c r="M25" s="4"/>
      <c r="N25" s="4"/>
    </row>
    <row r="26" spans="1:14" ht="15.75" x14ac:dyDescent="0.25">
      <c r="A26" s="101">
        <v>6</v>
      </c>
      <c r="B26" s="60" t="s">
        <v>23</v>
      </c>
      <c r="C26" s="73"/>
      <c r="D26" s="74"/>
      <c r="E26" s="17"/>
      <c r="F26" s="76"/>
      <c r="G26" s="15"/>
      <c r="H26" s="75"/>
      <c r="I26" s="15"/>
      <c r="J26" s="75"/>
      <c r="K26" s="71"/>
      <c r="M26" s="4"/>
      <c r="N26" s="4"/>
    </row>
    <row r="27" spans="1:14" ht="15.75" x14ac:dyDescent="0.25">
      <c r="A27" s="101"/>
      <c r="B27" s="66" t="s">
        <v>24</v>
      </c>
      <c r="C27" s="17" t="s">
        <v>6</v>
      </c>
      <c r="D27" s="9">
        <v>35000</v>
      </c>
      <c r="E27" s="9">
        <v>35000</v>
      </c>
      <c r="F27" s="9" t="s">
        <v>99</v>
      </c>
      <c r="G27" s="9">
        <v>40000</v>
      </c>
      <c r="H27" s="9">
        <v>30000</v>
      </c>
      <c r="I27" s="9" t="s">
        <v>99</v>
      </c>
      <c r="J27" s="72">
        <v>30000</v>
      </c>
      <c r="K27" s="67">
        <f t="shared" si="0"/>
        <v>34000</v>
      </c>
      <c r="L27" t="s">
        <v>100</v>
      </c>
      <c r="M27" s="4"/>
      <c r="N27" s="4"/>
    </row>
    <row r="28" spans="1:14" ht="15.75" x14ac:dyDescent="0.25">
      <c r="A28" s="101"/>
      <c r="B28" s="66" t="s">
        <v>25</v>
      </c>
      <c r="C28" s="17" t="s">
        <v>6</v>
      </c>
      <c r="D28" s="9">
        <v>35000</v>
      </c>
      <c r="E28" s="9">
        <v>28000</v>
      </c>
      <c r="F28" s="9">
        <v>35000</v>
      </c>
      <c r="G28" s="8">
        <v>30000</v>
      </c>
      <c r="H28" s="9">
        <v>20000</v>
      </c>
      <c r="I28" s="9">
        <v>32000</v>
      </c>
      <c r="J28" s="78">
        <v>32000</v>
      </c>
      <c r="K28" s="67">
        <f t="shared" si="0"/>
        <v>30285.714285714286</v>
      </c>
      <c r="M28" s="4"/>
      <c r="N28" s="4"/>
    </row>
    <row r="29" spans="1:14" ht="15.75" x14ac:dyDescent="0.25">
      <c r="A29" s="101"/>
      <c r="B29" s="66" t="s">
        <v>26</v>
      </c>
      <c r="C29" s="17" t="s">
        <v>6</v>
      </c>
      <c r="D29" s="9">
        <v>60000</v>
      </c>
      <c r="E29" s="9">
        <v>60000</v>
      </c>
      <c r="F29" s="16">
        <v>60000</v>
      </c>
      <c r="G29" s="8">
        <v>70000</v>
      </c>
      <c r="H29" s="9">
        <v>63000</v>
      </c>
      <c r="I29" s="9">
        <v>60000</v>
      </c>
      <c r="J29" s="79">
        <v>60000</v>
      </c>
      <c r="K29" s="67">
        <f t="shared" si="0"/>
        <v>61857.142857142855</v>
      </c>
      <c r="M29" s="4"/>
      <c r="N29" s="4"/>
    </row>
    <row r="30" spans="1:14" ht="15.75" x14ac:dyDescent="0.25">
      <c r="A30" s="101"/>
      <c r="B30" s="66" t="s">
        <v>27</v>
      </c>
      <c r="C30" s="17" t="s">
        <v>6</v>
      </c>
      <c r="D30" s="9">
        <v>25000</v>
      </c>
      <c r="E30" s="9" t="s">
        <v>99</v>
      </c>
      <c r="F30" s="10" t="s">
        <v>99</v>
      </c>
      <c r="G30" s="8">
        <v>25000</v>
      </c>
      <c r="H30" s="9">
        <v>23000</v>
      </c>
      <c r="I30" s="9" t="s">
        <v>99</v>
      </c>
      <c r="J30" s="79">
        <v>26000</v>
      </c>
      <c r="K30" s="67">
        <f t="shared" si="0"/>
        <v>24750</v>
      </c>
      <c r="M30" s="4"/>
      <c r="N30" s="4"/>
    </row>
    <row r="31" spans="1:14" ht="15.75" x14ac:dyDescent="0.25">
      <c r="A31" s="101"/>
      <c r="B31" s="66" t="s">
        <v>28</v>
      </c>
      <c r="C31" s="17" t="s">
        <v>6</v>
      </c>
      <c r="D31" s="9">
        <v>35000</v>
      </c>
      <c r="E31" s="9">
        <v>36000</v>
      </c>
      <c r="F31" s="9">
        <v>40000</v>
      </c>
      <c r="G31" s="9">
        <v>40000</v>
      </c>
      <c r="H31" s="9">
        <v>28000</v>
      </c>
      <c r="I31" s="9">
        <v>40000</v>
      </c>
      <c r="J31" s="72">
        <v>35000</v>
      </c>
      <c r="K31" s="67">
        <f t="shared" si="0"/>
        <v>36285.714285714283</v>
      </c>
      <c r="M31" s="4"/>
      <c r="N31" s="4"/>
    </row>
    <row r="32" spans="1:14" ht="15.75" x14ac:dyDescent="0.25">
      <c r="A32" s="101"/>
      <c r="B32" s="66" t="s">
        <v>29</v>
      </c>
      <c r="C32" s="17" t="s">
        <v>6</v>
      </c>
      <c r="D32" s="9" t="s">
        <v>99</v>
      </c>
      <c r="E32" s="9">
        <v>100000</v>
      </c>
      <c r="F32" s="9">
        <v>100000</v>
      </c>
      <c r="G32" s="9" t="s">
        <v>99</v>
      </c>
      <c r="H32" s="9">
        <v>80000</v>
      </c>
      <c r="I32" s="9" t="s">
        <v>99</v>
      </c>
      <c r="J32" s="79">
        <v>70000</v>
      </c>
      <c r="K32" s="67">
        <f t="shared" si="0"/>
        <v>87500</v>
      </c>
      <c r="M32" s="4"/>
      <c r="N32" s="4"/>
    </row>
    <row r="33" spans="1:14" ht="15.75" x14ac:dyDescent="0.25">
      <c r="A33" s="101">
        <v>7</v>
      </c>
      <c r="B33" s="60" t="s">
        <v>30</v>
      </c>
      <c r="C33" s="73"/>
      <c r="D33" s="74"/>
      <c r="E33" s="17"/>
      <c r="F33" s="76"/>
      <c r="G33" s="76"/>
      <c r="H33" s="15"/>
      <c r="I33" s="15"/>
      <c r="J33" s="75"/>
      <c r="K33" s="71"/>
      <c r="M33" s="4"/>
      <c r="N33" s="4"/>
    </row>
    <row r="34" spans="1:14" ht="15.75" x14ac:dyDescent="0.25">
      <c r="A34" s="101"/>
      <c r="B34" s="66" t="s">
        <v>31</v>
      </c>
      <c r="C34" s="17" t="s">
        <v>6</v>
      </c>
      <c r="D34" s="9">
        <v>26000</v>
      </c>
      <c r="E34" s="9">
        <v>26000</v>
      </c>
      <c r="F34" s="9">
        <v>26000</v>
      </c>
      <c r="G34" s="9">
        <v>26000</v>
      </c>
      <c r="H34" s="9">
        <v>26000</v>
      </c>
      <c r="I34" s="9">
        <v>26000</v>
      </c>
      <c r="J34" s="72">
        <v>26000</v>
      </c>
      <c r="K34" s="67">
        <f t="shared" si="0"/>
        <v>26000</v>
      </c>
      <c r="M34" s="4"/>
      <c r="N34" s="4"/>
    </row>
    <row r="35" spans="1:14" ht="15.75" x14ac:dyDescent="0.25">
      <c r="A35" s="101"/>
      <c r="B35" s="66" t="s">
        <v>32</v>
      </c>
      <c r="C35" s="17" t="s">
        <v>33</v>
      </c>
      <c r="D35" s="9">
        <v>3000</v>
      </c>
      <c r="E35" s="9">
        <v>2500</v>
      </c>
      <c r="F35" s="9">
        <v>2500</v>
      </c>
      <c r="G35" s="9">
        <v>2800</v>
      </c>
      <c r="H35" s="9">
        <v>2500</v>
      </c>
      <c r="I35" s="9">
        <v>3000</v>
      </c>
      <c r="J35" s="72">
        <v>3000</v>
      </c>
      <c r="K35" s="67">
        <f t="shared" si="0"/>
        <v>2757.1428571428573</v>
      </c>
      <c r="M35" s="4"/>
      <c r="N35" s="4"/>
    </row>
    <row r="36" spans="1:14" ht="15.75" x14ac:dyDescent="0.25">
      <c r="A36" s="59">
        <v>8</v>
      </c>
      <c r="B36" s="73" t="s">
        <v>117</v>
      </c>
      <c r="C36" s="80"/>
      <c r="D36" s="9"/>
      <c r="E36" s="9"/>
      <c r="F36" s="9"/>
      <c r="G36" s="9"/>
      <c r="H36" s="9"/>
      <c r="I36" s="9"/>
      <c r="J36" s="72"/>
      <c r="K36" s="81"/>
      <c r="M36" s="4"/>
      <c r="N36" s="4"/>
    </row>
    <row r="37" spans="1:14" ht="15.75" x14ac:dyDescent="0.25">
      <c r="A37" s="59"/>
      <c r="B37" s="66" t="s">
        <v>118</v>
      </c>
      <c r="C37" s="17" t="s">
        <v>6</v>
      </c>
      <c r="D37" s="9">
        <v>10000</v>
      </c>
      <c r="E37" s="9">
        <v>1250</v>
      </c>
      <c r="F37" s="9">
        <v>9000</v>
      </c>
      <c r="G37" s="9">
        <v>9000</v>
      </c>
      <c r="H37" s="9">
        <v>16000</v>
      </c>
      <c r="I37" s="9">
        <v>9000</v>
      </c>
      <c r="J37" s="72">
        <v>3000</v>
      </c>
      <c r="K37" s="67">
        <f t="shared" si="0"/>
        <v>8178.5714285714284</v>
      </c>
      <c r="M37" s="4"/>
      <c r="N37" s="4"/>
    </row>
    <row r="38" spans="1:14" ht="15.75" x14ac:dyDescent="0.25">
      <c r="A38" s="59"/>
      <c r="B38" s="66" t="s">
        <v>119</v>
      </c>
      <c r="C38" s="17" t="s">
        <v>6</v>
      </c>
      <c r="D38" s="9" t="s">
        <v>99</v>
      </c>
      <c r="E38" s="9">
        <v>10000</v>
      </c>
      <c r="F38" s="9">
        <v>12000</v>
      </c>
      <c r="G38" s="9">
        <v>14000</v>
      </c>
      <c r="H38" s="9" t="s">
        <v>99</v>
      </c>
      <c r="I38" s="9">
        <v>12000</v>
      </c>
      <c r="J38" s="72">
        <v>12000</v>
      </c>
      <c r="K38" s="67">
        <f>AVERAGE(D38:J38)</f>
        <v>12000</v>
      </c>
      <c r="M38" s="4"/>
      <c r="N38" s="4"/>
    </row>
    <row r="39" spans="1:14" ht="15.75" x14ac:dyDescent="0.25">
      <c r="A39" s="59">
        <v>9</v>
      </c>
      <c r="B39" s="82" t="s">
        <v>120</v>
      </c>
      <c r="C39" s="83"/>
      <c r="D39" s="9"/>
      <c r="E39" s="9"/>
      <c r="F39" s="9"/>
      <c r="G39" s="9"/>
      <c r="H39" s="9"/>
      <c r="I39" s="9"/>
      <c r="J39" s="72"/>
      <c r="K39" s="81"/>
      <c r="M39" s="4"/>
      <c r="N39" s="4"/>
    </row>
    <row r="40" spans="1:14" ht="15.75" x14ac:dyDescent="0.25">
      <c r="A40" s="59"/>
      <c r="B40" s="66" t="s">
        <v>121</v>
      </c>
      <c r="C40" s="17" t="s">
        <v>6</v>
      </c>
      <c r="D40" s="9" t="s">
        <v>99</v>
      </c>
      <c r="E40" s="9" t="s">
        <v>99</v>
      </c>
      <c r="F40" s="9" t="s">
        <v>99</v>
      </c>
      <c r="G40" s="9">
        <v>16000</v>
      </c>
      <c r="H40" s="9">
        <v>14000</v>
      </c>
      <c r="I40" s="9" t="s">
        <v>99</v>
      </c>
      <c r="J40" s="72">
        <v>15000</v>
      </c>
      <c r="K40" s="67">
        <f t="shared" si="0"/>
        <v>15000</v>
      </c>
      <c r="M40" s="4"/>
      <c r="N40" s="4"/>
    </row>
    <row r="41" spans="1:14" ht="15.75" x14ac:dyDescent="0.25">
      <c r="A41" s="59"/>
      <c r="B41" s="66" t="s">
        <v>122</v>
      </c>
      <c r="C41" s="17" t="s">
        <v>6</v>
      </c>
      <c r="D41" s="9" t="s">
        <v>99</v>
      </c>
      <c r="E41" s="9" t="s">
        <v>99</v>
      </c>
      <c r="F41" s="9">
        <v>6000</v>
      </c>
      <c r="G41" s="9" t="s">
        <v>99</v>
      </c>
      <c r="H41" s="9" t="s">
        <v>99</v>
      </c>
      <c r="I41" s="9">
        <v>6000</v>
      </c>
      <c r="J41" s="72" t="s">
        <v>99</v>
      </c>
      <c r="K41" s="67">
        <f t="shared" si="0"/>
        <v>6000</v>
      </c>
      <c r="M41" s="4"/>
      <c r="N41" s="4"/>
    </row>
    <row r="42" spans="1:14" ht="15.75" x14ac:dyDescent="0.25">
      <c r="A42" s="59"/>
      <c r="B42" s="66" t="s">
        <v>123</v>
      </c>
      <c r="C42" s="17" t="s">
        <v>6</v>
      </c>
      <c r="D42" s="9" t="s">
        <v>99</v>
      </c>
      <c r="E42" s="9">
        <v>2500</v>
      </c>
      <c r="F42" s="9" t="s">
        <v>99</v>
      </c>
      <c r="G42" s="9" t="s">
        <v>99</v>
      </c>
      <c r="H42" s="9" t="s">
        <v>99</v>
      </c>
      <c r="I42" s="9" t="s">
        <v>99</v>
      </c>
      <c r="J42" s="72" t="s">
        <v>99</v>
      </c>
      <c r="K42" s="67">
        <f t="shared" si="0"/>
        <v>2500</v>
      </c>
      <c r="M42" s="4"/>
      <c r="N42" s="4"/>
    </row>
    <row r="43" spans="1:14" ht="15.75" x14ac:dyDescent="0.25">
      <c r="A43" s="101">
        <v>10</v>
      </c>
      <c r="B43" s="60" t="s">
        <v>34</v>
      </c>
      <c r="C43" s="73"/>
      <c r="D43" s="74"/>
      <c r="E43" s="17"/>
      <c r="F43" s="76"/>
      <c r="G43" s="15"/>
      <c r="H43" s="15"/>
      <c r="I43" s="15"/>
      <c r="J43" s="84"/>
      <c r="K43" s="71"/>
      <c r="M43" s="4"/>
      <c r="N43" s="4"/>
    </row>
    <row r="44" spans="1:14" ht="15.75" x14ac:dyDescent="0.25">
      <c r="A44" s="101"/>
      <c r="B44" s="66" t="s">
        <v>35</v>
      </c>
      <c r="C44" s="17" t="s">
        <v>36</v>
      </c>
      <c r="D44" s="9">
        <v>12000</v>
      </c>
      <c r="E44" s="9">
        <v>12000</v>
      </c>
      <c r="F44" s="9">
        <v>12500</v>
      </c>
      <c r="G44" s="9">
        <v>12500</v>
      </c>
      <c r="H44" s="10" t="s">
        <v>99</v>
      </c>
      <c r="I44" s="16">
        <v>12500</v>
      </c>
      <c r="J44" s="72">
        <v>12500</v>
      </c>
      <c r="K44" s="67">
        <f t="shared" si="0"/>
        <v>12333.333333333334</v>
      </c>
      <c r="M44" s="4"/>
      <c r="N44" s="4"/>
    </row>
    <row r="45" spans="1:14" ht="15.75" x14ac:dyDescent="0.25">
      <c r="A45" s="101"/>
      <c r="B45" s="66" t="s">
        <v>124</v>
      </c>
      <c r="C45" s="17" t="s">
        <v>36</v>
      </c>
      <c r="D45" s="9">
        <v>12000</v>
      </c>
      <c r="E45" s="9">
        <v>13000</v>
      </c>
      <c r="F45" s="16">
        <v>12500</v>
      </c>
      <c r="G45" s="9">
        <v>12500</v>
      </c>
      <c r="H45" s="10" t="s">
        <v>99</v>
      </c>
      <c r="I45" s="16">
        <v>12500</v>
      </c>
      <c r="J45" s="79">
        <v>12500</v>
      </c>
      <c r="K45" s="67">
        <f>AVERAGE(D45:J45)</f>
        <v>12500</v>
      </c>
      <c r="M45" s="4"/>
      <c r="N45" s="4"/>
    </row>
    <row r="46" spans="1:14" ht="15.75" x14ac:dyDescent="0.25">
      <c r="A46" s="101">
        <v>11</v>
      </c>
      <c r="B46" s="60" t="s">
        <v>38</v>
      </c>
      <c r="C46" s="73"/>
      <c r="D46" s="74"/>
      <c r="E46" s="17"/>
      <c r="F46" s="15"/>
      <c r="G46" s="76"/>
      <c r="H46" s="15"/>
      <c r="I46" s="15"/>
      <c r="J46" s="75"/>
      <c r="K46" s="71"/>
      <c r="M46" s="4"/>
      <c r="N46" s="4"/>
    </row>
    <row r="47" spans="1:14" ht="15.75" x14ac:dyDescent="0.25">
      <c r="A47" s="101"/>
      <c r="B47" s="66" t="s">
        <v>39</v>
      </c>
      <c r="C47" s="17" t="s">
        <v>40</v>
      </c>
      <c r="D47" s="9" t="s">
        <v>99</v>
      </c>
      <c r="E47" s="9" t="s">
        <v>99</v>
      </c>
      <c r="F47" s="10" t="s">
        <v>99</v>
      </c>
      <c r="G47" s="8" t="s">
        <v>99</v>
      </c>
      <c r="H47" s="9">
        <v>17500</v>
      </c>
      <c r="I47" s="16" t="s">
        <v>99</v>
      </c>
      <c r="J47" s="79" t="s">
        <v>99</v>
      </c>
      <c r="K47" s="67">
        <f t="shared" si="0"/>
        <v>17500</v>
      </c>
      <c r="M47" s="4"/>
      <c r="N47" s="4"/>
    </row>
    <row r="48" spans="1:14" ht="15.75" x14ac:dyDescent="0.25">
      <c r="A48" s="101"/>
      <c r="B48" s="66" t="s">
        <v>41</v>
      </c>
      <c r="C48" s="17" t="s">
        <v>42</v>
      </c>
      <c r="D48" s="9" t="s">
        <v>99</v>
      </c>
      <c r="E48" s="9" t="s">
        <v>99</v>
      </c>
      <c r="F48" s="10" t="s">
        <v>99</v>
      </c>
      <c r="G48" s="8" t="s">
        <v>99</v>
      </c>
      <c r="H48" s="9">
        <v>2000</v>
      </c>
      <c r="I48" s="16" t="s">
        <v>99</v>
      </c>
      <c r="J48" s="79" t="s">
        <v>99</v>
      </c>
      <c r="K48" s="67">
        <f t="shared" si="0"/>
        <v>2000</v>
      </c>
      <c r="M48" s="4"/>
      <c r="N48" s="4"/>
    </row>
    <row r="49" spans="1:14" ht="15.75" x14ac:dyDescent="0.25">
      <c r="A49" s="59">
        <v>12</v>
      </c>
      <c r="B49" s="85" t="s">
        <v>43</v>
      </c>
      <c r="C49" s="80"/>
      <c r="D49" s="19"/>
      <c r="E49" s="10"/>
      <c r="F49" s="10"/>
      <c r="G49" s="22"/>
      <c r="H49" s="10"/>
      <c r="I49" s="10"/>
      <c r="J49" s="77"/>
      <c r="K49" s="71"/>
      <c r="M49" s="4"/>
      <c r="N49" s="4"/>
    </row>
    <row r="50" spans="1:14" ht="15.75" x14ac:dyDescent="0.25">
      <c r="A50" s="59"/>
      <c r="B50" s="66" t="s">
        <v>44</v>
      </c>
      <c r="C50" s="86" t="s">
        <v>6</v>
      </c>
      <c r="D50" s="9" t="s">
        <v>99</v>
      </c>
      <c r="E50" s="9">
        <v>8000</v>
      </c>
      <c r="F50" s="9">
        <v>10000</v>
      </c>
      <c r="G50" s="9">
        <v>10000</v>
      </c>
      <c r="H50" s="9">
        <v>15000</v>
      </c>
      <c r="I50" s="8">
        <v>15000</v>
      </c>
      <c r="J50" s="72">
        <v>15000</v>
      </c>
      <c r="K50" s="67">
        <f t="shared" si="0"/>
        <v>12166.666666666666</v>
      </c>
      <c r="M50" s="4" t="s">
        <v>101</v>
      </c>
      <c r="N50" s="4"/>
    </row>
    <row r="51" spans="1:14" ht="15.75" x14ac:dyDescent="0.25">
      <c r="A51" s="59"/>
      <c r="B51" s="66" t="s">
        <v>45</v>
      </c>
      <c r="C51" s="86" t="s">
        <v>6</v>
      </c>
      <c r="D51" s="9">
        <v>10000</v>
      </c>
      <c r="E51" s="9">
        <v>10000</v>
      </c>
      <c r="F51" s="8">
        <v>9000</v>
      </c>
      <c r="G51" s="9">
        <v>10000</v>
      </c>
      <c r="H51" s="9">
        <v>12000</v>
      </c>
      <c r="I51" s="9">
        <v>13000</v>
      </c>
      <c r="J51" s="72">
        <v>10000</v>
      </c>
      <c r="K51" s="67">
        <f t="shared" si="0"/>
        <v>10571.428571428571</v>
      </c>
      <c r="M51" s="4"/>
      <c r="N51" s="23"/>
    </row>
    <row r="52" spans="1:14" ht="15.75" x14ac:dyDescent="0.25">
      <c r="A52" s="101">
        <v>13</v>
      </c>
      <c r="B52" s="60" t="s">
        <v>46</v>
      </c>
      <c r="C52" s="73"/>
      <c r="D52" s="74"/>
      <c r="E52" s="17"/>
      <c r="F52" s="76"/>
      <c r="G52" s="76"/>
      <c r="H52" s="15"/>
      <c r="I52" s="15"/>
      <c r="J52" s="84"/>
      <c r="K52" s="71"/>
      <c r="M52" s="4"/>
      <c r="N52" s="4"/>
    </row>
    <row r="53" spans="1:14" ht="15.75" x14ac:dyDescent="0.25">
      <c r="A53" s="101"/>
      <c r="B53" s="66" t="s">
        <v>47</v>
      </c>
      <c r="C53" s="17" t="s">
        <v>125</v>
      </c>
      <c r="D53" s="9">
        <v>3000</v>
      </c>
      <c r="E53" s="9">
        <v>4000</v>
      </c>
      <c r="F53" s="9">
        <v>5000</v>
      </c>
      <c r="G53" s="9">
        <v>5000</v>
      </c>
      <c r="H53" s="9">
        <v>2500</v>
      </c>
      <c r="I53" s="16">
        <v>5000</v>
      </c>
      <c r="J53" s="72">
        <v>2500</v>
      </c>
      <c r="K53" s="67">
        <f t="shared" si="0"/>
        <v>3857.1428571428573</v>
      </c>
      <c r="M53" s="4"/>
      <c r="N53" s="4"/>
    </row>
    <row r="54" spans="1:14" ht="15.75" x14ac:dyDescent="0.25">
      <c r="A54" s="101">
        <v>14</v>
      </c>
      <c r="B54" s="60" t="s">
        <v>49</v>
      </c>
      <c r="C54" s="80"/>
      <c r="D54" s="62"/>
      <c r="E54" s="17"/>
      <c r="F54" s="20"/>
      <c r="G54" s="20"/>
      <c r="H54" s="17"/>
      <c r="I54" s="17"/>
      <c r="J54" s="87"/>
      <c r="K54" s="71"/>
      <c r="M54" s="4"/>
      <c r="N54" s="4"/>
    </row>
    <row r="55" spans="1:14" ht="15.75" x14ac:dyDescent="0.25">
      <c r="A55" s="101"/>
      <c r="B55" s="88" t="s">
        <v>50</v>
      </c>
      <c r="C55" s="86" t="s">
        <v>6</v>
      </c>
      <c r="D55" s="9">
        <v>10000</v>
      </c>
      <c r="E55" s="9">
        <v>10500</v>
      </c>
      <c r="F55" s="9">
        <v>10000</v>
      </c>
      <c r="G55" s="9">
        <v>11000</v>
      </c>
      <c r="H55" s="9">
        <v>12000</v>
      </c>
      <c r="I55" s="9">
        <v>10000</v>
      </c>
      <c r="J55" s="72">
        <v>10000</v>
      </c>
      <c r="K55" s="67">
        <f t="shared" si="0"/>
        <v>10500</v>
      </c>
      <c r="M55" s="4"/>
      <c r="N55" s="4"/>
    </row>
    <row r="56" spans="1:14" ht="15.75" x14ac:dyDescent="0.25">
      <c r="A56" s="101">
        <v>15</v>
      </c>
      <c r="B56" s="60" t="s">
        <v>51</v>
      </c>
      <c r="C56" s="73"/>
      <c r="D56" s="74"/>
      <c r="E56" s="17"/>
      <c r="F56" s="76"/>
      <c r="G56" s="15"/>
      <c r="H56" s="15"/>
      <c r="I56" s="15"/>
      <c r="J56" s="84"/>
      <c r="K56" s="71"/>
      <c r="M56" s="4"/>
      <c r="N56" s="4"/>
    </row>
    <row r="57" spans="1:14" ht="15.75" x14ac:dyDescent="0.25">
      <c r="A57" s="101"/>
      <c r="B57" s="66" t="s">
        <v>52</v>
      </c>
      <c r="C57" s="17" t="s">
        <v>6</v>
      </c>
      <c r="D57" s="9">
        <v>16000</v>
      </c>
      <c r="E57" s="9">
        <v>13000</v>
      </c>
      <c r="F57" s="9">
        <v>14000</v>
      </c>
      <c r="G57" s="9">
        <v>14000</v>
      </c>
      <c r="H57" s="9">
        <v>11500</v>
      </c>
      <c r="I57" s="9">
        <v>17000</v>
      </c>
      <c r="J57" s="72" t="s">
        <v>99</v>
      </c>
      <c r="K57" s="67">
        <f t="shared" si="0"/>
        <v>14250</v>
      </c>
      <c r="M57" s="4"/>
      <c r="N57" s="4"/>
    </row>
    <row r="58" spans="1:14" ht="15.75" x14ac:dyDescent="0.25">
      <c r="A58" s="101"/>
      <c r="B58" s="66" t="s">
        <v>53</v>
      </c>
      <c r="C58" s="17" t="s">
        <v>6</v>
      </c>
      <c r="D58" s="9" t="s">
        <v>99</v>
      </c>
      <c r="E58" s="9" t="s">
        <v>99</v>
      </c>
      <c r="F58" s="16">
        <v>15000</v>
      </c>
      <c r="G58" s="22" t="s">
        <v>99</v>
      </c>
      <c r="H58" s="9">
        <v>13000</v>
      </c>
      <c r="I58" s="8">
        <v>15000</v>
      </c>
      <c r="J58" s="72">
        <v>14000</v>
      </c>
      <c r="K58" s="67">
        <f t="shared" si="0"/>
        <v>14250</v>
      </c>
      <c r="M58" s="4"/>
      <c r="N58" s="4"/>
    </row>
    <row r="59" spans="1:14" ht="15.75" x14ac:dyDescent="0.25">
      <c r="A59" s="101"/>
      <c r="B59" s="66" t="s">
        <v>54</v>
      </c>
      <c r="C59" s="17" t="s">
        <v>6</v>
      </c>
      <c r="D59" s="9">
        <v>24000</v>
      </c>
      <c r="E59" s="9">
        <v>23000</v>
      </c>
      <c r="F59" s="9">
        <v>23000</v>
      </c>
      <c r="G59" s="9">
        <v>23000</v>
      </c>
      <c r="H59" s="9">
        <v>20000</v>
      </c>
      <c r="I59" s="9">
        <v>23000</v>
      </c>
      <c r="J59" s="72">
        <v>24000</v>
      </c>
      <c r="K59" s="67">
        <f t="shared" si="0"/>
        <v>22857.142857142859</v>
      </c>
      <c r="M59" s="4"/>
      <c r="N59" s="4"/>
    </row>
    <row r="60" spans="1:14" ht="15.75" x14ac:dyDescent="0.25">
      <c r="A60" s="101"/>
      <c r="B60" s="66" t="s">
        <v>55</v>
      </c>
      <c r="C60" s="17" t="s">
        <v>6</v>
      </c>
      <c r="D60" s="9">
        <v>30000</v>
      </c>
      <c r="E60" s="9">
        <v>30000</v>
      </c>
      <c r="F60" s="9">
        <v>28000</v>
      </c>
      <c r="G60" s="9">
        <v>30000</v>
      </c>
      <c r="H60" s="9">
        <v>27000</v>
      </c>
      <c r="I60" s="9">
        <v>28000</v>
      </c>
      <c r="J60" s="72">
        <v>28000</v>
      </c>
      <c r="K60" s="67">
        <f t="shared" si="0"/>
        <v>28714.285714285714</v>
      </c>
      <c r="M60" s="4"/>
      <c r="N60" s="4"/>
    </row>
    <row r="61" spans="1:14" ht="15.75" x14ac:dyDescent="0.25">
      <c r="A61" s="17">
        <v>16</v>
      </c>
      <c r="B61" s="60" t="s">
        <v>56</v>
      </c>
      <c r="C61" s="80"/>
      <c r="D61" s="89"/>
      <c r="E61" s="10"/>
      <c r="F61" s="22"/>
      <c r="G61" s="10"/>
      <c r="H61" s="10"/>
      <c r="I61" s="10"/>
      <c r="J61" s="90"/>
      <c r="K61" s="71"/>
      <c r="M61" s="4"/>
      <c r="N61" s="4"/>
    </row>
    <row r="62" spans="1:14" ht="15.75" x14ac:dyDescent="0.25">
      <c r="A62" s="17"/>
      <c r="B62" s="66" t="s">
        <v>57</v>
      </c>
      <c r="C62" s="86" t="s">
        <v>58</v>
      </c>
      <c r="D62" s="9">
        <v>3000</v>
      </c>
      <c r="E62" s="9">
        <v>3200</v>
      </c>
      <c r="F62" s="9">
        <v>3000</v>
      </c>
      <c r="G62" s="9">
        <v>3000</v>
      </c>
      <c r="H62" s="10" t="s">
        <v>99</v>
      </c>
      <c r="I62" s="16">
        <v>3000</v>
      </c>
      <c r="J62" s="72">
        <v>3500</v>
      </c>
      <c r="K62" s="67">
        <f t="shared" si="0"/>
        <v>3116.6666666666665</v>
      </c>
      <c r="M62" s="4"/>
      <c r="N62" s="4"/>
    </row>
    <row r="63" spans="1:14" ht="15.75" x14ac:dyDescent="0.25">
      <c r="A63" s="101">
        <v>17</v>
      </c>
      <c r="B63" s="60" t="s">
        <v>59</v>
      </c>
      <c r="C63" s="73"/>
      <c r="D63" s="74"/>
      <c r="E63" s="17"/>
      <c r="F63" s="76"/>
      <c r="G63" s="76"/>
      <c r="H63" s="15"/>
      <c r="I63" s="15"/>
      <c r="J63" s="84"/>
      <c r="K63" s="71"/>
      <c r="M63" s="4"/>
      <c r="N63" s="4"/>
    </row>
    <row r="64" spans="1:14" ht="15.75" x14ac:dyDescent="0.25">
      <c r="A64" s="101"/>
      <c r="B64" s="66" t="s">
        <v>60</v>
      </c>
      <c r="C64" s="17" t="s">
        <v>6</v>
      </c>
      <c r="D64" s="9">
        <v>61000</v>
      </c>
      <c r="E64" s="9">
        <v>65000</v>
      </c>
      <c r="F64" s="9">
        <v>68000</v>
      </c>
      <c r="G64" s="9">
        <v>60000</v>
      </c>
      <c r="H64" s="9">
        <v>60000</v>
      </c>
      <c r="I64" s="9">
        <v>70000</v>
      </c>
      <c r="J64" s="72">
        <v>75000</v>
      </c>
      <c r="K64" s="67">
        <f t="shared" si="0"/>
        <v>65571.428571428565</v>
      </c>
      <c r="M64" s="4"/>
      <c r="N64" s="4"/>
    </row>
    <row r="65" spans="1:14" ht="15.75" x14ac:dyDescent="0.25">
      <c r="A65" s="101"/>
      <c r="B65" s="66" t="s">
        <v>61</v>
      </c>
      <c r="C65" s="17" t="s">
        <v>6</v>
      </c>
      <c r="D65" s="9">
        <v>50000</v>
      </c>
      <c r="E65" s="9">
        <v>48000</v>
      </c>
      <c r="F65" s="9">
        <v>47000</v>
      </c>
      <c r="G65" s="9">
        <v>55000</v>
      </c>
      <c r="H65" s="9">
        <v>40000</v>
      </c>
      <c r="I65" s="8">
        <v>57000</v>
      </c>
      <c r="J65" s="72">
        <v>60000</v>
      </c>
      <c r="K65" s="67">
        <f t="shared" si="0"/>
        <v>51000</v>
      </c>
      <c r="M65" s="4"/>
      <c r="N65" s="4"/>
    </row>
    <row r="66" spans="1:14" ht="15.75" x14ac:dyDescent="0.25">
      <c r="A66" s="101"/>
      <c r="B66" s="66" t="s">
        <v>62</v>
      </c>
      <c r="C66" s="17" t="s">
        <v>6</v>
      </c>
      <c r="D66" s="9">
        <v>28000</v>
      </c>
      <c r="E66" s="9">
        <v>30000</v>
      </c>
      <c r="F66" s="9">
        <v>27000</v>
      </c>
      <c r="G66" s="9">
        <v>30000</v>
      </c>
      <c r="H66" s="9">
        <v>25000</v>
      </c>
      <c r="I66" s="9">
        <v>30000</v>
      </c>
      <c r="J66" s="72">
        <v>35000</v>
      </c>
      <c r="K66" s="67">
        <f t="shared" si="0"/>
        <v>29285.714285714286</v>
      </c>
      <c r="M66" s="4"/>
      <c r="N66" s="4"/>
    </row>
    <row r="67" spans="1:14" ht="15.75" x14ac:dyDescent="0.25">
      <c r="A67" s="17">
        <v>18</v>
      </c>
      <c r="B67" s="60" t="s">
        <v>63</v>
      </c>
      <c r="C67" s="80"/>
      <c r="D67" s="24"/>
      <c r="E67" s="10"/>
      <c r="F67" s="22"/>
      <c r="G67" s="10"/>
      <c r="H67" s="10" t="s">
        <v>1</v>
      </c>
      <c r="I67" s="10"/>
      <c r="J67" s="77"/>
      <c r="K67" s="71"/>
      <c r="M67" s="4"/>
      <c r="N67" s="4"/>
    </row>
    <row r="68" spans="1:14" ht="15.75" x14ac:dyDescent="0.25">
      <c r="A68" s="17"/>
      <c r="B68" s="66" t="s">
        <v>64</v>
      </c>
      <c r="C68" s="17" t="s">
        <v>65</v>
      </c>
      <c r="D68" s="9">
        <v>20000</v>
      </c>
      <c r="E68" s="9">
        <v>18000</v>
      </c>
      <c r="F68" s="9">
        <v>18000</v>
      </c>
      <c r="G68" s="9">
        <v>18000</v>
      </c>
      <c r="H68" s="10" t="s">
        <v>99</v>
      </c>
      <c r="I68" s="9">
        <v>18000</v>
      </c>
      <c r="J68" s="79">
        <v>18000</v>
      </c>
      <c r="K68" s="67">
        <f t="shared" si="0"/>
        <v>18333.333333333332</v>
      </c>
      <c r="M68" s="4"/>
      <c r="N68" s="4"/>
    </row>
    <row r="69" spans="1:14" ht="15.75" x14ac:dyDescent="0.25">
      <c r="A69" s="101">
        <v>19</v>
      </c>
      <c r="B69" s="60" t="s">
        <v>66</v>
      </c>
      <c r="C69" s="60"/>
      <c r="D69" s="74"/>
      <c r="E69" s="17"/>
      <c r="F69" s="15"/>
      <c r="G69" s="15"/>
      <c r="H69" s="15"/>
      <c r="I69" s="15"/>
      <c r="J69" s="75"/>
      <c r="K69" s="71"/>
      <c r="M69" s="4"/>
      <c r="N69" s="4"/>
    </row>
    <row r="70" spans="1:14" ht="15.75" x14ac:dyDescent="0.25">
      <c r="A70" s="101"/>
      <c r="B70" s="66" t="s">
        <v>67</v>
      </c>
      <c r="C70" s="17" t="s">
        <v>6</v>
      </c>
      <c r="D70" s="9">
        <v>36000</v>
      </c>
      <c r="E70" s="9">
        <v>35000</v>
      </c>
      <c r="F70" s="9">
        <v>36000</v>
      </c>
      <c r="G70" s="9">
        <v>35000</v>
      </c>
      <c r="H70" s="9">
        <v>36000</v>
      </c>
      <c r="I70" s="9">
        <v>40000</v>
      </c>
      <c r="J70" s="72">
        <v>40000</v>
      </c>
      <c r="K70" s="67">
        <f t="shared" si="0"/>
        <v>36857.142857142855</v>
      </c>
      <c r="M70" s="4"/>
      <c r="N70" s="4"/>
    </row>
    <row r="71" spans="1:14" ht="15.75" x14ac:dyDescent="0.25">
      <c r="A71" s="101"/>
      <c r="B71" s="66" t="s">
        <v>68</v>
      </c>
      <c r="C71" s="17" t="s">
        <v>6</v>
      </c>
      <c r="D71" s="9">
        <v>34000</v>
      </c>
      <c r="E71" s="9">
        <v>32000</v>
      </c>
      <c r="F71" s="9">
        <v>34000</v>
      </c>
      <c r="G71" s="9">
        <v>32000</v>
      </c>
      <c r="H71" s="9">
        <v>31000</v>
      </c>
      <c r="I71" s="9">
        <v>35000</v>
      </c>
      <c r="J71" s="72">
        <v>33000</v>
      </c>
      <c r="K71" s="67">
        <f t="shared" si="0"/>
        <v>33000</v>
      </c>
      <c r="M71" s="4"/>
      <c r="N71" s="4"/>
    </row>
    <row r="72" spans="1:14" ht="15.75" x14ac:dyDescent="0.25">
      <c r="A72" s="101"/>
      <c r="B72" s="66" t="s">
        <v>69</v>
      </c>
      <c r="C72" s="17" t="s">
        <v>6</v>
      </c>
      <c r="D72" s="9">
        <v>26000</v>
      </c>
      <c r="E72" s="9">
        <v>28000</v>
      </c>
      <c r="F72" s="9">
        <v>24000</v>
      </c>
      <c r="G72" s="9">
        <v>28000</v>
      </c>
      <c r="H72" s="9">
        <v>20000</v>
      </c>
      <c r="I72" s="9">
        <v>25000</v>
      </c>
      <c r="J72" s="72">
        <v>30000</v>
      </c>
      <c r="K72" s="67">
        <f t="shared" si="0"/>
        <v>25857.142857142859</v>
      </c>
      <c r="M72" s="4"/>
      <c r="N72" s="4"/>
    </row>
    <row r="73" spans="1:14" ht="15.75" x14ac:dyDescent="0.25">
      <c r="A73" s="101"/>
      <c r="B73" s="66" t="s">
        <v>70</v>
      </c>
      <c r="C73" s="17" t="s">
        <v>6</v>
      </c>
      <c r="D73" s="9">
        <v>28000</v>
      </c>
      <c r="E73" s="9">
        <v>25000</v>
      </c>
      <c r="F73" s="16">
        <v>28000</v>
      </c>
      <c r="G73" s="8">
        <v>30000</v>
      </c>
      <c r="H73" s="9">
        <v>25000</v>
      </c>
      <c r="I73" s="9">
        <v>25000</v>
      </c>
      <c r="J73" s="72" t="s">
        <v>99</v>
      </c>
      <c r="K73" s="67">
        <f t="shared" si="0"/>
        <v>26833.333333333332</v>
      </c>
      <c r="M73" s="4"/>
      <c r="N73" s="4"/>
    </row>
    <row r="74" spans="1:14" ht="15.75" x14ac:dyDescent="0.25">
      <c r="A74" s="17">
        <v>20</v>
      </c>
      <c r="B74" s="60" t="s">
        <v>71</v>
      </c>
      <c r="C74" s="91"/>
      <c r="D74" s="24"/>
      <c r="E74" s="10"/>
      <c r="F74" s="10"/>
      <c r="G74" s="89"/>
      <c r="H74" s="10"/>
      <c r="I74" s="10"/>
      <c r="J74" s="90"/>
      <c r="K74" s="71"/>
      <c r="M74" s="4"/>
      <c r="N74" s="4"/>
    </row>
    <row r="75" spans="1:14" ht="15.75" x14ac:dyDescent="0.25">
      <c r="A75" s="17"/>
      <c r="B75" s="66" t="s">
        <v>72</v>
      </c>
      <c r="C75" s="86" t="s">
        <v>6</v>
      </c>
      <c r="D75" s="9">
        <v>7000</v>
      </c>
      <c r="E75" s="9">
        <v>7000</v>
      </c>
      <c r="F75" s="9">
        <v>5000</v>
      </c>
      <c r="G75" s="9">
        <v>6000</v>
      </c>
      <c r="H75" s="9">
        <v>5000</v>
      </c>
      <c r="I75" s="9">
        <v>5000</v>
      </c>
      <c r="J75" s="72">
        <v>5000</v>
      </c>
      <c r="K75" s="67">
        <f t="shared" si="0"/>
        <v>5714.2857142857147</v>
      </c>
      <c r="M75" s="4"/>
      <c r="N75" s="4"/>
    </row>
    <row r="76" spans="1:14" ht="15.75" x14ac:dyDescent="0.25">
      <c r="A76" s="17"/>
      <c r="B76" s="66" t="s">
        <v>73</v>
      </c>
      <c r="C76" s="86" t="s">
        <v>6</v>
      </c>
      <c r="D76" s="9">
        <v>7000</v>
      </c>
      <c r="E76" s="9">
        <v>6000</v>
      </c>
      <c r="F76" s="16">
        <v>6000</v>
      </c>
      <c r="G76" s="8">
        <v>6000</v>
      </c>
      <c r="H76" s="9">
        <v>5000</v>
      </c>
      <c r="I76" s="9">
        <v>6000</v>
      </c>
      <c r="J76" s="79">
        <v>6000</v>
      </c>
      <c r="K76" s="67">
        <f t="shared" si="0"/>
        <v>6000</v>
      </c>
      <c r="M76" s="4"/>
      <c r="N76" s="4"/>
    </row>
    <row r="77" spans="1:14" ht="15.75" x14ac:dyDescent="0.25">
      <c r="A77" s="17">
        <v>21</v>
      </c>
      <c r="B77" s="60" t="s">
        <v>74</v>
      </c>
      <c r="C77" s="91"/>
      <c r="D77" s="19"/>
      <c r="E77" s="10"/>
      <c r="F77" s="10"/>
      <c r="G77" s="22"/>
      <c r="H77" s="10"/>
      <c r="I77" s="10"/>
      <c r="J77" s="77"/>
      <c r="K77" s="71"/>
      <c r="M77" s="4"/>
      <c r="N77" s="4"/>
    </row>
    <row r="78" spans="1:14" ht="15.75" x14ac:dyDescent="0.25">
      <c r="A78" s="17"/>
      <c r="B78" s="66" t="s">
        <v>75</v>
      </c>
      <c r="C78" s="86" t="s">
        <v>6</v>
      </c>
      <c r="D78" s="9">
        <v>8000</v>
      </c>
      <c r="E78" s="9">
        <v>8000</v>
      </c>
      <c r="F78" s="9">
        <v>10000</v>
      </c>
      <c r="G78" s="9">
        <v>8000</v>
      </c>
      <c r="H78" s="9">
        <v>6000</v>
      </c>
      <c r="I78" s="16">
        <v>9000</v>
      </c>
      <c r="J78" s="72" t="s">
        <v>99</v>
      </c>
      <c r="K78" s="67">
        <f t="shared" si="0"/>
        <v>8166.666666666667</v>
      </c>
      <c r="M78" s="4"/>
      <c r="N78" s="4"/>
    </row>
    <row r="79" spans="1:14" ht="15.75" x14ac:dyDescent="0.25">
      <c r="A79" s="17"/>
      <c r="B79" s="66" t="s">
        <v>76</v>
      </c>
      <c r="C79" s="86" t="s">
        <v>6</v>
      </c>
      <c r="D79" s="9">
        <v>8000</v>
      </c>
      <c r="E79" s="9">
        <v>10000</v>
      </c>
      <c r="F79" s="9">
        <v>20000</v>
      </c>
      <c r="G79" s="9">
        <v>14000</v>
      </c>
      <c r="H79" s="9">
        <v>6000</v>
      </c>
      <c r="I79" s="16">
        <v>12000</v>
      </c>
      <c r="J79" s="72">
        <v>15000</v>
      </c>
      <c r="K79" s="67">
        <f t="shared" si="0"/>
        <v>12142.857142857143</v>
      </c>
      <c r="M79" s="4"/>
      <c r="N79" s="4"/>
    </row>
    <row r="80" spans="1:14" ht="15.75" x14ac:dyDescent="0.25">
      <c r="A80" s="17"/>
      <c r="B80" s="66" t="s">
        <v>77</v>
      </c>
      <c r="C80" s="86" t="s">
        <v>6</v>
      </c>
      <c r="D80" s="9">
        <v>18000</v>
      </c>
      <c r="E80" s="9">
        <v>16000</v>
      </c>
      <c r="F80" s="9">
        <v>17000</v>
      </c>
      <c r="G80" s="9">
        <v>15000</v>
      </c>
      <c r="H80" s="9">
        <v>15000</v>
      </c>
      <c r="I80" s="9">
        <v>20000</v>
      </c>
      <c r="J80" s="72">
        <v>18000</v>
      </c>
      <c r="K80" s="67">
        <f t="shared" si="0"/>
        <v>17000</v>
      </c>
      <c r="M80" s="4"/>
      <c r="N80" s="4"/>
    </row>
    <row r="81" spans="1:14" ht="15.75" x14ac:dyDescent="0.25">
      <c r="A81" s="17"/>
      <c r="B81" s="66" t="s">
        <v>78</v>
      </c>
      <c r="C81" s="86" t="s">
        <v>6</v>
      </c>
      <c r="D81" s="9">
        <v>20000</v>
      </c>
      <c r="E81" s="9">
        <v>15000</v>
      </c>
      <c r="F81" s="9">
        <v>10000</v>
      </c>
      <c r="G81" s="9">
        <v>10000</v>
      </c>
      <c r="H81" s="9">
        <v>22000</v>
      </c>
      <c r="I81" s="8">
        <v>25000</v>
      </c>
      <c r="J81" s="72">
        <v>24000</v>
      </c>
      <c r="K81" s="67">
        <f t="shared" ref="K81:K88" si="1">AVERAGE(D81:J81)</f>
        <v>18000</v>
      </c>
      <c r="M81" s="4"/>
      <c r="N81" s="4"/>
    </row>
    <row r="82" spans="1:14" ht="15.75" x14ac:dyDescent="0.25">
      <c r="A82" s="17"/>
      <c r="B82" s="66" t="s">
        <v>79</v>
      </c>
      <c r="C82" s="86" t="s">
        <v>6</v>
      </c>
      <c r="D82" s="9">
        <v>10000</v>
      </c>
      <c r="E82" s="9">
        <v>12000</v>
      </c>
      <c r="F82" s="9">
        <v>14000</v>
      </c>
      <c r="G82" s="9">
        <v>12000</v>
      </c>
      <c r="H82" s="9">
        <v>10000</v>
      </c>
      <c r="I82" s="9">
        <v>20000</v>
      </c>
      <c r="J82" s="72">
        <v>15000</v>
      </c>
      <c r="K82" s="67">
        <f t="shared" si="1"/>
        <v>13285.714285714286</v>
      </c>
      <c r="M82" s="4"/>
      <c r="N82" s="4"/>
    </row>
    <row r="83" spans="1:14" ht="15.75" x14ac:dyDescent="0.25">
      <c r="A83" s="17"/>
      <c r="B83" s="66" t="s">
        <v>80</v>
      </c>
      <c r="C83" s="86" t="s">
        <v>6</v>
      </c>
      <c r="D83" s="9">
        <v>7000</v>
      </c>
      <c r="E83" s="9">
        <v>8000</v>
      </c>
      <c r="F83" s="16">
        <v>9000</v>
      </c>
      <c r="G83" s="8">
        <v>8000</v>
      </c>
      <c r="H83" s="9">
        <v>9000</v>
      </c>
      <c r="I83" s="16">
        <v>9000</v>
      </c>
      <c r="J83" s="72">
        <v>8000</v>
      </c>
      <c r="K83" s="67">
        <f t="shared" si="1"/>
        <v>8285.7142857142862</v>
      </c>
      <c r="M83" s="4"/>
      <c r="N83" s="4"/>
    </row>
    <row r="84" spans="1:14" ht="15.75" x14ac:dyDescent="0.25">
      <c r="A84" s="17"/>
      <c r="B84" s="66" t="s">
        <v>81</v>
      </c>
      <c r="C84" s="86" t="s">
        <v>82</v>
      </c>
      <c r="D84" s="9">
        <v>1500</v>
      </c>
      <c r="E84" s="9">
        <v>1500</v>
      </c>
      <c r="F84" s="9">
        <v>2000</v>
      </c>
      <c r="G84" s="8">
        <v>2000</v>
      </c>
      <c r="H84" s="9">
        <v>1500</v>
      </c>
      <c r="I84" s="9">
        <v>2000</v>
      </c>
      <c r="J84" s="79">
        <v>1500</v>
      </c>
      <c r="K84" s="67">
        <f t="shared" si="1"/>
        <v>1714.2857142857142</v>
      </c>
      <c r="L84" s="4"/>
      <c r="M84" s="4"/>
      <c r="N84" s="4"/>
    </row>
    <row r="85" spans="1:14" x14ac:dyDescent="0.25">
      <c r="A85" s="17"/>
      <c r="B85" s="66" t="s">
        <v>83</v>
      </c>
      <c r="C85" s="86" t="s">
        <v>82</v>
      </c>
      <c r="D85" s="9">
        <v>1000</v>
      </c>
      <c r="E85" s="9">
        <v>1500</v>
      </c>
      <c r="F85" s="9">
        <v>1500</v>
      </c>
      <c r="G85" s="8">
        <v>2000</v>
      </c>
      <c r="H85" s="9">
        <v>1500</v>
      </c>
      <c r="I85" s="9">
        <v>1500</v>
      </c>
      <c r="J85" s="79">
        <v>1000</v>
      </c>
      <c r="K85" s="67">
        <f t="shared" si="1"/>
        <v>1428.5714285714287</v>
      </c>
    </row>
    <row r="86" spans="1:14" x14ac:dyDescent="0.25">
      <c r="A86" s="17"/>
      <c r="B86" s="66" t="s">
        <v>84</v>
      </c>
      <c r="C86" s="86" t="s">
        <v>82</v>
      </c>
      <c r="D86" s="9" t="s">
        <v>99</v>
      </c>
      <c r="E86" s="9">
        <v>2000</v>
      </c>
      <c r="F86" s="9" t="s">
        <v>99</v>
      </c>
      <c r="G86" s="8" t="s">
        <v>99</v>
      </c>
      <c r="H86" s="9">
        <v>2500</v>
      </c>
      <c r="I86" s="9" t="s">
        <v>99</v>
      </c>
      <c r="J86" s="79">
        <v>2000</v>
      </c>
      <c r="K86" s="67">
        <f t="shared" si="1"/>
        <v>2166.6666666666665</v>
      </c>
    </row>
    <row r="87" spans="1:14" x14ac:dyDescent="0.25">
      <c r="A87" s="17">
        <v>22</v>
      </c>
      <c r="B87" s="60" t="s">
        <v>85</v>
      </c>
      <c r="C87" s="91"/>
      <c r="D87" s="22"/>
      <c r="E87" s="10"/>
      <c r="F87" s="10" t="s">
        <v>102</v>
      </c>
      <c r="G87" s="22"/>
      <c r="H87" s="10"/>
      <c r="I87" s="10"/>
      <c r="J87" s="77"/>
      <c r="K87" s="71"/>
    </row>
    <row r="88" spans="1:14" x14ac:dyDescent="0.25">
      <c r="A88" s="17"/>
      <c r="B88" s="66" t="s">
        <v>86</v>
      </c>
      <c r="C88" s="86" t="s">
        <v>87</v>
      </c>
      <c r="D88" s="9" t="s">
        <v>99</v>
      </c>
      <c r="E88" s="9" t="s">
        <v>99</v>
      </c>
      <c r="F88" s="9">
        <v>18000</v>
      </c>
      <c r="G88" s="8">
        <v>17000</v>
      </c>
      <c r="H88" s="10" t="s">
        <v>99</v>
      </c>
      <c r="I88" s="16">
        <v>18000</v>
      </c>
      <c r="J88" s="79">
        <v>18000</v>
      </c>
      <c r="K88" s="67">
        <f t="shared" si="1"/>
        <v>17750</v>
      </c>
    </row>
  </sheetData>
  <mergeCells count="28">
    <mergeCell ref="A56:A60"/>
    <mergeCell ref="A63:A66"/>
    <mergeCell ref="A33:A35"/>
    <mergeCell ref="A43:A45"/>
    <mergeCell ref="A46:A48"/>
    <mergeCell ref="A52:A53"/>
    <mergeCell ref="A54:A55"/>
    <mergeCell ref="F4:F6"/>
    <mergeCell ref="G4:G6"/>
    <mergeCell ref="A19:A20"/>
    <mergeCell ref="A21:A25"/>
    <mergeCell ref="A26:A32"/>
    <mergeCell ref="A69:A73"/>
    <mergeCell ref="A1:K1"/>
    <mergeCell ref="A2:K2"/>
    <mergeCell ref="A3:K3"/>
    <mergeCell ref="J4:J6"/>
    <mergeCell ref="A4:A6"/>
    <mergeCell ref="B4:B6"/>
    <mergeCell ref="C4:C6"/>
    <mergeCell ref="D4:D6"/>
    <mergeCell ref="E4:E6"/>
    <mergeCell ref="H4:H6"/>
    <mergeCell ref="I4:I6"/>
    <mergeCell ref="K4:K6"/>
    <mergeCell ref="A7:A12"/>
    <mergeCell ref="A13:A15"/>
    <mergeCell ref="A16:A17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8BF32-7777-4C27-B15A-F3E554CE08DA}">
  <dimension ref="A1:N88"/>
  <sheetViews>
    <sheetView workbookViewId="0">
      <selection activeCell="A4" sqref="A4:A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3.37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3.37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3.37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3.37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3.37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3.37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3.37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3.37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3.37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3.37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3.37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3.37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3.37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3.37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3.37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3.37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3.37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3.37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3.37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3.37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3.37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3.37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3.37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3.37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3.37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3.37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3.37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3.37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3.37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3.37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3.37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3.37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3.37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3.37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3.37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3.37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3.37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3.37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3.37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3.37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3.37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3.37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3.37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3.37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3.37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3.37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3.37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3.37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3.37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3.37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3.37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3.37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3.37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3.37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3.37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3.37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3.37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3.37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3.37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3.37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3.37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3.37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3.37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3.37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02" t="s">
        <v>88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M1" s="4"/>
      <c r="N1" s="4"/>
    </row>
    <row r="2" spans="1:14" ht="27.75" customHeight="1" x14ac:dyDescent="0.25">
      <c r="A2" s="103" t="s">
        <v>89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M2" s="4"/>
      <c r="N2" s="4"/>
    </row>
    <row r="3" spans="1:14" ht="27.75" customHeight="1" thickBot="1" x14ac:dyDescent="0.3">
      <c r="A3" s="104" t="s">
        <v>128</v>
      </c>
      <c r="B3" s="104"/>
      <c r="C3" s="104"/>
      <c r="D3" s="104"/>
      <c r="E3" s="104"/>
      <c r="F3" s="104"/>
      <c r="G3" s="104"/>
      <c r="H3" s="104"/>
      <c r="I3" s="104"/>
      <c r="J3" s="104"/>
      <c r="K3" s="105"/>
      <c r="M3" s="4"/>
      <c r="N3" s="4"/>
    </row>
    <row r="4" spans="1:14" ht="25.5" customHeight="1" x14ac:dyDescent="0.25">
      <c r="A4" s="96" t="s">
        <v>1</v>
      </c>
      <c r="B4" s="99" t="s">
        <v>2</v>
      </c>
      <c r="C4" s="96" t="s">
        <v>90</v>
      </c>
      <c r="D4" s="110" t="s">
        <v>91</v>
      </c>
      <c r="E4" s="113" t="s">
        <v>92</v>
      </c>
      <c r="F4" s="125" t="s">
        <v>93</v>
      </c>
      <c r="G4" s="131" t="s">
        <v>94</v>
      </c>
      <c r="H4" s="116" t="s">
        <v>95</v>
      </c>
      <c r="I4" s="119" t="s">
        <v>96</v>
      </c>
      <c r="J4" s="106" t="s">
        <v>97</v>
      </c>
      <c r="K4" s="122" t="s">
        <v>98</v>
      </c>
      <c r="M4" s="4"/>
      <c r="N4" s="4"/>
    </row>
    <row r="5" spans="1:14" ht="15" customHeight="1" x14ac:dyDescent="0.25">
      <c r="A5" s="97"/>
      <c r="B5" s="100"/>
      <c r="C5" s="97"/>
      <c r="D5" s="111"/>
      <c r="E5" s="114"/>
      <c r="F5" s="126"/>
      <c r="G5" s="132"/>
      <c r="H5" s="117"/>
      <c r="I5" s="120"/>
      <c r="J5" s="107"/>
      <c r="K5" s="123"/>
      <c r="M5" s="4"/>
      <c r="N5" s="4"/>
    </row>
    <row r="6" spans="1:14" ht="16.5" thickBot="1" x14ac:dyDescent="0.3">
      <c r="A6" s="98"/>
      <c r="B6" s="109"/>
      <c r="C6" s="98"/>
      <c r="D6" s="112"/>
      <c r="E6" s="115"/>
      <c r="F6" s="127"/>
      <c r="G6" s="133"/>
      <c r="H6" s="118"/>
      <c r="I6" s="121"/>
      <c r="J6" s="108"/>
      <c r="K6" s="124"/>
      <c r="M6" s="4"/>
      <c r="N6" s="4"/>
    </row>
    <row r="7" spans="1:14" ht="15.75" x14ac:dyDescent="0.25">
      <c r="A7" s="101">
        <v>1</v>
      </c>
      <c r="B7" s="60" t="s">
        <v>4</v>
      </c>
      <c r="C7" s="61"/>
      <c r="D7" s="62"/>
      <c r="E7" s="17" t="s">
        <v>102</v>
      </c>
      <c r="F7" s="17"/>
      <c r="G7" s="63"/>
      <c r="H7" s="63" t="s">
        <v>1</v>
      </c>
      <c r="I7" s="64"/>
      <c r="J7" s="63"/>
      <c r="K7" s="65"/>
      <c r="M7" s="4"/>
      <c r="N7" s="4"/>
    </row>
    <row r="8" spans="1:14" ht="15.75" x14ac:dyDescent="0.25">
      <c r="A8" s="101"/>
      <c r="B8" s="66" t="s">
        <v>107</v>
      </c>
      <c r="C8" s="17" t="s">
        <v>6</v>
      </c>
      <c r="D8" s="9">
        <v>14000</v>
      </c>
      <c r="E8" s="9">
        <v>14000</v>
      </c>
      <c r="F8" s="9">
        <v>14100</v>
      </c>
      <c r="G8" s="9">
        <v>14000</v>
      </c>
      <c r="H8" s="9">
        <v>16000</v>
      </c>
      <c r="I8" s="9">
        <v>14000</v>
      </c>
      <c r="J8" s="16">
        <v>14000</v>
      </c>
      <c r="K8" s="67">
        <f>AVERAGE(D8:J8)</f>
        <v>14300</v>
      </c>
      <c r="L8" s="1"/>
      <c r="M8" s="7"/>
      <c r="N8" s="4"/>
    </row>
    <row r="9" spans="1:14" ht="15.75" x14ac:dyDescent="0.25">
      <c r="A9" s="101"/>
      <c r="B9" s="66" t="s">
        <v>115</v>
      </c>
      <c r="C9" s="17" t="s">
        <v>6</v>
      </c>
      <c r="D9" s="9">
        <v>10900</v>
      </c>
      <c r="E9" s="9">
        <v>10900</v>
      </c>
      <c r="F9" s="9">
        <v>10900</v>
      </c>
      <c r="G9" s="8">
        <v>10900</v>
      </c>
      <c r="H9" s="9">
        <v>12000</v>
      </c>
      <c r="I9" s="9">
        <v>10900</v>
      </c>
      <c r="J9" s="16" t="s">
        <v>99</v>
      </c>
      <c r="K9" s="67">
        <f t="shared" ref="K9:K80" si="0">AVERAGE(D9:J9)</f>
        <v>11083.333333333334</v>
      </c>
      <c r="M9" s="4"/>
      <c r="N9" s="4"/>
    </row>
    <row r="10" spans="1:14" ht="15.75" x14ac:dyDescent="0.25">
      <c r="A10" s="101"/>
      <c r="B10" s="66" t="s">
        <v>108</v>
      </c>
      <c r="C10" s="17" t="s">
        <v>6</v>
      </c>
      <c r="D10" s="9" t="s">
        <v>99</v>
      </c>
      <c r="E10" s="9" t="s">
        <v>99</v>
      </c>
      <c r="F10" s="9" t="s">
        <v>99</v>
      </c>
      <c r="G10" s="8" t="s">
        <v>99</v>
      </c>
      <c r="H10" s="9" t="s">
        <v>99</v>
      </c>
      <c r="I10" s="9" t="s">
        <v>99</v>
      </c>
      <c r="J10" s="16" t="s">
        <v>99</v>
      </c>
      <c r="K10" s="67">
        <v>0</v>
      </c>
      <c r="M10" s="4"/>
      <c r="N10" s="4"/>
    </row>
    <row r="11" spans="1:14" ht="15.75" x14ac:dyDescent="0.25">
      <c r="A11" s="101"/>
      <c r="B11" s="66" t="s">
        <v>9</v>
      </c>
      <c r="C11" s="17" t="s">
        <v>6</v>
      </c>
      <c r="D11" s="9" t="s">
        <v>99</v>
      </c>
      <c r="E11" s="9">
        <v>10000</v>
      </c>
      <c r="F11" s="16">
        <v>12000</v>
      </c>
      <c r="G11" s="8">
        <v>10000</v>
      </c>
      <c r="H11" s="9">
        <v>10000</v>
      </c>
      <c r="I11" s="16">
        <v>12000</v>
      </c>
      <c r="J11" s="16">
        <v>10000</v>
      </c>
      <c r="K11" s="67">
        <f>AVERAGE(D11:J11)</f>
        <v>10666.666666666666</v>
      </c>
      <c r="M11" s="4"/>
      <c r="N11" s="4"/>
    </row>
    <row r="12" spans="1:14" ht="15.75" x14ac:dyDescent="0.25">
      <c r="A12" s="101"/>
      <c r="B12" s="66" t="s">
        <v>10</v>
      </c>
      <c r="C12" s="17" t="s">
        <v>6</v>
      </c>
      <c r="D12" s="9" t="s">
        <v>99</v>
      </c>
      <c r="E12" s="9">
        <v>21000</v>
      </c>
      <c r="F12" s="16">
        <v>16000</v>
      </c>
      <c r="G12" s="8">
        <v>18000</v>
      </c>
      <c r="H12" s="9">
        <v>25000</v>
      </c>
      <c r="I12" s="16">
        <v>17000</v>
      </c>
      <c r="J12" s="16">
        <v>17000</v>
      </c>
      <c r="K12" s="67">
        <f t="shared" si="0"/>
        <v>19000</v>
      </c>
      <c r="M12" s="4"/>
      <c r="N12" s="4"/>
    </row>
    <row r="13" spans="1:14" ht="15.75" x14ac:dyDescent="0.25">
      <c r="A13" s="101">
        <v>2</v>
      </c>
      <c r="B13" s="60" t="s">
        <v>11</v>
      </c>
      <c r="C13" s="68"/>
      <c r="D13" s="62"/>
      <c r="E13" s="69"/>
      <c r="F13" s="17"/>
      <c r="G13" s="70"/>
      <c r="H13" s="70"/>
      <c r="I13" s="70"/>
      <c r="J13" s="70"/>
      <c r="K13" s="71"/>
      <c r="M13" s="4"/>
      <c r="N13" s="12"/>
    </row>
    <row r="14" spans="1:14" ht="15.75" x14ac:dyDescent="0.25">
      <c r="A14" s="101"/>
      <c r="B14" s="66" t="s">
        <v>116</v>
      </c>
      <c r="C14" s="17" t="s">
        <v>6</v>
      </c>
      <c r="D14" s="9">
        <v>16000</v>
      </c>
      <c r="E14" s="9">
        <v>16000</v>
      </c>
      <c r="F14" s="9">
        <v>16000</v>
      </c>
      <c r="G14" s="16">
        <v>16000</v>
      </c>
      <c r="H14" s="9">
        <v>16500</v>
      </c>
      <c r="I14" s="9">
        <v>16500</v>
      </c>
      <c r="J14" s="72">
        <v>16500</v>
      </c>
      <c r="K14" s="67">
        <f t="shared" si="0"/>
        <v>16214.285714285714</v>
      </c>
      <c r="M14" s="4"/>
      <c r="N14" s="4"/>
    </row>
    <row r="15" spans="1:14" ht="15.75" x14ac:dyDescent="0.25">
      <c r="A15" s="101"/>
      <c r="B15" s="66" t="s">
        <v>13</v>
      </c>
      <c r="C15" s="17" t="s">
        <v>6</v>
      </c>
      <c r="D15" s="9">
        <v>17000</v>
      </c>
      <c r="E15" s="9">
        <v>16000</v>
      </c>
      <c r="F15" s="16">
        <v>16000</v>
      </c>
      <c r="G15" s="8">
        <v>16000</v>
      </c>
      <c r="H15" s="9">
        <v>17000</v>
      </c>
      <c r="I15" s="9">
        <v>16000</v>
      </c>
      <c r="J15" s="72">
        <v>18000</v>
      </c>
      <c r="K15" s="67">
        <f>AVERAGE(D15:J15)</f>
        <v>16571.428571428572</v>
      </c>
      <c r="M15" s="4"/>
      <c r="N15" s="4"/>
    </row>
    <row r="16" spans="1:14" ht="15.75" x14ac:dyDescent="0.25">
      <c r="A16" s="101">
        <v>3</v>
      </c>
      <c r="B16" s="60" t="s">
        <v>14</v>
      </c>
      <c r="C16" s="73"/>
      <c r="D16" s="74"/>
      <c r="E16" s="15"/>
      <c r="F16" s="15"/>
      <c r="G16" s="15"/>
      <c r="H16" s="15"/>
      <c r="I16" s="15"/>
      <c r="J16" s="75"/>
      <c r="K16" s="71"/>
      <c r="M16" s="4"/>
      <c r="N16" s="4"/>
    </row>
    <row r="17" spans="1:14" ht="15.75" x14ac:dyDescent="0.25">
      <c r="A17" s="101"/>
      <c r="B17" s="66" t="s">
        <v>15</v>
      </c>
      <c r="C17" s="17" t="s">
        <v>6</v>
      </c>
      <c r="D17" s="9">
        <v>15000</v>
      </c>
      <c r="E17" s="9">
        <v>15000</v>
      </c>
      <c r="F17" s="9">
        <v>14000</v>
      </c>
      <c r="G17" s="9">
        <v>15000</v>
      </c>
      <c r="H17" s="9">
        <v>16000</v>
      </c>
      <c r="I17" s="9">
        <v>16000</v>
      </c>
      <c r="J17" s="72">
        <v>16000</v>
      </c>
      <c r="K17" s="67">
        <f t="shared" si="0"/>
        <v>15285.714285714286</v>
      </c>
      <c r="M17" s="4"/>
      <c r="N17" s="4"/>
    </row>
    <row r="18" spans="1:14" ht="15.75" x14ac:dyDescent="0.25">
      <c r="A18" s="59"/>
      <c r="B18" s="66" t="s">
        <v>109</v>
      </c>
      <c r="C18" s="17" t="s">
        <v>110</v>
      </c>
      <c r="D18" s="9">
        <v>14000</v>
      </c>
      <c r="E18" s="9">
        <v>14000</v>
      </c>
      <c r="F18" s="9">
        <v>14000</v>
      </c>
      <c r="G18" s="9">
        <v>14000</v>
      </c>
      <c r="H18" s="9" t="s">
        <v>99</v>
      </c>
      <c r="I18" s="9">
        <v>14000</v>
      </c>
      <c r="J18" s="72">
        <v>14000</v>
      </c>
      <c r="K18" s="67">
        <f t="shared" si="0"/>
        <v>14000</v>
      </c>
      <c r="M18" s="4"/>
      <c r="N18" s="4"/>
    </row>
    <row r="19" spans="1:14" ht="17.25" customHeight="1" x14ac:dyDescent="0.25">
      <c r="A19" s="101">
        <v>4</v>
      </c>
      <c r="B19" s="60" t="s">
        <v>16</v>
      </c>
      <c r="C19" s="73"/>
      <c r="D19" s="74"/>
      <c r="E19" s="15"/>
      <c r="F19" s="15"/>
      <c r="G19" s="76"/>
      <c r="H19" s="15"/>
      <c r="I19" s="15"/>
      <c r="J19" s="75"/>
      <c r="K19" s="71"/>
      <c r="M19" s="4"/>
      <c r="N19" s="4"/>
    </row>
    <row r="20" spans="1:14" ht="15.75" x14ac:dyDescent="0.25">
      <c r="A20" s="101"/>
      <c r="B20" s="66" t="s">
        <v>17</v>
      </c>
      <c r="C20" s="17" t="s">
        <v>6</v>
      </c>
      <c r="D20" s="9">
        <v>20000</v>
      </c>
      <c r="E20" s="9">
        <v>20000</v>
      </c>
      <c r="F20" s="16">
        <v>20000</v>
      </c>
      <c r="G20" s="8">
        <v>22000</v>
      </c>
      <c r="H20" s="16">
        <v>33000</v>
      </c>
      <c r="I20" s="16">
        <v>20000</v>
      </c>
      <c r="J20" s="77" t="s">
        <v>99</v>
      </c>
      <c r="K20" s="67">
        <f t="shared" si="0"/>
        <v>22500</v>
      </c>
      <c r="M20" s="4"/>
      <c r="N20" s="4"/>
    </row>
    <row r="21" spans="1:14" ht="15.75" x14ac:dyDescent="0.25">
      <c r="A21" s="101">
        <v>5</v>
      </c>
      <c r="B21" s="60" t="s">
        <v>18</v>
      </c>
      <c r="C21" s="73"/>
      <c r="D21" s="74"/>
      <c r="E21" s="17"/>
      <c r="F21" s="15" t="s">
        <v>1</v>
      </c>
      <c r="G21" s="76"/>
      <c r="H21" s="15"/>
      <c r="I21" s="15"/>
      <c r="J21" s="75"/>
      <c r="K21" s="71"/>
      <c r="M21" s="4"/>
      <c r="N21" s="4"/>
    </row>
    <row r="22" spans="1:14" ht="15.75" x14ac:dyDescent="0.25">
      <c r="A22" s="101"/>
      <c r="B22" s="66" t="s">
        <v>19</v>
      </c>
      <c r="C22" s="17" t="s">
        <v>6</v>
      </c>
      <c r="D22" s="9">
        <v>120000</v>
      </c>
      <c r="E22" s="9">
        <v>120000</v>
      </c>
      <c r="F22" s="9">
        <v>120000</v>
      </c>
      <c r="G22" s="9">
        <v>120000</v>
      </c>
      <c r="H22" s="9">
        <v>120000</v>
      </c>
      <c r="I22" s="8">
        <v>120000</v>
      </c>
      <c r="J22" s="72" t="s">
        <v>99</v>
      </c>
      <c r="K22" s="67">
        <f t="shared" si="0"/>
        <v>120000</v>
      </c>
      <c r="M22" s="4"/>
      <c r="N22" s="4"/>
    </row>
    <row r="23" spans="1:14" ht="15.75" x14ac:dyDescent="0.25">
      <c r="A23" s="101"/>
      <c r="B23" s="66" t="s">
        <v>20</v>
      </c>
      <c r="C23" s="17" t="s">
        <v>6</v>
      </c>
      <c r="D23" s="9">
        <v>110000</v>
      </c>
      <c r="E23" s="9">
        <v>110000</v>
      </c>
      <c r="F23" s="9">
        <v>110000</v>
      </c>
      <c r="G23" s="9">
        <v>110000</v>
      </c>
      <c r="H23" s="9">
        <v>115000</v>
      </c>
      <c r="I23" s="9">
        <v>110000</v>
      </c>
      <c r="J23" s="72">
        <v>110000</v>
      </c>
      <c r="K23" s="67">
        <f t="shared" si="0"/>
        <v>110714.28571428571</v>
      </c>
      <c r="M23" s="4"/>
      <c r="N23" s="4"/>
    </row>
    <row r="24" spans="1:14" ht="15.75" x14ac:dyDescent="0.25">
      <c r="A24" s="101"/>
      <c r="B24" s="66" t="s">
        <v>21</v>
      </c>
      <c r="C24" s="17" t="s">
        <v>6</v>
      </c>
      <c r="D24" s="9">
        <v>90000</v>
      </c>
      <c r="E24" s="9">
        <v>90000</v>
      </c>
      <c r="F24" s="9">
        <v>100000</v>
      </c>
      <c r="G24" s="9">
        <v>105000</v>
      </c>
      <c r="H24" s="9">
        <v>110000</v>
      </c>
      <c r="I24" s="8">
        <v>100000</v>
      </c>
      <c r="J24" s="72">
        <v>105000</v>
      </c>
      <c r="K24" s="67">
        <f t="shared" si="0"/>
        <v>100000</v>
      </c>
      <c r="M24" s="4"/>
      <c r="N24" s="4"/>
    </row>
    <row r="25" spans="1:14" ht="15.75" x14ac:dyDescent="0.25">
      <c r="A25" s="101"/>
      <c r="B25" s="66" t="s">
        <v>22</v>
      </c>
      <c r="C25" s="17" t="s">
        <v>6</v>
      </c>
      <c r="D25" s="9">
        <v>32000</v>
      </c>
      <c r="E25" s="9">
        <v>31000</v>
      </c>
      <c r="F25" s="9">
        <v>31000</v>
      </c>
      <c r="G25" s="9">
        <v>31000</v>
      </c>
      <c r="H25" s="72">
        <v>32000</v>
      </c>
      <c r="I25" s="9">
        <v>32000</v>
      </c>
      <c r="J25" s="72">
        <v>33000</v>
      </c>
      <c r="K25" s="67">
        <f t="shared" si="0"/>
        <v>31714.285714285714</v>
      </c>
      <c r="M25" s="4"/>
      <c r="N25" s="4"/>
    </row>
    <row r="26" spans="1:14" ht="15.75" x14ac:dyDescent="0.25">
      <c r="A26" s="101">
        <v>6</v>
      </c>
      <c r="B26" s="60" t="s">
        <v>23</v>
      </c>
      <c r="C26" s="73"/>
      <c r="D26" s="74"/>
      <c r="E26" s="17"/>
      <c r="F26" s="76"/>
      <c r="G26" s="15"/>
      <c r="H26" s="75"/>
      <c r="I26" s="15"/>
      <c r="J26" s="75"/>
      <c r="K26" s="71"/>
      <c r="M26" s="4"/>
      <c r="N26" s="4"/>
    </row>
    <row r="27" spans="1:14" ht="15.75" x14ac:dyDescent="0.25">
      <c r="A27" s="101"/>
      <c r="B27" s="66" t="s">
        <v>24</v>
      </c>
      <c r="C27" s="17" t="s">
        <v>6</v>
      </c>
      <c r="D27" s="9">
        <v>35000</v>
      </c>
      <c r="E27" s="9">
        <v>35000</v>
      </c>
      <c r="F27" s="9" t="s">
        <v>99</v>
      </c>
      <c r="G27" s="9">
        <v>40000</v>
      </c>
      <c r="H27" s="9">
        <v>28000</v>
      </c>
      <c r="I27" s="9" t="s">
        <v>99</v>
      </c>
      <c r="J27" s="72">
        <v>30000</v>
      </c>
      <c r="K27" s="67">
        <f t="shared" si="0"/>
        <v>33600</v>
      </c>
      <c r="L27" t="s">
        <v>100</v>
      </c>
      <c r="M27" s="4"/>
      <c r="N27" s="4"/>
    </row>
    <row r="28" spans="1:14" ht="15.75" x14ac:dyDescent="0.25">
      <c r="A28" s="101"/>
      <c r="B28" s="66" t="s">
        <v>25</v>
      </c>
      <c r="C28" s="17" t="s">
        <v>6</v>
      </c>
      <c r="D28" s="9">
        <v>35000</v>
      </c>
      <c r="E28" s="9">
        <v>28000</v>
      </c>
      <c r="F28" s="9">
        <v>35000</v>
      </c>
      <c r="G28" s="8">
        <v>30000</v>
      </c>
      <c r="H28" s="9">
        <v>20000</v>
      </c>
      <c r="I28" s="9">
        <v>32000</v>
      </c>
      <c r="J28" s="78">
        <v>32000</v>
      </c>
      <c r="K28" s="67">
        <f t="shared" si="0"/>
        <v>30285.714285714286</v>
      </c>
      <c r="M28" s="4"/>
      <c r="N28" s="4"/>
    </row>
    <row r="29" spans="1:14" ht="15.75" x14ac:dyDescent="0.25">
      <c r="A29" s="101"/>
      <c r="B29" s="66" t="s">
        <v>26</v>
      </c>
      <c r="C29" s="17" t="s">
        <v>6</v>
      </c>
      <c r="D29" s="9">
        <v>60000</v>
      </c>
      <c r="E29" s="9">
        <v>60000</v>
      </c>
      <c r="F29" s="16">
        <v>60000</v>
      </c>
      <c r="G29" s="8">
        <v>70000</v>
      </c>
      <c r="H29" s="9">
        <v>63000</v>
      </c>
      <c r="I29" s="9">
        <v>60000</v>
      </c>
      <c r="J29" s="79">
        <v>60000</v>
      </c>
      <c r="K29" s="67">
        <f t="shared" si="0"/>
        <v>61857.142857142855</v>
      </c>
      <c r="M29" s="4"/>
      <c r="N29" s="4"/>
    </row>
    <row r="30" spans="1:14" ht="15.75" x14ac:dyDescent="0.25">
      <c r="A30" s="101"/>
      <c r="B30" s="66" t="s">
        <v>27</v>
      </c>
      <c r="C30" s="17" t="s">
        <v>6</v>
      </c>
      <c r="D30" s="9">
        <v>25000</v>
      </c>
      <c r="E30" s="9" t="s">
        <v>99</v>
      </c>
      <c r="F30" s="10" t="s">
        <v>99</v>
      </c>
      <c r="G30" s="8">
        <v>25000</v>
      </c>
      <c r="H30" s="9">
        <v>23000</v>
      </c>
      <c r="I30" s="9" t="s">
        <v>99</v>
      </c>
      <c r="J30" s="79">
        <v>26000</v>
      </c>
      <c r="K30" s="67">
        <f t="shared" si="0"/>
        <v>24750</v>
      </c>
      <c r="M30" s="4"/>
      <c r="N30" s="4"/>
    </row>
    <row r="31" spans="1:14" ht="15.75" x14ac:dyDescent="0.25">
      <c r="A31" s="101"/>
      <c r="B31" s="66" t="s">
        <v>28</v>
      </c>
      <c r="C31" s="17" t="s">
        <v>6</v>
      </c>
      <c r="D31" s="9">
        <v>35000</v>
      </c>
      <c r="E31" s="9">
        <v>36000</v>
      </c>
      <c r="F31" s="9">
        <v>40000</v>
      </c>
      <c r="G31" s="9">
        <v>40000</v>
      </c>
      <c r="H31" s="9">
        <v>28000</v>
      </c>
      <c r="I31" s="9">
        <v>40000</v>
      </c>
      <c r="J31" s="72">
        <v>35000</v>
      </c>
      <c r="K31" s="67">
        <f t="shared" si="0"/>
        <v>36285.714285714283</v>
      </c>
      <c r="M31" s="4"/>
      <c r="N31" s="4"/>
    </row>
    <row r="32" spans="1:14" ht="15.75" x14ac:dyDescent="0.25">
      <c r="A32" s="101"/>
      <c r="B32" s="66" t="s">
        <v>29</v>
      </c>
      <c r="C32" s="17" t="s">
        <v>6</v>
      </c>
      <c r="D32" s="9" t="s">
        <v>99</v>
      </c>
      <c r="E32" s="9">
        <v>100000</v>
      </c>
      <c r="F32" s="9">
        <v>100000</v>
      </c>
      <c r="G32" s="9" t="s">
        <v>99</v>
      </c>
      <c r="H32" s="9">
        <v>80000</v>
      </c>
      <c r="I32" s="9" t="s">
        <v>99</v>
      </c>
      <c r="J32" s="79">
        <v>70000</v>
      </c>
      <c r="K32" s="67">
        <f t="shared" si="0"/>
        <v>87500</v>
      </c>
      <c r="M32" s="4"/>
      <c r="N32" s="4"/>
    </row>
    <row r="33" spans="1:14" ht="15.75" x14ac:dyDescent="0.25">
      <c r="A33" s="101">
        <v>7</v>
      </c>
      <c r="B33" s="60" t="s">
        <v>30</v>
      </c>
      <c r="C33" s="73"/>
      <c r="D33" s="74"/>
      <c r="E33" s="17"/>
      <c r="F33" s="76"/>
      <c r="G33" s="76"/>
      <c r="H33" s="15"/>
      <c r="I33" s="15"/>
      <c r="J33" s="75"/>
      <c r="K33" s="71"/>
      <c r="M33" s="4"/>
      <c r="N33" s="4"/>
    </row>
    <row r="34" spans="1:14" ht="15.75" x14ac:dyDescent="0.25">
      <c r="A34" s="101"/>
      <c r="B34" s="66" t="s">
        <v>31</v>
      </c>
      <c r="C34" s="17" t="s">
        <v>6</v>
      </c>
      <c r="D34" s="9">
        <v>26000</v>
      </c>
      <c r="E34" s="9">
        <v>26000</v>
      </c>
      <c r="F34" s="9">
        <v>26000</v>
      </c>
      <c r="G34" s="9">
        <v>26000</v>
      </c>
      <c r="H34" s="9">
        <v>26000</v>
      </c>
      <c r="I34" s="9">
        <v>26000</v>
      </c>
      <c r="J34" s="72">
        <v>26000</v>
      </c>
      <c r="K34" s="67">
        <f t="shared" si="0"/>
        <v>26000</v>
      </c>
      <c r="M34" s="4"/>
      <c r="N34" s="4"/>
    </row>
    <row r="35" spans="1:14" ht="15.75" x14ac:dyDescent="0.25">
      <c r="A35" s="101"/>
      <c r="B35" s="66" t="s">
        <v>32</v>
      </c>
      <c r="C35" s="17" t="s">
        <v>33</v>
      </c>
      <c r="D35" s="9">
        <v>3000</v>
      </c>
      <c r="E35" s="9">
        <v>2500</v>
      </c>
      <c r="F35" s="9">
        <v>2500</v>
      </c>
      <c r="G35" s="9">
        <v>2800</v>
      </c>
      <c r="H35" s="9">
        <v>2500</v>
      </c>
      <c r="I35" s="9">
        <v>3000</v>
      </c>
      <c r="J35" s="72">
        <v>3000</v>
      </c>
      <c r="K35" s="67">
        <f t="shared" si="0"/>
        <v>2757.1428571428573</v>
      </c>
      <c r="M35" s="4"/>
      <c r="N35" s="4"/>
    </row>
    <row r="36" spans="1:14" ht="15.75" x14ac:dyDescent="0.25">
      <c r="A36" s="59">
        <v>8</v>
      </c>
      <c r="B36" s="73" t="s">
        <v>117</v>
      </c>
      <c r="C36" s="80"/>
      <c r="D36" s="9"/>
      <c r="E36" s="9"/>
      <c r="F36" s="9"/>
      <c r="G36" s="9"/>
      <c r="H36" s="9"/>
      <c r="I36" s="9"/>
      <c r="J36" s="72"/>
      <c r="K36" s="81"/>
      <c r="M36" s="4"/>
      <c r="N36" s="4"/>
    </row>
    <row r="37" spans="1:14" ht="15.75" x14ac:dyDescent="0.25">
      <c r="A37" s="59"/>
      <c r="B37" s="66" t="s">
        <v>118</v>
      </c>
      <c r="C37" s="17" t="s">
        <v>6</v>
      </c>
      <c r="D37" s="9">
        <v>10000</v>
      </c>
      <c r="E37" s="9">
        <v>1250</v>
      </c>
      <c r="F37" s="9">
        <v>9000</v>
      </c>
      <c r="G37" s="9">
        <v>9000</v>
      </c>
      <c r="H37" s="9">
        <v>16000</v>
      </c>
      <c r="I37" s="9">
        <v>9000</v>
      </c>
      <c r="J37" s="72">
        <v>3000</v>
      </c>
      <c r="K37" s="67">
        <f t="shared" si="0"/>
        <v>8178.5714285714284</v>
      </c>
      <c r="M37" s="4"/>
      <c r="N37" s="4"/>
    </row>
    <row r="38" spans="1:14" ht="15.75" x14ac:dyDescent="0.25">
      <c r="A38" s="59"/>
      <c r="B38" s="66" t="s">
        <v>119</v>
      </c>
      <c r="C38" s="17" t="s">
        <v>6</v>
      </c>
      <c r="D38" s="9" t="s">
        <v>99</v>
      </c>
      <c r="E38" s="9">
        <v>10000</v>
      </c>
      <c r="F38" s="9">
        <v>12000</v>
      </c>
      <c r="G38" s="9">
        <v>14000</v>
      </c>
      <c r="H38" s="9" t="s">
        <v>99</v>
      </c>
      <c r="I38" s="9">
        <v>12000</v>
      </c>
      <c r="J38" s="72">
        <v>12000</v>
      </c>
      <c r="K38" s="67">
        <f>AVERAGE(D38:J38)</f>
        <v>12000</v>
      </c>
      <c r="M38" s="4"/>
      <c r="N38" s="4"/>
    </row>
    <row r="39" spans="1:14" ht="15.75" x14ac:dyDescent="0.25">
      <c r="A39" s="59">
        <v>9</v>
      </c>
      <c r="B39" s="82" t="s">
        <v>120</v>
      </c>
      <c r="C39" s="83"/>
      <c r="D39" s="9"/>
      <c r="E39" s="9"/>
      <c r="F39" s="9"/>
      <c r="G39" s="9"/>
      <c r="H39" s="9"/>
      <c r="I39" s="9"/>
      <c r="J39" s="72"/>
      <c r="K39" s="81"/>
      <c r="M39" s="4"/>
      <c r="N39" s="4"/>
    </row>
    <row r="40" spans="1:14" ht="15.75" x14ac:dyDescent="0.25">
      <c r="A40" s="59"/>
      <c r="B40" s="66" t="s">
        <v>121</v>
      </c>
      <c r="C40" s="17" t="s">
        <v>6</v>
      </c>
      <c r="D40" s="9" t="s">
        <v>99</v>
      </c>
      <c r="E40" s="9" t="s">
        <v>99</v>
      </c>
      <c r="F40" s="9" t="s">
        <v>99</v>
      </c>
      <c r="G40" s="9">
        <v>16000</v>
      </c>
      <c r="H40" s="9">
        <v>14000</v>
      </c>
      <c r="I40" s="9" t="s">
        <v>99</v>
      </c>
      <c r="J40" s="72">
        <v>15000</v>
      </c>
      <c r="K40" s="67">
        <f t="shared" si="0"/>
        <v>15000</v>
      </c>
      <c r="M40" s="4"/>
      <c r="N40" s="4"/>
    </row>
    <row r="41" spans="1:14" ht="15.75" x14ac:dyDescent="0.25">
      <c r="A41" s="59"/>
      <c r="B41" s="66" t="s">
        <v>122</v>
      </c>
      <c r="C41" s="17" t="s">
        <v>6</v>
      </c>
      <c r="D41" s="9" t="s">
        <v>99</v>
      </c>
      <c r="E41" s="9" t="s">
        <v>99</v>
      </c>
      <c r="F41" s="9">
        <v>6000</v>
      </c>
      <c r="G41" s="9" t="s">
        <v>99</v>
      </c>
      <c r="H41" s="9" t="s">
        <v>99</v>
      </c>
      <c r="I41" s="9">
        <v>6000</v>
      </c>
      <c r="J41" s="72" t="s">
        <v>99</v>
      </c>
      <c r="K41" s="67">
        <f t="shared" si="0"/>
        <v>6000</v>
      </c>
      <c r="M41" s="4"/>
      <c r="N41" s="4"/>
    </row>
    <row r="42" spans="1:14" ht="15.75" x14ac:dyDescent="0.25">
      <c r="A42" s="59"/>
      <c r="B42" s="66" t="s">
        <v>123</v>
      </c>
      <c r="C42" s="17" t="s">
        <v>6</v>
      </c>
      <c r="D42" s="9" t="s">
        <v>99</v>
      </c>
      <c r="E42" s="9">
        <v>2500</v>
      </c>
      <c r="F42" s="9" t="s">
        <v>99</v>
      </c>
      <c r="G42" s="9" t="s">
        <v>99</v>
      </c>
      <c r="H42" s="9" t="s">
        <v>99</v>
      </c>
      <c r="I42" s="9" t="s">
        <v>99</v>
      </c>
      <c r="J42" s="72" t="s">
        <v>99</v>
      </c>
      <c r="K42" s="67">
        <f t="shared" si="0"/>
        <v>2500</v>
      </c>
      <c r="M42" s="4"/>
      <c r="N42" s="4"/>
    </row>
    <row r="43" spans="1:14" ht="15.75" x14ac:dyDescent="0.25">
      <c r="A43" s="101">
        <v>10</v>
      </c>
      <c r="B43" s="60" t="s">
        <v>34</v>
      </c>
      <c r="C43" s="73"/>
      <c r="D43" s="74"/>
      <c r="E43" s="17"/>
      <c r="F43" s="76"/>
      <c r="G43" s="15"/>
      <c r="H43" s="15"/>
      <c r="I43" s="15"/>
      <c r="J43" s="84"/>
      <c r="K43" s="71"/>
      <c r="M43" s="4"/>
      <c r="N43" s="4"/>
    </row>
    <row r="44" spans="1:14" ht="15.75" x14ac:dyDescent="0.25">
      <c r="A44" s="101"/>
      <c r="B44" s="66" t="s">
        <v>35</v>
      </c>
      <c r="C44" s="17" t="s">
        <v>36</v>
      </c>
      <c r="D44" s="9">
        <v>12000</v>
      </c>
      <c r="E44" s="9">
        <v>12000</v>
      </c>
      <c r="F44" s="9">
        <v>12500</v>
      </c>
      <c r="G44" s="9">
        <v>12500</v>
      </c>
      <c r="H44" s="10" t="s">
        <v>99</v>
      </c>
      <c r="I44" s="16">
        <v>12500</v>
      </c>
      <c r="J44" s="72">
        <v>12500</v>
      </c>
      <c r="K44" s="67">
        <f t="shared" si="0"/>
        <v>12333.333333333334</v>
      </c>
      <c r="M44" s="4"/>
      <c r="N44" s="4"/>
    </row>
    <row r="45" spans="1:14" ht="15.75" x14ac:dyDescent="0.25">
      <c r="A45" s="101"/>
      <c r="B45" s="66" t="s">
        <v>124</v>
      </c>
      <c r="C45" s="17" t="s">
        <v>36</v>
      </c>
      <c r="D45" s="9">
        <v>12000</v>
      </c>
      <c r="E45" s="9">
        <v>13000</v>
      </c>
      <c r="F45" s="16">
        <v>12500</v>
      </c>
      <c r="G45" s="9">
        <v>12500</v>
      </c>
      <c r="H45" s="10" t="s">
        <v>99</v>
      </c>
      <c r="I45" s="16">
        <v>12500</v>
      </c>
      <c r="J45" s="79">
        <v>12500</v>
      </c>
      <c r="K45" s="67">
        <f>AVERAGE(D45:J45)</f>
        <v>12500</v>
      </c>
      <c r="M45" s="4"/>
      <c r="N45" s="4"/>
    </row>
    <row r="46" spans="1:14" ht="15.75" x14ac:dyDescent="0.25">
      <c r="A46" s="101">
        <v>11</v>
      </c>
      <c r="B46" s="60" t="s">
        <v>38</v>
      </c>
      <c r="C46" s="73"/>
      <c r="D46" s="74"/>
      <c r="E46" s="17"/>
      <c r="F46" s="15"/>
      <c r="G46" s="76"/>
      <c r="H46" s="15"/>
      <c r="I46" s="15"/>
      <c r="J46" s="75"/>
      <c r="K46" s="71"/>
      <c r="M46" s="4"/>
      <c r="N46" s="4"/>
    </row>
    <row r="47" spans="1:14" ht="15.75" x14ac:dyDescent="0.25">
      <c r="A47" s="101"/>
      <c r="B47" s="66" t="s">
        <v>39</v>
      </c>
      <c r="C47" s="17" t="s">
        <v>40</v>
      </c>
      <c r="D47" s="9" t="s">
        <v>99</v>
      </c>
      <c r="E47" s="9" t="s">
        <v>99</v>
      </c>
      <c r="F47" s="10" t="s">
        <v>99</v>
      </c>
      <c r="G47" s="8" t="s">
        <v>99</v>
      </c>
      <c r="H47" s="9">
        <v>17500</v>
      </c>
      <c r="I47" s="16" t="s">
        <v>99</v>
      </c>
      <c r="J47" s="79" t="s">
        <v>99</v>
      </c>
      <c r="K47" s="67">
        <f t="shared" si="0"/>
        <v>17500</v>
      </c>
      <c r="M47" s="4"/>
      <c r="N47" s="4"/>
    </row>
    <row r="48" spans="1:14" ht="15.75" x14ac:dyDescent="0.25">
      <c r="A48" s="101"/>
      <c r="B48" s="66" t="s">
        <v>41</v>
      </c>
      <c r="C48" s="17" t="s">
        <v>42</v>
      </c>
      <c r="D48" s="9" t="s">
        <v>99</v>
      </c>
      <c r="E48" s="9" t="s">
        <v>99</v>
      </c>
      <c r="F48" s="10" t="s">
        <v>99</v>
      </c>
      <c r="G48" s="8" t="s">
        <v>99</v>
      </c>
      <c r="H48" s="9">
        <v>2000</v>
      </c>
      <c r="I48" s="16" t="s">
        <v>99</v>
      </c>
      <c r="J48" s="79" t="s">
        <v>99</v>
      </c>
      <c r="K48" s="67">
        <f t="shared" si="0"/>
        <v>2000</v>
      </c>
      <c r="M48" s="4"/>
      <c r="N48" s="4"/>
    </row>
    <row r="49" spans="1:14" ht="15.75" x14ac:dyDescent="0.25">
      <c r="A49" s="59">
        <v>12</v>
      </c>
      <c r="B49" s="85" t="s">
        <v>43</v>
      </c>
      <c r="C49" s="80"/>
      <c r="D49" s="19"/>
      <c r="E49" s="10"/>
      <c r="F49" s="10"/>
      <c r="G49" s="22"/>
      <c r="H49" s="10"/>
      <c r="I49" s="10"/>
      <c r="J49" s="77"/>
      <c r="K49" s="71"/>
      <c r="M49" s="4"/>
      <c r="N49" s="4"/>
    </row>
    <row r="50" spans="1:14" ht="15.75" x14ac:dyDescent="0.25">
      <c r="A50" s="59"/>
      <c r="B50" s="66" t="s">
        <v>44</v>
      </c>
      <c r="C50" s="86" t="s">
        <v>6</v>
      </c>
      <c r="D50" s="9" t="s">
        <v>99</v>
      </c>
      <c r="E50" s="9">
        <v>8000</v>
      </c>
      <c r="F50" s="9">
        <v>10000</v>
      </c>
      <c r="G50" s="9">
        <v>10000</v>
      </c>
      <c r="H50" s="9">
        <v>15000</v>
      </c>
      <c r="I50" s="8">
        <v>15000</v>
      </c>
      <c r="J50" s="72">
        <v>15000</v>
      </c>
      <c r="K50" s="67">
        <f t="shared" si="0"/>
        <v>12166.666666666666</v>
      </c>
      <c r="M50" s="4" t="s">
        <v>101</v>
      </c>
      <c r="N50" s="4"/>
    </row>
    <row r="51" spans="1:14" ht="15.75" x14ac:dyDescent="0.25">
      <c r="A51" s="59"/>
      <c r="B51" s="66" t="s">
        <v>45</v>
      </c>
      <c r="C51" s="86" t="s">
        <v>6</v>
      </c>
      <c r="D51" s="9">
        <v>10000</v>
      </c>
      <c r="E51" s="9">
        <v>10000</v>
      </c>
      <c r="F51" s="8">
        <v>9000</v>
      </c>
      <c r="G51" s="9">
        <v>10000</v>
      </c>
      <c r="H51" s="9">
        <v>12000</v>
      </c>
      <c r="I51" s="9">
        <v>13000</v>
      </c>
      <c r="J51" s="72">
        <v>10000</v>
      </c>
      <c r="K51" s="67">
        <f t="shared" si="0"/>
        <v>10571.428571428571</v>
      </c>
      <c r="M51" s="4"/>
      <c r="N51" s="23"/>
    </row>
    <row r="52" spans="1:14" ht="15.75" x14ac:dyDescent="0.25">
      <c r="A52" s="101">
        <v>13</v>
      </c>
      <c r="B52" s="60" t="s">
        <v>46</v>
      </c>
      <c r="C52" s="73"/>
      <c r="D52" s="74"/>
      <c r="E52" s="17"/>
      <c r="F52" s="76"/>
      <c r="G52" s="76"/>
      <c r="H52" s="15"/>
      <c r="I52" s="15"/>
      <c r="J52" s="84"/>
      <c r="K52" s="71"/>
      <c r="M52" s="4"/>
      <c r="N52" s="4"/>
    </row>
    <row r="53" spans="1:14" ht="15.75" x14ac:dyDescent="0.25">
      <c r="A53" s="101"/>
      <c r="B53" s="66" t="s">
        <v>47</v>
      </c>
      <c r="C53" s="17" t="s">
        <v>125</v>
      </c>
      <c r="D53" s="9">
        <v>3000</v>
      </c>
      <c r="E53" s="9">
        <v>4000</v>
      </c>
      <c r="F53" s="9">
        <v>5000</v>
      </c>
      <c r="G53" s="9">
        <v>5000</v>
      </c>
      <c r="H53" s="9">
        <v>2500</v>
      </c>
      <c r="I53" s="16">
        <v>5000</v>
      </c>
      <c r="J53" s="72">
        <v>2500</v>
      </c>
      <c r="K53" s="67">
        <f t="shared" si="0"/>
        <v>3857.1428571428573</v>
      </c>
      <c r="M53" s="4"/>
      <c r="N53" s="4"/>
    </row>
    <row r="54" spans="1:14" ht="15.75" x14ac:dyDescent="0.25">
      <c r="A54" s="101">
        <v>14</v>
      </c>
      <c r="B54" s="60" t="s">
        <v>49</v>
      </c>
      <c r="C54" s="80"/>
      <c r="D54" s="62"/>
      <c r="E54" s="17"/>
      <c r="F54" s="20"/>
      <c r="G54" s="20"/>
      <c r="H54" s="17"/>
      <c r="I54" s="17"/>
      <c r="J54" s="87"/>
      <c r="K54" s="71"/>
      <c r="M54" s="4"/>
      <c r="N54" s="4"/>
    </row>
    <row r="55" spans="1:14" ht="15.75" x14ac:dyDescent="0.25">
      <c r="A55" s="101"/>
      <c r="B55" s="88" t="s">
        <v>50</v>
      </c>
      <c r="C55" s="86" t="s">
        <v>6</v>
      </c>
      <c r="D55" s="9">
        <v>10000</v>
      </c>
      <c r="E55" s="9">
        <v>10500</v>
      </c>
      <c r="F55" s="9">
        <v>10000</v>
      </c>
      <c r="G55" s="9">
        <v>11000</v>
      </c>
      <c r="H55" s="9">
        <v>12000</v>
      </c>
      <c r="I55" s="9">
        <v>10000</v>
      </c>
      <c r="J55" s="72">
        <v>10000</v>
      </c>
      <c r="K55" s="67">
        <f t="shared" si="0"/>
        <v>10500</v>
      </c>
      <c r="M55" s="4"/>
      <c r="N55" s="4"/>
    </row>
    <row r="56" spans="1:14" ht="15.75" x14ac:dyDescent="0.25">
      <c r="A56" s="101">
        <v>15</v>
      </c>
      <c r="B56" s="60" t="s">
        <v>51</v>
      </c>
      <c r="C56" s="73"/>
      <c r="D56" s="74"/>
      <c r="E56" s="17"/>
      <c r="F56" s="76"/>
      <c r="G56" s="15"/>
      <c r="H56" s="15"/>
      <c r="I56" s="15"/>
      <c r="J56" s="84"/>
      <c r="K56" s="71"/>
      <c r="M56" s="4"/>
      <c r="N56" s="4"/>
    </row>
    <row r="57" spans="1:14" ht="15.75" x14ac:dyDescent="0.25">
      <c r="A57" s="101"/>
      <c r="B57" s="66" t="s">
        <v>52</v>
      </c>
      <c r="C57" s="17" t="s">
        <v>6</v>
      </c>
      <c r="D57" s="9">
        <v>16000</v>
      </c>
      <c r="E57" s="9">
        <v>13000</v>
      </c>
      <c r="F57" s="9">
        <v>14000</v>
      </c>
      <c r="G57" s="9">
        <v>14000</v>
      </c>
      <c r="H57" s="9">
        <v>11500</v>
      </c>
      <c r="I57" s="9">
        <v>17000</v>
      </c>
      <c r="J57" s="72" t="s">
        <v>99</v>
      </c>
      <c r="K57" s="67">
        <f t="shared" si="0"/>
        <v>14250</v>
      </c>
      <c r="M57" s="4"/>
      <c r="N57" s="4"/>
    </row>
    <row r="58" spans="1:14" ht="15.75" x14ac:dyDescent="0.25">
      <c r="A58" s="101"/>
      <c r="B58" s="66" t="s">
        <v>53</v>
      </c>
      <c r="C58" s="17" t="s">
        <v>6</v>
      </c>
      <c r="D58" s="9" t="s">
        <v>99</v>
      </c>
      <c r="E58" s="9" t="s">
        <v>99</v>
      </c>
      <c r="F58" s="16">
        <v>15000</v>
      </c>
      <c r="G58" s="22" t="s">
        <v>99</v>
      </c>
      <c r="H58" s="9">
        <v>13000</v>
      </c>
      <c r="I58" s="8">
        <v>15000</v>
      </c>
      <c r="J58" s="72">
        <v>14000</v>
      </c>
      <c r="K58" s="67">
        <f t="shared" si="0"/>
        <v>14250</v>
      </c>
      <c r="M58" s="4"/>
      <c r="N58" s="4"/>
    </row>
    <row r="59" spans="1:14" ht="15.75" x14ac:dyDescent="0.25">
      <c r="A59" s="101"/>
      <c r="B59" s="66" t="s">
        <v>54</v>
      </c>
      <c r="C59" s="17" t="s">
        <v>6</v>
      </c>
      <c r="D59" s="9">
        <v>24000</v>
      </c>
      <c r="E59" s="9">
        <v>23000</v>
      </c>
      <c r="F59" s="9">
        <v>23000</v>
      </c>
      <c r="G59" s="9">
        <v>23000</v>
      </c>
      <c r="H59" s="9">
        <v>20000</v>
      </c>
      <c r="I59" s="9">
        <v>23000</v>
      </c>
      <c r="J59" s="72">
        <v>24000</v>
      </c>
      <c r="K59" s="67">
        <f t="shared" si="0"/>
        <v>22857.142857142859</v>
      </c>
      <c r="M59" s="4"/>
      <c r="N59" s="4"/>
    </row>
    <row r="60" spans="1:14" ht="15.75" x14ac:dyDescent="0.25">
      <c r="A60" s="101"/>
      <c r="B60" s="66" t="s">
        <v>55</v>
      </c>
      <c r="C60" s="17" t="s">
        <v>6</v>
      </c>
      <c r="D60" s="9">
        <v>30000</v>
      </c>
      <c r="E60" s="9">
        <v>30000</v>
      </c>
      <c r="F60" s="9">
        <v>28000</v>
      </c>
      <c r="G60" s="9">
        <v>30000</v>
      </c>
      <c r="H60" s="9">
        <v>27000</v>
      </c>
      <c r="I60" s="9">
        <v>28000</v>
      </c>
      <c r="J60" s="72">
        <v>28000</v>
      </c>
      <c r="K60" s="67">
        <f t="shared" si="0"/>
        <v>28714.285714285714</v>
      </c>
      <c r="M60" s="4"/>
      <c r="N60" s="4"/>
    </row>
    <row r="61" spans="1:14" ht="15.75" x14ac:dyDescent="0.25">
      <c r="A61" s="17">
        <v>16</v>
      </c>
      <c r="B61" s="60" t="s">
        <v>56</v>
      </c>
      <c r="C61" s="80"/>
      <c r="D61" s="89"/>
      <c r="E61" s="10"/>
      <c r="F61" s="22"/>
      <c r="G61" s="10"/>
      <c r="H61" s="10"/>
      <c r="I61" s="10"/>
      <c r="J61" s="90"/>
      <c r="K61" s="71"/>
      <c r="M61" s="4"/>
      <c r="N61" s="4"/>
    </row>
    <row r="62" spans="1:14" ht="15.75" x14ac:dyDescent="0.25">
      <c r="A62" s="17"/>
      <c r="B62" s="66" t="s">
        <v>57</v>
      </c>
      <c r="C62" s="86" t="s">
        <v>58</v>
      </c>
      <c r="D62" s="9">
        <v>3000</v>
      </c>
      <c r="E62" s="9">
        <v>3200</v>
      </c>
      <c r="F62" s="9">
        <v>3000</v>
      </c>
      <c r="G62" s="9">
        <v>3000</v>
      </c>
      <c r="H62" s="10" t="s">
        <v>99</v>
      </c>
      <c r="I62" s="16">
        <v>3000</v>
      </c>
      <c r="J62" s="72">
        <v>3500</v>
      </c>
      <c r="K62" s="67">
        <f t="shared" si="0"/>
        <v>3116.6666666666665</v>
      </c>
      <c r="M62" s="4"/>
      <c r="N62" s="4"/>
    </row>
    <row r="63" spans="1:14" ht="15.75" x14ac:dyDescent="0.25">
      <c r="A63" s="101">
        <v>17</v>
      </c>
      <c r="B63" s="60" t="s">
        <v>59</v>
      </c>
      <c r="C63" s="73"/>
      <c r="D63" s="74"/>
      <c r="E63" s="17"/>
      <c r="F63" s="76"/>
      <c r="G63" s="76"/>
      <c r="H63" s="15"/>
      <c r="I63" s="15"/>
      <c r="J63" s="84"/>
      <c r="K63" s="71"/>
      <c r="M63" s="4"/>
      <c r="N63" s="4"/>
    </row>
    <row r="64" spans="1:14" ht="15.75" x14ac:dyDescent="0.25">
      <c r="A64" s="101"/>
      <c r="B64" s="66" t="s">
        <v>60</v>
      </c>
      <c r="C64" s="17" t="s">
        <v>6</v>
      </c>
      <c r="D64" s="9">
        <v>61000</v>
      </c>
      <c r="E64" s="9">
        <v>65000</v>
      </c>
      <c r="F64" s="9">
        <v>65000</v>
      </c>
      <c r="G64" s="9">
        <v>60000</v>
      </c>
      <c r="H64" s="9">
        <v>70000</v>
      </c>
      <c r="I64" s="9">
        <v>70000</v>
      </c>
      <c r="J64" s="72">
        <v>75000</v>
      </c>
      <c r="K64" s="67">
        <f t="shared" si="0"/>
        <v>66571.428571428565</v>
      </c>
      <c r="M64" s="4"/>
      <c r="N64" s="4"/>
    </row>
    <row r="65" spans="1:14" ht="15.75" x14ac:dyDescent="0.25">
      <c r="A65" s="101"/>
      <c r="B65" s="66" t="s">
        <v>61</v>
      </c>
      <c r="C65" s="17" t="s">
        <v>6</v>
      </c>
      <c r="D65" s="9">
        <v>50000</v>
      </c>
      <c r="E65" s="9">
        <v>48000</v>
      </c>
      <c r="F65" s="9">
        <v>45000</v>
      </c>
      <c r="G65" s="9">
        <v>55000</v>
      </c>
      <c r="H65" s="9">
        <v>55000</v>
      </c>
      <c r="I65" s="8">
        <v>57000</v>
      </c>
      <c r="J65" s="72">
        <v>60000</v>
      </c>
      <c r="K65" s="67">
        <f t="shared" si="0"/>
        <v>52857.142857142855</v>
      </c>
      <c r="M65" s="4"/>
      <c r="N65" s="4"/>
    </row>
    <row r="66" spans="1:14" ht="15.75" x14ac:dyDescent="0.25">
      <c r="A66" s="101"/>
      <c r="B66" s="66" t="s">
        <v>62</v>
      </c>
      <c r="C66" s="17" t="s">
        <v>6</v>
      </c>
      <c r="D66" s="9">
        <v>28000</v>
      </c>
      <c r="E66" s="9">
        <v>30000</v>
      </c>
      <c r="F66" s="9">
        <v>26000</v>
      </c>
      <c r="G66" s="9">
        <v>30000</v>
      </c>
      <c r="H66" s="9">
        <v>28000</v>
      </c>
      <c r="I66" s="9">
        <v>30000</v>
      </c>
      <c r="J66" s="72">
        <v>35000</v>
      </c>
      <c r="K66" s="67">
        <f t="shared" si="0"/>
        <v>29571.428571428572</v>
      </c>
      <c r="M66" s="4"/>
      <c r="N66" s="4"/>
    </row>
    <row r="67" spans="1:14" ht="15.75" x14ac:dyDescent="0.25">
      <c r="A67" s="17">
        <v>18</v>
      </c>
      <c r="B67" s="60" t="s">
        <v>63</v>
      </c>
      <c r="C67" s="80"/>
      <c r="D67" s="24"/>
      <c r="E67" s="10"/>
      <c r="F67" s="22"/>
      <c r="G67" s="10"/>
      <c r="H67" s="10" t="s">
        <v>1</v>
      </c>
      <c r="I67" s="10"/>
      <c r="J67" s="77"/>
      <c r="K67" s="71"/>
      <c r="M67" s="4"/>
      <c r="N67" s="4"/>
    </row>
    <row r="68" spans="1:14" ht="15.75" x14ac:dyDescent="0.25">
      <c r="A68" s="17"/>
      <c r="B68" s="66" t="s">
        <v>64</v>
      </c>
      <c r="C68" s="17" t="s">
        <v>65</v>
      </c>
      <c r="D68" s="9">
        <v>20000</v>
      </c>
      <c r="E68" s="9">
        <v>18000</v>
      </c>
      <c r="F68" s="9">
        <v>18000</v>
      </c>
      <c r="G68" s="9">
        <v>18000</v>
      </c>
      <c r="H68" s="10" t="s">
        <v>99</v>
      </c>
      <c r="I68" s="9">
        <v>18000</v>
      </c>
      <c r="J68" s="79">
        <v>18000</v>
      </c>
      <c r="K68" s="67">
        <f t="shared" si="0"/>
        <v>18333.333333333332</v>
      </c>
      <c r="M68" s="4"/>
      <c r="N68" s="4"/>
    </row>
    <row r="69" spans="1:14" ht="15.75" x14ac:dyDescent="0.25">
      <c r="A69" s="101">
        <v>19</v>
      </c>
      <c r="B69" s="60" t="s">
        <v>66</v>
      </c>
      <c r="C69" s="60"/>
      <c r="D69" s="74"/>
      <c r="E69" s="17"/>
      <c r="F69" s="15"/>
      <c r="G69" s="15"/>
      <c r="H69" s="15"/>
      <c r="I69" s="15"/>
      <c r="J69" s="75"/>
      <c r="K69" s="71"/>
      <c r="M69" s="4"/>
      <c r="N69" s="4"/>
    </row>
    <row r="70" spans="1:14" ht="15.75" x14ac:dyDescent="0.25">
      <c r="A70" s="101"/>
      <c r="B70" s="66" t="s">
        <v>67</v>
      </c>
      <c r="C70" s="17" t="s">
        <v>6</v>
      </c>
      <c r="D70" s="9">
        <v>36000</v>
      </c>
      <c r="E70" s="9">
        <v>35000</v>
      </c>
      <c r="F70" s="9">
        <v>36000</v>
      </c>
      <c r="G70" s="9">
        <v>35000</v>
      </c>
      <c r="H70" s="9">
        <v>36000</v>
      </c>
      <c r="I70" s="9">
        <v>40000</v>
      </c>
      <c r="J70" s="72">
        <v>40000</v>
      </c>
      <c r="K70" s="67">
        <f t="shared" si="0"/>
        <v>36857.142857142855</v>
      </c>
      <c r="M70" s="4"/>
      <c r="N70" s="4"/>
    </row>
    <row r="71" spans="1:14" ht="15.75" x14ac:dyDescent="0.25">
      <c r="A71" s="101"/>
      <c r="B71" s="66" t="s">
        <v>68</v>
      </c>
      <c r="C71" s="17" t="s">
        <v>6</v>
      </c>
      <c r="D71" s="9">
        <v>34000</v>
      </c>
      <c r="E71" s="9">
        <v>32000</v>
      </c>
      <c r="F71" s="9">
        <v>34000</v>
      </c>
      <c r="G71" s="9">
        <v>32000</v>
      </c>
      <c r="H71" s="9">
        <v>31000</v>
      </c>
      <c r="I71" s="9">
        <v>35000</v>
      </c>
      <c r="J71" s="72">
        <v>33000</v>
      </c>
      <c r="K71" s="67">
        <f t="shared" si="0"/>
        <v>33000</v>
      </c>
      <c r="M71" s="4"/>
      <c r="N71" s="4"/>
    </row>
    <row r="72" spans="1:14" ht="15.75" x14ac:dyDescent="0.25">
      <c r="A72" s="101"/>
      <c r="B72" s="66" t="s">
        <v>69</v>
      </c>
      <c r="C72" s="17" t="s">
        <v>6</v>
      </c>
      <c r="D72" s="9">
        <v>26000</v>
      </c>
      <c r="E72" s="9">
        <v>28000</v>
      </c>
      <c r="F72" s="9">
        <v>24000</v>
      </c>
      <c r="G72" s="9">
        <v>28000</v>
      </c>
      <c r="H72" s="9">
        <v>20000</v>
      </c>
      <c r="I72" s="9">
        <v>25000</v>
      </c>
      <c r="J72" s="72">
        <v>30000</v>
      </c>
      <c r="K72" s="67">
        <f t="shared" si="0"/>
        <v>25857.142857142859</v>
      </c>
      <c r="M72" s="4"/>
      <c r="N72" s="4"/>
    </row>
    <row r="73" spans="1:14" ht="15.75" x14ac:dyDescent="0.25">
      <c r="A73" s="101"/>
      <c r="B73" s="66" t="s">
        <v>70</v>
      </c>
      <c r="C73" s="17" t="s">
        <v>6</v>
      </c>
      <c r="D73" s="9">
        <v>28000</v>
      </c>
      <c r="E73" s="9">
        <v>25000</v>
      </c>
      <c r="F73" s="16">
        <v>28000</v>
      </c>
      <c r="G73" s="8">
        <v>30000</v>
      </c>
      <c r="H73" s="9">
        <v>25000</v>
      </c>
      <c r="I73" s="9">
        <v>25000</v>
      </c>
      <c r="J73" s="72" t="s">
        <v>99</v>
      </c>
      <c r="K73" s="67">
        <f t="shared" si="0"/>
        <v>26833.333333333332</v>
      </c>
      <c r="M73" s="4"/>
      <c r="N73" s="4"/>
    </row>
    <row r="74" spans="1:14" ht="15.75" x14ac:dyDescent="0.25">
      <c r="A74" s="17">
        <v>20</v>
      </c>
      <c r="B74" s="60" t="s">
        <v>71</v>
      </c>
      <c r="C74" s="91"/>
      <c r="D74" s="24"/>
      <c r="E74" s="10"/>
      <c r="F74" s="10"/>
      <c r="G74" s="89"/>
      <c r="H74" s="10"/>
      <c r="I74" s="10"/>
      <c r="J74" s="90"/>
      <c r="K74" s="71"/>
      <c r="M74" s="4"/>
      <c r="N74" s="4"/>
    </row>
    <row r="75" spans="1:14" ht="15.75" x14ac:dyDescent="0.25">
      <c r="A75" s="17"/>
      <c r="B75" s="66" t="s">
        <v>72</v>
      </c>
      <c r="C75" s="86" t="s">
        <v>6</v>
      </c>
      <c r="D75" s="9">
        <v>7000</v>
      </c>
      <c r="E75" s="9">
        <v>7000</v>
      </c>
      <c r="F75" s="9">
        <v>5000</v>
      </c>
      <c r="G75" s="9">
        <v>6000</v>
      </c>
      <c r="H75" s="9">
        <v>5000</v>
      </c>
      <c r="I75" s="9">
        <v>5000</v>
      </c>
      <c r="J75" s="72">
        <v>5000</v>
      </c>
      <c r="K75" s="67">
        <f t="shared" si="0"/>
        <v>5714.2857142857147</v>
      </c>
      <c r="M75" s="4"/>
      <c r="N75" s="4"/>
    </row>
    <row r="76" spans="1:14" ht="15.75" x14ac:dyDescent="0.25">
      <c r="A76" s="17"/>
      <c r="B76" s="66" t="s">
        <v>73</v>
      </c>
      <c r="C76" s="86" t="s">
        <v>6</v>
      </c>
      <c r="D76" s="9">
        <v>7000</v>
      </c>
      <c r="E76" s="9">
        <v>6000</v>
      </c>
      <c r="F76" s="16">
        <v>6000</v>
      </c>
      <c r="G76" s="8">
        <v>6000</v>
      </c>
      <c r="H76" s="9">
        <v>5000</v>
      </c>
      <c r="I76" s="9">
        <v>6000</v>
      </c>
      <c r="J76" s="79">
        <v>6000</v>
      </c>
      <c r="K76" s="67">
        <f t="shared" si="0"/>
        <v>6000</v>
      </c>
      <c r="M76" s="4"/>
      <c r="N76" s="4"/>
    </row>
    <row r="77" spans="1:14" ht="15.75" x14ac:dyDescent="0.25">
      <c r="A77" s="17">
        <v>21</v>
      </c>
      <c r="B77" s="60" t="s">
        <v>74</v>
      </c>
      <c r="C77" s="91"/>
      <c r="D77" s="19"/>
      <c r="E77" s="10"/>
      <c r="F77" s="10"/>
      <c r="G77" s="22"/>
      <c r="H77" s="10"/>
      <c r="I77" s="10"/>
      <c r="J77" s="77"/>
      <c r="K77" s="71"/>
      <c r="M77" s="4"/>
      <c r="N77" s="4"/>
    </row>
    <row r="78" spans="1:14" ht="15.75" x14ac:dyDescent="0.25">
      <c r="A78" s="17"/>
      <c r="B78" s="66" t="s">
        <v>75</v>
      </c>
      <c r="C78" s="86" t="s">
        <v>6</v>
      </c>
      <c r="D78" s="9">
        <v>8000</v>
      </c>
      <c r="E78" s="9">
        <v>8000</v>
      </c>
      <c r="F78" s="9">
        <v>10000</v>
      </c>
      <c r="G78" s="9">
        <v>8000</v>
      </c>
      <c r="H78" s="9">
        <v>6000</v>
      </c>
      <c r="I78" s="16">
        <v>9000</v>
      </c>
      <c r="J78" s="72" t="s">
        <v>99</v>
      </c>
      <c r="K78" s="67">
        <f t="shared" si="0"/>
        <v>8166.666666666667</v>
      </c>
      <c r="M78" s="4"/>
      <c r="N78" s="4"/>
    </row>
    <row r="79" spans="1:14" ht="15.75" x14ac:dyDescent="0.25">
      <c r="A79" s="17"/>
      <c r="B79" s="66" t="s">
        <v>76</v>
      </c>
      <c r="C79" s="86" t="s">
        <v>6</v>
      </c>
      <c r="D79" s="9">
        <v>8000</v>
      </c>
      <c r="E79" s="9">
        <v>10000</v>
      </c>
      <c r="F79" s="9">
        <v>20000</v>
      </c>
      <c r="G79" s="9">
        <v>14000</v>
      </c>
      <c r="H79" s="9">
        <v>6000</v>
      </c>
      <c r="I79" s="16">
        <v>12000</v>
      </c>
      <c r="J79" s="72">
        <v>15000</v>
      </c>
      <c r="K79" s="67">
        <f t="shared" si="0"/>
        <v>12142.857142857143</v>
      </c>
      <c r="M79" s="4"/>
      <c r="N79" s="4"/>
    </row>
    <row r="80" spans="1:14" ht="15.75" x14ac:dyDescent="0.25">
      <c r="A80" s="17"/>
      <c r="B80" s="66" t="s">
        <v>77</v>
      </c>
      <c r="C80" s="86" t="s">
        <v>6</v>
      </c>
      <c r="D80" s="9">
        <v>18000</v>
      </c>
      <c r="E80" s="9">
        <v>16000</v>
      </c>
      <c r="F80" s="9">
        <v>17000</v>
      </c>
      <c r="G80" s="9">
        <v>15000</v>
      </c>
      <c r="H80" s="9">
        <v>15000</v>
      </c>
      <c r="I80" s="9">
        <v>20000</v>
      </c>
      <c r="J80" s="72">
        <v>18000</v>
      </c>
      <c r="K80" s="67">
        <f t="shared" si="0"/>
        <v>17000</v>
      </c>
      <c r="M80" s="4"/>
      <c r="N80" s="4"/>
    </row>
    <row r="81" spans="1:14" ht="15.75" x14ac:dyDescent="0.25">
      <c r="A81" s="17"/>
      <c r="B81" s="66" t="s">
        <v>78</v>
      </c>
      <c r="C81" s="86" t="s">
        <v>6</v>
      </c>
      <c r="D81" s="9">
        <v>20000</v>
      </c>
      <c r="E81" s="9">
        <v>15000</v>
      </c>
      <c r="F81" s="9">
        <v>10000</v>
      </c>
      <c r="G81" s="9">
        <v>10000</v>
      </c>
      <c r="H81" s="9">
        <v>22000</v>
      </c>
      <c r="I81" s="8">
        <v>25000</v>
      </c>
      <c r="J81" s="72">
        <v>24000</v>
      </c>
      <c r="K81" s="67">
        <f t="shared" ref="K81:K88" si="1">AVERAGE(D81:J81)</f>
        <v>18000</v>
      </c>
      <c r="M81" s="4"/>
      <c r="N81" s="4"/>
    </row>
    <row r="82" spans="1:14" ht="15.75" x14ac:dyDescent="0.25">
      <c r="A82" s="17"/>
      <c r="B82" s="66" t="s">
        <v>79</v>
      </c>
      <c r="C82" s="86" t="s">
        <v>6</v>
      </c>
      <c r="D82" s="9">
        <v>10000</v>
      </c>
      <c r="E82" s="9">
        <v>12000</v>
      </c>
      <c r="F82" s="9">
        <v>14000</v>
      </c>
      <c r="G82" s="9">
        <v>12000</v>
      </c>
      <c r="H82" s="9">
        <v>10000</v>
      </c>
      <c r="I82" s="9">
        <v>20000</v>
      </c>
      <c r="J82" s="72">
        <v>15000</v>
      </c>
      <c r="K82" s="67">
        <f t="shared" si="1"/>
        <v>13285.714285714286</v>
      </c>
      <c r="M82" s="4"/>
      <c r="N82" s="4"/>
    </row>
    <row r="83" spans="1:14" ht="15.75" x14ac:dyDescent="0.25">
      <c r="A83" s="17"/>
      <c r="B83" s="66" t="s">
        <v>80</v>
      </c>
      <c r="C83" s="86" t="s">
        <v>6</v>
      </c>
      <c r="D83" s="9">
        <v>7000</v>
      </c>
      <c r="E83" s="9">
        <v>8000</v>
      </c>
      <c r="F83" s="16">
        <v>9000</v>
      </c>
      <c r="G83" s="8">
        <v>8000</v>
      </c>
      <c r="H83" s="9">
        <v>10000</v>
      </c>
      <c r="I83" s="16">
        <v>9000</v>
      </c>
      <c r="J83" s="72">
        <v>8000</v>
      </c>
      <c r="K83" s="67">
        <f t="shared" si="1"/>
        <v>8428.5714285714294</v>
      </c>
      <c r="M83" s="4"/>
      <c r="N83" s="4"/>
    </row>
    <row r="84" spans="1:14" ht="15.75" x14ac:dyDescent="0.25">
      <c r="A84" s="17"/>
      <c r="B84" s="66" t="s">
        <v>81</v>
      </c>
      <c r="C84" s="86" t="s">
        <v>82</v>
      </c>
      <c r="D84" s="9">
        <v>1500</v>
      </c>
      <c r="E84" s="9">
        <v>1500</v>
      </c>
      <c r="F84" s="9">
        <v>2000</v>
      </c>
      <c r="G84" s="8">
        <v>2000</v>
      </c>
      <c r="H84" s="9">
        <v>1500</v>
      </c>
      <c r="I84" s="9">
        <v>2000</v>
      </c>
      <c r="J84" s="79">
        <v>1500</v>
      </c>
      <c r="K84" s="67">
        <f t="shared" si="1"/>
        <v>1714.2857142857142</v>
      </c>
      <c r="L84" s="4"/>
      <c r="M84" s="4"/>
      <c r="N84" s="4"/>
    </row>
    <row r="85" spans="1:14" x14ac:dyDescent="0.25">
      <c r="A85" s="17"/>
      <c r="B85" s="66" t="s">
        <v>83</v>
      </c>
      <c r="C85" s="86" t="s">
        <v>82</v>
      </c>
      <c r="D85" s="9">
        <v>1000</v>
      </c>
      <c r="E85" s="9">
        <v>1500</v>
      </c>
      <c r="F85" s="9">
        <v>1500</v>
      </c>
      <c r="G85" s="8">
        <v>2000</v>
      </c>
      <c r="H85" s="9">
        <v>1500</v>
      </c>
      <c r="I85" s="9">
        <v>1500</v>
      </c>
      <c r="J85" s="79">
        <v>1000</v>
      </c>
      <c r="K85" s="67">
        <f t="shared" si="1"/>
        <v>1428.5714285714287</v>
      </c>
    </row>
    <row r="86" spans="1:14" x14ac:dyDescent="0.25">
      <c r="A86" s="17"/>
      <c r="B86" s="66" t="s">
        <v>84</v>
      </c>
      <c r="C86" s="86" t="s">
        <v>82</v>
      </c>
      <c r="D86" s="9" t="s">
        <v>99</v>
      </c>
      <c r="E86" s="9">
        <v>2000</v>
      </c>
      <c r="F86" s="9" t="s">
        <v>99</v>
      </c>
      <c r="G86" s="8" t="s">
        <v>99</v>
      </c>
      <c r="H86" s="9">
        <v>2500</v>
      </c>
      <c r="I86" s="9" t="s">
        <v>99</v>
      </c>
      <c r="J86" s="79">
        <v>2000</v>
      </c>
      <c r="K86" s="67">
        <f t="shared" si="1"/>
        <v>2166.6666666666665</v>
      </c>
    </row>
    <row r="87" spans="1:14" x14ac:dyDescent="0.25">
      <c r="A87" s="17">
        <v>22</v>
      </c>
      <c r="B87" s="60" t="s">
        <v>85</v>
      </c>
      <c r="C87" s="91"/>
      <c r="D87" s="22"/>
      <c r="E87" s="10"/>
      <c r="F87" s="10" t="s">
        <v>102</v>
      </c>
      <c r="G87" s="22"/>
      <c r="H87" s="10"/>
      <c r="I87" s="10"/>
      <c r="J87" s="77"/>
      <c r="K87" s="71"/>
    </row>
    <row r="88" spans="1:14" x14ac:dyDescent="0.25">
      <c r="A88" s="17"/>
      <c r="B88" s="66" t="s">
        <v>86</v>
      </c>
      <c r="C88" s="86" t="s">
        <v>87</v>
      </c>
      <c r="D88" s="9" t="s">
        <v>99</v>
      </c>
      <c r="E88" s="9" t="s">
        <v>99</v>
      </c>
      <c r="F88" s="9">
        <v>18000</v>
      </c>
      <c r="G88" s="8">
        <v>17000</v>
      </c>
      <c r="H88" s="10" t="s">
        <v>99</v>
      </c>
      <c r="I88" s="16">
        <v>18000</v>
      </c>
      <c r="J88" s="79">
        <v>18000</v>
      </c>
      <c r="K88" s="67">
        <f t="shared" si="1"/>
        <v>17750</v>
      </c>
    </row>
  </sheetData>
  <mergeCells count="28">
    <mergeCell ref="A16:A17"/>
    <mergeCell ref="A19:A20"/>
    <mergeCell ref="A21:A25"/>
    <mergeCell ref="A26:A32"/>
    <mergeCell ref="A33:A35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3:A66"/>
    <mergeCell ref="A69:A73"/>
    <mergeCell ref="A43:A45"/>
    <mergeCell ref="A46:A48"/>
    <mergeCell ref="A52:A53"/>
    <mergeCell ref="A54:A55"/>
    <mergeCell ref="A56:A60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1AE36-EC26-4BD8-ABC0-1179920C4ED7}">
  <dimension ref="A1:W88"/>
  <sheetViews>
    <sheetView topLeftCell="A73" zoomScale="70" zoomScaleNormal="70" workbookViewId="0">
      <selection activeCell="K11" sqref="K11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3.37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3.37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3.37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3.37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3.37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3.37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3.37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3.37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3.37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3.37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3.37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3.37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3.37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3.37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3.37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3.37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3.37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3.37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3.37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3.37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3.37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3.37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3.37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3.37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3.37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3.37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3.37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3.37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3.37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3.37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3.37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3.37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3.37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3.37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3.37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3.37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3.37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3.37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3.37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3.37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3.37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3.37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3.37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3.37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3.37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3.37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3.37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3.37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3.37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3.37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3.37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3.37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3.37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3.37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3.37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3.37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3.37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3.37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3.37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3.37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3.37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3.37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3.37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3.375" customWidth="1"/>
    <col min="16138" max="16138" width="14.125" customWidth="1"/>
    <col min="16139" max="16139" width="13" customWidth="1"/>
    <col min="16141" max="16141" width="12.375" bestFit="1" customWidth="1"/>
  </cols>
  <sheetData>
    <row r="1" spans="1:23" ht="32.25" customHeight="1" x14ac:dyDescent="0.25">
      <c r="A1" s="134" t="s">
        <v>88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52"/>
      <c r="M1" s="53"/>
      <c r="N1" s="53"/>
      <c r="O1" s="52"/>
      <c r="P1" s="52"/>
      <c r="Q1" s="52"/>
      <c r="R1" s="52"/>
      <c r="S1" s="52"/>
      <c r="T1" s="52"/>
      <c r="U1" s="52"/>
      <c r="V1" s="52"/>
      <c r="W1" s="52"/>
    </row>
    <row r="2" spans="1:23" ht="27.75" customHeight="1" x14ac:dyDescent="0.25">
      <c r="A2" s="103" t="s">
        <v>89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52"/>
      <c r="M2" s="53"/>
      <c r="N2" s="53"/>
      <c r="O2" s="52"/>
      <c r="P2" s="52"/>
      <c r="Q2" s="52"/>
      <c r="R2" s="52"/>
      <c r="S2" s="52"/>
      <c r="T2" s="52"/>
      <c r="U2" s="52"/>
      <c r="V2" s="52"/>
      <c r="W2" s="52"/>
    </row>
    <row r="3" spans="1:23" ht="27.75" customHeight="1" thickBot="1" x14ac:dyDescent="0.3">
      <c r="A3" s="104" t="s">
        <v>129</v>
      </c>
      <c r="B3" s="104"/>
      <c r="C3" s="104"/>
      <c r="D3" s="104"/>
      <c r="E3" s="104"/>
      <c r="F3" s="104"/>
      <c r="G3" s="104"/>
      <c r="H3" s="104"/>
      <c r="I3" s="104"/>
      <c r="J3" s="104"/>
      <c r="K3" s="105"/>
      <c r="L3" s="52"/>
      <c r="M3" s="53"/>
      <c r="N3" s="53"/>
      <c r="O3" s="52"/>
      <c r="P3" s="52"/>
      <c r="Q3" s="52"/>
      <c r="R3" s="52"/>
      <c r="S3" s="52"/>
      <c r="T3" s="52"/>
      <c r="U3" s="52"/>
      <c r="V3" s="52"/>
      <c r="W3" s="52"/>
    </row>
    <row r="4" spans="1:23" ht="25.5" customHeight="1" x14ac:dyDescent="0.25">
      <c r="A4" s="96" t="s">
        <v>1</v>
      </c>
      <c r="B4" s="99" t="s">
        <v>2</v>
      </c>
      <c r="C4" s="96" t="s">
        <v>90</v>
      </c>
      <c r="D4" s="110" t="s">
        <v>91</v>
      </c>
      <c r="E4" s="113" t="s">
        <v>92</v>
      </c>
      <c r="F4" s="125" t="s">
        <v>93</v>
      </c>
      <c r="G4" s="131" t="s">
        <v>94</v>
      </c>
      <c r="H4" s="116" t="s">
        <v>95</v>
      </c>
      <c r="I4" s="119" t="s">
        <v>96</v>
      </c>
      <c r="J4" s="106" t="s">
        <v>97</v>
      </c>
      <c r="K4" s="122" t="s">
        <v>98</v>
      </c>
      <c r="L4" s="52"/>
      <c r="M4" s="53"/>
      <c r="N4" s="53"/>
      <c r="O4" s="52"/>
      <c r="P4" s="52"/>
      <c r="Q4" s="52"/>
      <c r="R4" s="52"/>
      <c r="S4" s="52"/>
      <c r="T4" s="52"/>
      <c r="U4" s="52"/>
      <c r="V4" s="52"/>
      <c r="W4" s="52"/>
    </row>
    <row r="5" spans="1:23" ht="15" customHeight="1" x14ac:dyDescent="0.25">
      <c r="A5" s="97"/>
      <c r="B5" s="100"/>
      <c r="C5" s="97"/>
      <c r="D5" s="111"/>
      <c r="E5" s="114"/>
      <c r="F5" s="126"/>
      <c r="G5" s="132"/>
      <c r="H5" s="117"/>
      <c r="I5" s="120"/>
      <c r="J5" s="107"/>
      <c r="K5" s="123"/>
      <c r="L5" s="52"/>
      <c r="M5" s="53"/>
      <c r="N5" s="53"/>
      <c r="O5" s="52"/>
      <c r="P5" s="52"/>
      <c r="Q5" s="52"/>
      <c r="R5" s="52"/>
      <c r="S5" s="52"/>
      <c r="T5" s="52"/>
      <c r="U5" s="52"/>
      <c r="V5" s="52"/>
      <c r="W5" s="52"/>
    </row>
    <row r="6" spans="1:23" ht="16.5" thickBot="1" x14ac:dyDescent="0.3">
      <c r="A6" s="98"/>
      <c r="B6" s="109"/>
      <c r="C6" s="98"/>
      <c r="D6" s="112"/>
      <c r="E6" s="115"/>
      <c r="F6" s="127"/>
      <c r="G6" s="133"/>
      <c r="H6" s="118"/>
      <c r="I6" s="121"/>
      <c r="J6" s="108"/>
      <c r="K6" s="124"/>
      <c r="L6" s="52"/>
      <c r="M6" s="53"/>
      <c r="N6" s="53"/>
      <c r="O6" s="52"/>
      <c r="P6" s="52"/>
      <c r="Q6" s="52"/>
      <c r="R6" s="52"/>
      <c r="S6" s="52"/>
      <c r="T6" s="52"/>
      <c r="U6" s="52"/>
      <c r="V6" s="52"/>
      <c r="W6" s="52"/>
    </row>
    <row r="7" spans="1:23" ht="15.75" x14ac:dyDescent="0.25">
      <c r="A7" s="101">
        <v>1</v>
      </c>
      <c r="B7" s="60" t="s">
        <v>4</v>
      </c>
      <c r="C7" s="61"/>
      <c r="D7" s="62"/>
      <c r="E7" s="17" t="s">
        <v>102</v>
      </c>
      <c r="F7" s="17"/>
      <c r="G7" s="63"/>
      <c r="H7" s="63" t="s">
        <v>1</v>
      </c>
      <c r="I7" s="64"/>
      <c r="J7" s="63"/>
      <c r="K7" s="65"/>
      <c r="L7" s="52"/>
      <c r="M7" s="53"/>
      <c r="N7" s="53"/>
      <c r="O7" s="52"/>
      <c r="P7" s="52"/>
      <c r="Q7" s="52"/>
      <c r="R7" s="52"/>
      <c r="S7" s="52"/>
      <c r="T7" s="52"/>
      <c r="U7" s="52"/>
      <c r="V7" s="52"/>
      <c r="W7" s="52"/>
    </row>
    <row r="8" spans="1:23" ht="15.75" x14ac:dyDescent="0.25">
      <c r="A8" s="101"/>
      <c r="B8" s="66" t="s">
        <v>107</v>
      </c>
      <c r="C8" s="17" t="s">
        <v>6</v>
      </c>
      <c r="D8" s="9">
        <v>15000</v>
      </c>
      <c r="E8" s="9">
        <v>15000</v>
      </c>
      <c r="F8" s="9">
        <v>15000</v>
      </c>
      <c r="G8" s="9">
        <v>15000</v>
      </c>
      <c r="H8" s="9">
        <v>16000</v>
      </c>
      <c r="I8" s="9">
        <v>15500</v>
      </c>
      <c r="J8" s="16">
        <v>14000</v>
      </c>
      <c r="K8" s="67">
        <f>AVERAGE(D8:J8)</f>
        <v>15071.428571428571</v>
      </c>
      <c r="L8" s="57"/>
      <c r="M8" s="54"/>
      <c r="N8" s="53"/>
      <c r="O8" s="52"/>
      <c r="P8" s="52"/>
      <c r="Q8" s="52"/>
      <c r="R8" s="52"/>
      <c r="S8" s="52"/>
      <c r="T8" s="52"/>
      <c r="U8" s="52"/>
      <c r="V8" s="52"/>
      <c r="W8" s="52"/>
    </row>
    <row r="9" spans="1:23" ht="15.75" x14ac:dyDescent="0.25">
      <c r="A9" s="101"/>
      <c r="B9" s="66" t="s">
        <v>115</v>
      </c>
      <c r="C9" s="17" t="s">
        <v>6</v>
      </c>
      <c r="D9" s="9">
        <v>10900</v>
      </c>
      <c r="E9" s="9">
        <v>10900</v>
      </c>
      <c r="F9" s="9">
        <v>10900</v>
      </c>
      <c r="G9" s="8">
        <v>10900</v>
      </c>
      <c r="H9" s="9">
        <v>12000</v>
      </c>
      <c r="I9" s="9">
        <v>10900</v>
      </c>
      <c r="J9" s="16" t="s">
        <v>99</v>
      </c>
      <c r="K9" s="67">
        <f t="shared" ref="K9:K80" si="0">AVERAGE(D9:J9)</f>
        <v>11083.333333333334</v>
      </c>
      <c r="L9" s="52"/>
      <c r="M9" s="53"/>
      <c r="N9" s="53"/>
      <c r="O9" s="52"/>
      <c r="P9" s="52"/>
      <c r="Q9" s="52"/>
      <c r="R9" s="52"/>
      <c r="S9" s="52"/>
      <c r="T9" s="52"/>
      <c r="U9" s="52"/>
      <c r="V9" s="52"/>
      <c r="W9" s="52"/>
    </row>
    <row r="10" spans="1:23" ht="15.75" x14ac:dyDescent="0.25">
      <c r="A10" s="101"/>
      <c r="B10" s="66" t="s">
        <v>108</v>
      </c>
      <c r="C10" s="17" t="s">
        <v>6</v>
      </c>
      <c r="D10" s="9" t="s">
        <v>99</v>
      </c>
      <c r="E10" s="9" t="s">
        <v>99</v>
      </c>
      <c r="F10" s="9" t="s">
        <v>99</v>
      </c>
      <c r="G10" s="8" t="s">
        <v>99</v>
      </c>
      <c r="H10" s="9" t="s">
        <v>99</v>
      </c>
      <c r="I10" s="9" t="s">
        <v>99</v>
      </c>
      <c r="J10" s="16" t="s">
        <v>99</v>
      </c>
      <c r="K10" s="67">
        <v>0</v>
      </c>
      <c r="L10" s="52"/>
      <c r="M10" s="53"/>
      <c r="N10" s="53"/>
      <c r="O10" s="52"/>
      <c r="P10" s="52"/>
      <c r="Q10" s="52"/>
      <c r="R10" s="52"/>
      <c r="S10" s="52"/>
      <c r="T10" s="52"/>
      <c r="U10" s="52"/>
      <c r="V10" s="52"/>
      <c r="W10" s="52"/>
    </row>
    <row r="11" spans="1:23" ht="15.75" x14ac:dyDescent="0.25">
      <c r="A11" s="101"/>
      <c r="B11" s="66" t="s">
        <v>9</v>
      </c>
      <c r="C11" s="17" t="s">
        <v>6</v>
      </c>
      <c r="D11" s="9" t="s">
        <v>99</v>
      </c>
      <c r="E11" s="9">
        <v>10000</v>
      </c>
      <c r="F11" s="16">
        <v>12000</v>
      </c>
      <c r="G11" s="8">
        <v>10000</v>
      </c>
      <c r="H11" s="9">
        <v>10000</v>
      </c>
      <c r="I11" s="16">
        <v>12000</v>
      </c>
      <c r="J11" s="16">
        <v>10000</v>
      </c>
      <c r="K11" s="67">
        <f>AVERAGE(D11:J11)</f>
        <v>10666.666666666666</v>
      </c>
      <c r="L11" s="52"/>
      <c r="M11" s="53"/>
      <c r="N11" s="53"/>
      <c r="O11" s="52"/>
      <c r="P11" s="52"/>
      <c r="Q11" s="52"/>
      <c r="R11" s="52"/>
      <c r="S11" s="52"/>
      <c r="T11" s="52"/>
      <c r="U11" s="52"/>
      <c r="V11" s="52"/>
      <c r="W11" s="52"/>
    </row>
    <row r="12" spans="1:23" ht="15.75" x14ac:dyDescent="0.25">
      <c r="A12" s="101"/>
      <c r="B12" s="66" t="s">
        <v>10</v>
      </c>
      <c r="C12" s="17" t="s">
        <v>6</v>
      </c>
      <c r="D12" s="9" t="s">
        <v>99</v>
      </c>
      <c r="E12" s="9">
        <v>21000</v>
      </c>
      <c r="F12" s="16">
        <v>16000</v>
      </c>
      <c r="G12" s="8">
        <v>18000</v>
      </c>
      <c r="H12" s="9">
        <v>25000</v>
      </c>
      <c r="I12" s="16">
        <v>17000</v>
      </c>
      <c r="J12" s="16">
        <v>17000</v>
      </c>
      <c r="K12" s="67">
        <f t="shared" si="0"/>
        <v>19000</v>
      </c>
      <c r="L12" s="52"/>
      <c r="M12" s="53"/>
      <c r="N12" s="53"/>
      <c r="O12" s="52"/>
      <c r="P12" s="52"/>
      <c r="Q12" s="52"/>
      <c r="R12" s="52"/>
      <c r="S12" s="52"/>
      <c r="T12" s="52"/>
      <c r="U12" s="52"/>
      <c r="V12" s="52"/>
      <c r="W12" s="52"/>
    </row>
    <row r="13" spans="1:23" ht="15.75" x14ac:dyDescent="0.25">
      <c r="A13" s="101">
        <v>2</v>
      </c>
      <c r="B13" s="60" t="s">
        <v>11</v>
      </c>
      <c r="C13" s="68"/>
      <c r="D13" s="62"/>
      <c r="E13" s="69"/>
      <c r="F13" s="17"/>
      <c r="G13" s="70"/>
      <c r="H13" s="70"/>
      <c r="I13" s="70"/>
      <c r="J13" s="70"/>
      <c r="K13" s="71"/>
      <c r="L13" s="52"/>
      <c r="M13" s="53"/>
      <c r="N13" s="55"/>
      <c r="O13" s="52"/>
      <c r="P13" s="52"/>
      <c r="Q13" s="52"/>
      <c r="R13" s="52"/>
      <c r="S13" s="52"/>
      <c r="T13" s="52"/>
      <c r="U13" s="52"/>
      <c r="V13" s="52"/>
      <c r="W13" s="52"/>
    </row>
    <row r="14" spans="1:23" ht="15.75" x14ac:dyDescent="0.25">
      <c r="A14" s="101"/>
      <c r="B14" s="66" t="s">
        <v>116</v>
      </c>
      <c r="C14" s="17" t="s">
        <v>6</v>
      </c>
      <c r="D14" s="9">
        <v>16000</v>
      </c>
      <c r="E14" s="9">
        <v>16000</v>
      </c>
      <c r="F14" s="9">
        <v>16000</v>
      </c>
      <c r="G14" s="16">
        <v>16000</v>
      </c>
      <c r="H14" s="9">
        <v>16500</v>
      </c>
      <c r="I14" s="9">
        <v>16500</v>
      </c>
      <c r="J14" s="72">
        <v>16500</v>
      </c>
      <c r="K14" s="67">
        <f t="shared" si="0"/>
        <v>16214.285714285714</v>
      </c>
      <c r="L14" s="52"/>
      <c r="M14" s="53"/>
      <c r="N14" s="53"/>
      <c r="O14" s="52"/>
      <c r="P14" s="52"/>
      <c r="Q14" s="52"/>
      <c r="R14" s="52"/>
      <c r="S14" s="52"/>
      <c r="T14" s="52"/>
      <c r="U14" s="52"/>
      <c r="V14" s="52"/>
      <c r="W14" s="52"/>
    </row>
    <row r="15" spans="1:23" ht="15.75" x14ac:dyDescent="0.25">
      <c r="A15" s="101"/>
      <c r="B15" s="66" t="s">
        <v>13</v>
      </c>
      <c r="C15" s="17" t="s">
        <v>6</v>
      </c>
      <c r="D15" s="9">
        <v>17000</v>
      </c>
      <c r="E15" s="9">
        <v>16000</v>
      </c>
      <c r="F15" s="16">
        <v>16000</v>
      </c>
      <c r="G15" s="8">
        <v>16000</v>
      </c>
      <c r="H15" s="9">
        <v>17000</v>
      </c>
      <c r="I15" s="9">
        <v>16000</v>
      </c>
      <c r="J15" s="72">
        <v>18000</v>
      </c>
      <c r="K15" s="67">
        <f>AVERAGE(D15:J15)</f>
        <v>16571.428571428572</v>
      </c>
      <c r="L15" s="52"/>
      <c r="M15" s="53"/>
      <c r="N15" s="53"/>
      <c r="O15" s="52"/>
      <c r="P15" s="52"/>
      <c r="Q15" s="52"/>
      <c r="R15" s="52"/>
      <c r="S15" s="52"/>
      <c r="T15" s="52"/>
      <c r="U15" s="52"/>
      <c r="V15" s="52"/>
      <c r="W15" s="52"/>
    </row>
    <row r="16" spans="1:23" ht="15.75" x14ac:dyDescent="0.25">
      <c r="A16" s="101">
        <v>3</v>
      </c>
      <c r="B16" s="60" t="s">
        <v>14</v>
      </c>
      <c r="C16" s="73"/>
      <c r="D16" s="74"/>
      <c r="E16" s="15"/>
      <c r="F16" s="15"/>
      <c r="G16" s="15"/>
      <c r="H16" s="15"/>
      <c r="I16" s="15"/>
      <c r="J16" s="75"/>
      <c r="K16" s="71"/>
      <c r="L16" s="52"/>
      <c r="M16" s="53"/>
      <c r="N16" s="53"/>
      <c r="O16" s="52"/>
      <c r="P16" s="52"/>
      <c r="Q16" s="52"/>
      <c r="R16" s="52"/>
      <c r="S16" s="52"/>
      <c r="T16" s="52"/>
      <c r="U16" s="52"/>
      <c r="V16" s="52"/>
      <c r="W16" s="52"/>
    </row>
    <row r="17" spans="1:14" ht="15.75" x14ac:dyDescent="0.25">
      <c r="A17" s="101"/>
      <c r="B17" s="66" t="s">
        <v>15</v>
      </c>
      <c r="C17" s="17" t="s">
        <v>6</v>
      </c>
      <c r="D17" s="9">
        <v>15000</v>
      </c>
      <c r="E17" s="9">
        <v>15000</v>
      </c>
      <c r="F17" s="9">
        <v>14000</v>
      </c>
      <c r="G17" s="9">
        <v>15000</v>
      </c>
      <c r="H17" s="9">
        <v>16000</v>
      </c>
      <c r="I17" s="9">
        <v>16000</v>
      </c>
      <c r="J17" s="72">
        <v>16000</v>
      </c>
      <c r="K17" s="67">
        <f t="shared" si="0"/>
        <v>15285.714285714286</v>
      </c>
      <c r="L17" s="52"/>
      <c r="M17" s="53"/>
      <c r="N17" s="53"/>
    </row>
    <row r="18" spans="1:14" ht="15.75" x14ac:dyDescent="0.25">
      <c r="A18" s="59"/>
      <c r="B18" s="66" t="s">
        <v>109</v>
      </c>
      <c r="C18" s="17" t="s">
        <v>110</v>
      </c>
      <c r="D18" s="9">
        <v>14000</v>
      </c>
      <c r="E18" s="9">
        <v>14000</v>
      </c>
      <c r="F18" s="9">
        <v>14000</v>
      </c>
      <c r="G18" s="9">
        <v>14000</v>
      </c>
      <c r="H18" s="9" t="s">
        <v>99</v>
      </c>
      <c r="I18" s="9">
        <v>14000</v>
      </c>
      <c r="J18" s="72">
        <v>14000</v>
      </c>
      <c r="K18" s="67">
        <f t="shared" si="0"/>
        <v>14000</v>
      </c>
      <c r="L18" s="52"/>
      <c r="M18" s="53"/>
      <c r="N18" s="53"/>
    </row>
    <row r="19" spans="1:14" ht="17.25" customHeight="1" x14ac:dyDescent="0.25">
      <c r="A19" s="101">
        <v>4</v>
      </c>
      <c r="B19" s="60" t="s">
        <v>16</v>
      </c>
      <c r="C19" s="73"/>
      <c r="D19" s="74"/>
      <c r="E19" s="15"/>
      <c r="F19" s="15"/>
      <c r="G19" s="76"/>
      <c r="H19" s="15"/>
      <c r="I19" s="15"/>
      <c r="J19" s="75"/>
      <c r="K19" s="71"/>
      <c r="L19" s="52"/>
      <c r="M19" s="53"/>
      <c r="N19" s="53"/>
    </row>
    <row r="20" spans="1:14" ht="15.75" x14ac:dyDescent="0.25">
      <c r="A20" s="101"/>
      <c r="B20" s="66" t="s">
        <v>17</v>
      </c>
      <c r="C20" s="17" t="s">
        <v>6</v>
      </c>
      <c r="D20" s="9">
        <v>20000</v>
      </c>
      <c r="E20" s="9">
        <v>20000</v>
      </c>
      <c r="F20" s="16">
        <v>20000</v>
      </c>
      <c r="G20" s="8">
        <v>22000</v>
      </c>
      <c r="H20" s="16">
        <v>33000</v>
      </c>
      <c r="I20" s="16">
        <v>20000</v>
      </c>
      <c r="J20" s="77" t="s">
        <v>99</v>
      </c>
      <c r="K20" s="67">
        <f t="shared" si="0"/>
        <v>22500</v>
      </c>
      <c r="L20" s="52"/>
      <c r="M20" s="53"/>
      <c r="N20" s="53"/>
    </row>
    <row r="21" spans="1:14" ht="15.75" x14ac:dyDescent="0.25">
      <c r="A21" s="101">
        <v>5</v>
      </c>
      <c r="B21" s="60" t="s">
        <v>18</v>
      </c>
      <c r="C21" s="73"/>
      <c r="D21" s="74"/>
      <c r="E21" s="17"/>
      <c r="F21" s="15" t="s">
        <v>1</v>
      </c>
      <c r="G21" s="76"/>
      <c r="H21" s="15"/>
      <c r="I21" s="15"/>
      <c r="J21" s="75"/>
      <c r="K21" s="71"/>
      <c r="L21" s="52"/>
      <c r="M21" s="53"/>
      <c r="N21" s="53"/>
    </row>
    <row r="22" spans="1:14" ht="15.75" x14ac:dyDescent="0.25">
      <c r="A22" s="101"/>
      <c r="B22" s="66" t="s">
        <v>19</v>
      </c>
      <c r="C22" s="17" t="s">
        <v>6</v>
      </c>
      <c r="D22" s="9">
        <v>120000</v>
      </c>
      <c r="E22" s="9">
        <v>120000</v>
      </c>
      <c r="F22" s="9">
        <v>120000</v>
      </c>
      <c r="G22" s="9">
        <v>120000</v>
      </c>
      <c r="H22" s="9">
        <v>120000</v>
      </c>
      <c r="I22" s="8">
        <v>120000</v>
      </c>
      <c r="J22" s="72" t="s">
        <v>99</v>
      </c>
      <c r="K22" s="67">
        <f t="shared" si="0"/>
        <v>120000</v>
      </c>
      <c r="L22" s="52"/>
      <c r="M22" s="53"/>
      <c r="N22" s="53"/>
    </row>
    <row r="23" spans="1:14" ht="15.75" x14ac:dyDescent="0.25">
      <c r="A23" s="101"/>
      <c r="B23" s="66" t="s">
        <v>20</v>
      </c>
      <c r="C23" s="17" t="s">
        <v>6</v>
      </c>
      <c r="D23" s="9">
        <v>110000</v>
      </c>
      <c r="E23" s="9">
        <v>110000</v>
      </c>
      <c r="F23" s="9">
        <v>110000</v>
      </c>
      <c r="G23" s="9">
        <v>110000</v>
      </c>
      <c r="H23" s="9">
        <v>115000</v>
      </c>
      <c r="I23" s="9">
        <v>110000</v>
      </c>
      <c r="J23" s="72">
        <v>110000</v>
      </c>
      <c r="K23" s="67">
        <f t="shared" si="0"/>
        <v>110714.28571428571</v>
      </c>
      <c r="L23" s="52"/>
      <c r="M23" s="53"/>
      <c r="N23" s="53"/>
    </row>
    <row r="24" spans="1:14" ht="15.75" x14ac:dyDescent="0.25">
      <c r="A24" s="101"/>
      <c r="B24" s="66" t="s">
        <v>21</v>
      </c>
      <c r="C24" s="17" t="s">
        <v>6</v>
      </c>
      <c r="D24" s="9">
        <v>90000</v>
      </c>
      <c r="E24" s="9">
        <v>90000</v>
      </c>
      <c r="F24" s="9">
        <v>100000</v>
      </c>
      <c r="G24" s="9">
        <v>105000</v>
      </c>
      <c r="H24" s="9">
        <v>110000</v>
      </c>
      <c r="I24" s="8">
        <v>100000</v>
      </c>
      <c r="J24" s="72">
        <v>105000</v>
      </c>
      <c r="K24" s="67">
        <f t="shared" si="0"/>
        <v>100000</v>
      </c>
      <c r="L24" s="52"/>
      <c r="M24" s="53"/>
      <c r="N24" s="53"/>
    </row>
    <row r="25" spans="1:14" ht="15.75" x14ac:dyDescent="0.25">
      <c r="A25" s="101"/>
      <c r="B25" s="66" t="s">
        <v>22</v>
      </c>
      <c r="C25" s="17" t="s">
        <v>6</v>
      </c>
      <c r="D25" s="9">
        <v>32000</v>
      </c>
      <c r="E25" s="9">
        <v>31000</v>
      </c>
      <c r="F25" s="9">
        <v>31000</v>
      </c>
      <c r="G25" s="9">
        <v>31000</v>
      </c>
      <c r="H25" s="72">
        <v>32000</v>
      </c>
      <c r="I25" s="9">
        <v>32000</v>
      </c>
      <c r="J25" s="72">
        <v>33000</v>
      </c>
      <c r="K25" s="67">
        <f t="shared" si="0"/>
        <v>31714.285714285714</v>
      </c>
      <c r="L25" s="52"/>
      <c r="M25" s="53"/>
      <c r="N25" s="53"/>
    </row>
    <row r="26" spans="1:14" ht="15.75" x14ac:dyDescent="0.25">
      <c r="A26" s="101">
        <v>6</v>
      </c>
      <c r="B26" s="60" t="s">
        <v>23</v>
      </c>
      <c r="C26" s="73"/>
      <c r="D26" s="74"/>
      <c r="E26" s="17"/>
      <c r="F26" s="76"/>
      <c r="G26" s="15"/>
      <c r="H26" s="75"/>
      <c r="I26" s="15"/>
      <c r="J26" s="75"/>
      <c r="K26" s="71"/>
      <c r="L26" s="52"/>
      <c r="M26" s="53"/>
      <c r="N26" s="53"/>
    </row>
    <row r="27" spans="1:14" ht="15.75" x14ac:dyDescent="0.25">
      <c r="A27" s="101"/>
      <c r="B27" s="66" t="s">
        <v>24</v>
      </c>
      <c r="C27" s="17" t="s">
        <v>6</v>
      </c>
      <c r="D27" s="9">
        <v>35000</v>
      </c>
      <c r="E27" s="9">
        <v>35000</v>
      </c>
      <c r="F27" s="9" t="s">
        <v>99</v>
      </c>
      <c r="G27" s="9">
        <v>40000</v>
      </c>
      <c r="H27" s="9">
        <v>28000</v>
      </c>
      <c r="I27" s="9" t="s">
        <v>99</v>
      </c>
      <c r="J27" s="72">
        <v>30000</v>
      </c>
      <c r="K27" s="67">
        <f t="shared" si="0"/>
        <v>33600</v>
      </c>
      <c r="L27" s="52" t="s">
        <v>100</v>
      </c>
      <c r="M27" s="53"/>
      <c r="N27" s="53"/>
    </row>
    <row r="28" spans="1:14" ht="15.75" x14ac:dyDescent="0.25">
      <c r="A28" s="101"/>
      <c r="B28" s="66" t="s">
        <v>25</v>
      </c>
      <c r="C28" s="17" t="s">
        <v>6</v>
      </c>
      <c r="D28" s="9">
        <v>35000</v>
      </c>
      <c r="E28" s="9">
        <v>28000</v>
      </c>
      <c r="F28" s="9">
        <v>35000</v>
      </c>
      <c r="G28" s="8">
        <v>30000</v>
      </c>
      <c r="H28" s="9">
        <v>20000</v>
      </c>
      <c r="I28" s="9">
        <v>32000</v>
      </c>
      <c r="J28" s="78">
        <v>32000</v>
      </c>
      <c r="K28" s="67">
        <f t="shared" si="0"/>
        <v>30285.714285714286</v>
      </c>
      <c r="L28" s="52"/>
      <c r="M28" s="53"/>
      <c r="N28" s="53"/>
    </row>
    <row r="29" spans="1:14" ht="15.75" x14ac:dyDescent="0.25">
      <c r="A29" s="101"/>
      <c r="B29" s="66" t="s">
        <v>26</v>
      </c>
      <c r="C29" s="17" t="s">
        <v>6</v>
      </c>
      <c r="D29" s="9">
        <v>60000</v>
      </c>
      <c r="E29" s="9">
        <v>60000</v>
      </c>
      <c r="F29" s="16">
        <v>60000</v>
      </c>
      <c r="G29" s="8">
        <v>70000</v>
      </c>
      <c r="H29" s="9">
        <v>63000</v>
      </c>
      <c r="I29" s="9">
        <v>60000</v>
      </c>
      <c r="J29" s="79">
        <v>60000</v>
      </c>
      <c r="K29" s="67">
        <f t="shared" si="0"/>
        <v>61857.142857142855</v>
      </c>
      <c r="L29" s="52"/>
      <c r="M29" s="53"/>
      <c r="N29" s="53"/>
    </row>
    <row r="30" spans="1:14" ht="15.75" x14ac:dyDescent="0.25">
      <c r="A30" s="101"/>
      <c r="B30" s="66" t="s">
        <v>27</v>
      </c>
      <c r="C30" s="17" t="s">
        <v>6</v>
      </c>
      <c r="D30" s="9">
        <v>25000</v>
      </c>
      <c r="E30" s="9" t="s">
        <v>99</v>
      </c>
      <c r="F30" s="10" t="s">
        <v>99</v>
      </c>
      <c r="G30" s="8">
        <v>25000</v>
      </c>
      <c r="H30" s="9">
        <v>23000</v>
      </c>
      <c r="I30" s="9" t="s">
        <v>99</v>
      </c>
      <c r="J30" s="79">
        <v>26000</v>
      </c>
      <c r="K30" s="67">
        <f t="shared" si="0"/>
        <v>24750</v>
      </c>
      <c r="L30" s="52"/>
      <c r="M30" s="53"/>
      <c r="N30" s="53"/>
    </row>
    <row r="31" spans="1:14" ht="15.75" x14ac:dyDescent="0.25">
      <c r="A31" s="101"/>
      <c r="B31" s="66" t="s">
        <v>28</v>
      </c>
      <c r="C31" s="17" t="s">
        <v>6</v>
      </c>
      <c r="D31" s="9">
        <v>35000</v>
      </c>
      <c r="E31" s="9">
        <v>36000</v>
      </c>
      <c r="F31" s="9">
        <v>40000</v>
      </c>
      <c r="G31" s="9">
        <v>40000</v>
      </c>
      <c r="H31" s="9">
        <v>28000</v>
      </c>
      <c r="I31" s="9">
        <v>40000</v>
      </c>
      <c r="J31" s="72">
        <v>35000</v>
      </c>
      <c r="K31" s="67">
        <f t="shared" si="0"/>
        <v>36285.714285714283</v>
      </c>
      <c r="L31" s="52"/>
      <c r="M31" s="53"/>
      <c r="N31" s="53"/>
    </row>
    <row r="32" spans="1:14" ht="15.75" x14ac:dyDescent="0.25">
      <c r="A32" s="101"/>
      <c r="B32" s="66" t="s">
        <v>29</v>
      </c>
      <c r="C32" s="17" t="s">
        <v>6</v>
      </c>
      <c r="D32" s="9" t="s">
        <v>99</v>
      </c>
      <c r="E32" s="9">
        <v>100000</v>
      </c>
      <c r="F32" s="9">
        <v>100000</v>
      </c>
      <c r="G32" s="9" t="s">
        <v>99</v>
      </c>
      <c r="H32" s="9">
        <v>80000</v>
      </c>
      <c r="I32" s="9" t="s">
        <v>99</v>
      </c>
      <c r="J32" s="79">
        <v>70000</v>
      </c>
      <c r="K32" s="67">
        <f t="shared" si="0"/>
        <v>87500</v>
      </c>
      <c r="L32" s="52"/>
      <c r="M32" s="53"/>
      <c r="N32" s="53"/>
    </row>
    <row r="33" spans="1:14" ht="15.75" x14ac:dyDescent="0.25">
      <c r="A33" s="101">
        <v>7</v>
      </c>
      <c r="B33" s="60" t="s">
        <v>30</v>
      </c>
      <c r="C33" s="73"/>
      <c r="D33" s="74"/>
      <c r="E33" s="17"/>
      <c r="F33" s="76"/>
      <c r="G33" s="76"/>
      <c r="H33" s="15"/>
      <c r="I33" s="15"/>
      <c r="J33" s="75"/>
      <c r="K33" s="71"/>
      <c r="L33" s="52"/>
      <c r="M33" s="53"/>
      <c r="N33" s="53"/>
    </row>
    <row r="34" spans="1:14" ht="15.75" x14ac:dyDescent="0.25">
      <c r="A34" s="101"/>
      <c r="B34" s="66" t="s">
        <v>31</v>
      </c>
      <c r="C34" s="17" t="s">
        <v>6</v>
      </c>
      <c r="D34" s="9">
        <v>26000</v>
      </c>
      <c r="E34" s="9">
        <v>26000</v>
      </c>
      <c r="F34" s="9">
        <v>26000</v>
      </c>
      <c r="G34" s="9">
        <v>26000</v>
      </c>
      <c r="H34" s="9">
        <v>26000</v>
      </c>
      <c r="I34" s="9">
        <v>26000</v>
      </c>
      <c r="J34" s="72">
        <v>27000</v>
      </c>
      <c r="K34" s="67">
        <f t="shared" si="0"/>
        <v>26142.857142857141</v>
      </c>
      <c r="L34" s="52"/>
      <c r="M34" s="53"/>
      <c r="N34" s="53"/>
    </row>
    <row r="35" spans="1:14" ht="15.75" x14ac:dyDescent="0.25">
      <c r="A35" s="101"/>
      <c r="B35" s="66" t="s">
        <v>32</v>
      </c>
      <c r="C35" s="17" t="s">
        <v>33</v>
      </c>
      <c r="D35" s="9">
        <v>3000</v>
      </c>
      <c r="E35" s="9">
        <v>2500</v>
      </c>
      <c r="F35" s="9">
        <v>2500</v>
      </c>
      <c r="G35" s="9">
        <v>2800</v>
      </c>
      <c r="H35" s="9">
        <v>2500</v>
      </c>
      <c r="I35" s="9">
        <v>3000</v>
      </c>
      <c r="J35" s="72">
        <v>3000</v>
      </c>
      <c r="K35" s="67">
        <f t="shared" si="0"/>
        <v>2757.1428571428573</v>
      </c>
      <c r="L35" s="52"/>
      <c r="M35" s="53"/>
      <c r="N35" s="53"/>
    </row>
    <row r="36" spans="1:14" ht="15.75" x14ac:dyDescent="0.25">
      <c r="A36" s="59">
        <v>8</v>
      </c>
      <c r="B36" s="73" t="s">
        <v>117</v>
      </c>
      <c r="C36" s="80"/>
      <c r="D36" s="9"/>
      <c r="E36" s="9"/>
      <c r="F36" s="9"/>
      <c r="G36" s="9"/>
      <c r="H36" s="9"/>
      <c r="I36" s="9"/>
      <c r="J36" s="72"/>
      <c r="K36" s="81"/>
      <c r="L36" s="52"/>
      <c r="M36" s="53"/>
      <c r="N36" s="53"/>
    </row>
    <row r="37" spans="1:14" ht="15.75" x14ac:dyDescent="0.25">
      <c r="A37" s="59"/>
      <c r="B37" s="66" t="s">
        <v>118</v>
      </c>
      <c r="C37" s="17" t="s">
        <v>6</v>
      </c>
      <c r="D37" s="9">
        <v>10000</v>
      </c>
      <c r="E37" s="9">
        <v>1250</v>
      </c>
      <c r="F37" s="9">
        <v>9000</v>
      </c>
      <c r="G37" s="9">
        <v>9000</v>
      </c>
      <c r="H37" s="9">
        <v>16000</v>
      </c>
      <c r="I37" s="9">
        <v>9000</v>
      </c>
      <c r="J37" s="72">
        <v>3000</v>
      </c>
      <c r="K37" s="67">
        <f t="shared" si="0"/>
        <v>8178.5714285714284</v>
      </c>
      <c r="L37" s="52"/>
      <c r="M37" s="53"/>
      <c r="N37" s="53"/>
    </row>
    <row r="38" spans="1:14" ht="15.75" x14ac:dyDescent="0.25">
      <c r="A38" s="59"/>
      <c r="B38" s="66" t="s">
        <v>119</v>
      </c>
      <c r="C38" s="17" t="s">
        <v>6</v>
      </c>
      <c r="D38" s="9" t="s">
        <v>99</v>
      </c>
      <c r="E38" s="9">
        <v>10000</v>
      </c>
      <c r="F38" s="9">
        <v>12000</v>
      </c>
      <c r="G38" s="9">
        <v>14000</v>
      </c>
      <c r="H38" s="9" t="s">
        <v>99</v>
      </c>
      <c r="I38" s="9">
        <v>12000</v>
      </c>
      <c r="J38" s="72">
        <v>12000</v>
      </c>
      <c r="K38" s="67">
        <f>AVERAGE(D38:J38)</f>
        <v>12000</v>
      </c>
      <c r="L38" s="52"/>
      <c r="M38" s="53"/>
      <c r="N38" s="53"/>
    </row>
    <row r="39" spans="1:14" ht="15.75" x14ac:dyDescent="0.25">
      <c r="A39" s="59">
        <v>9</v>
      </c>
      <c r="B39" s="82" t="s">
        <v>120</v>
      </c>
      <c r="C39" s="83"/>
      <c r="D39" s="9"/>
      <c r="E39" s="9"/>
      <c r="F39" s="9"/>
      <c r="G39" s="9"/>
      <c r="H39" s="9"/>
      <c r="I39" s="9"/>
      <c r="J39" s="72"/>
      <c r="K39" s="81"/>
      <c r="L39" s="52"/>
      <c r="M39" s="53"/>
      <c r="N39" s="53"/>
    </row>
    <row r="40" spans="1:14" ht="15.75" x14ac:dyDescent="0.25">
      <c r="A40" s="59"/>
      <c r="B40" s="66" t="s">
        <v>121</v>
      </c>
      <c r="C40" s="17" t="s">
        <v>6</v>
      </c>
      <c r="D40" s="9" t="s">
        <v>99</v>
      </c>
      <c r="E40" s="9" t="s">
        <v>99</v>
      </c>
      <c r="F40" s="9" t="s">
        <v>99</v>
      </c>
      <c r="G40" s="9">
        <v>16000</v>
      </c>
      <c r="H40" s="9">
        <v>14000</v>
      </c>
      <c r="I40" s="9" t="s">
        <v>99</v>
      </c>
      <c r="J40" s="72">
        <v>15000</v>
      </c>
      <c r="K40" s="67">
        <f t="shared" si="0"/>
        <v>15000</v>
      </c>
      <c r="L40" s="52"/>
      <c r="M40" s="53"/>
      <c r="N40" s="53"/>
    </row>
    <row r="41" spans="1:14" ht="15.75" x14ac:dyDescent="0.25">
      <c r="A41" s="59"/>
      <c r="B41" s="66" t="s">
        <v>122</v>
      </c>
      <c r="C41" s="17" t="s">
        <v>6</v>
      </c>
      <c r="D41" s="9" t="s">
        <v>99</v>
      </c>
      <c r="E41" s="9" t="s">
        <v>99</v>
      </c>
      <c r="F41" s="9">
        <v>6000</v>
      </c>
      <c r="G41" s="9" t="s">
        <v>99</v>
      </c>
      <c r="H41" s="9" t="s">
        <v>99</v>
      </c>
      <c r="I41" s="9">
        <v>6000</v>
      </c>
      <c r="J41" s="72" t="s">
        <v>99</v>
      </c>
      <c r="K41" s="67">
        <f t="shared" si="0"/>
        <v>6000</v>
      </c>
      <c r="L41" s="52"/>
      <c r="M41" s="53"/>
      <c r="N41" s="53"/>
    </row>
    <row r="42" spans="1:14" ht="15.75" x14ac:dyDescent="0.25">
      <c r="A42" s="59"/>
      <c r="B42" s="66" t="s">
        <v>123</v>
      </c>
      <c r="C42" s="17" t="s">
        <v>6</v>
      </c>
      <c r="D42" s="9" t="s">
        <v>99</v>
      </c>
      <c r="E42" s="9">
        <v>2500</v>
      </c>
      <c r="F42" s="9" t="s">
        <v>99</v>
      </c>
      <c r="G42" s="9" t="s">
        <v>99</v>
      </c>
      <c r="H42" s="9" t="s">
        <v>99</v>
      </c>
      <c r="I42" s="9" t="s">
        <v>99</v>
      </c>
      <c r="J42" s="72" t="s">
        <v>99</v>
      </c>
      <c r="K42" s="67">
        <f t="shared" si="0"/>
        <v>2500</v>
      </c>
      <c r="L42" s="52"/>
      <c r="M42" s="53"/>
      <c r="N42" s="53"/>
    </row>
    <row r="43" spans="1:14" ht="15.75" x14ac:dyDescent="0.25">
      <c r="A43" s="101">
        <v>10</v>
      </c>
      <c r="B43" s="60" t="s">
        <v>34</v>
      </c>
      <c r="C43" s="73"/>
      <c r="D43" s="74"/>
      <c r="E43" s="17"/>
      <c r="F43" s="76"/>
      <c r="G43" s="15"/>
      <c r="H43" s="15"/>
      <c r="I43" s="15"/>
      <c r="J43" s="84"/>
      <c r="K43" s="71"/>
      <c r="L43" s="52"/>
      <c r="M43" s="53"/>
      <c r="N43" s="53"/>
    </row>
    <row r="44" spans="1:14" ht="15.75" x14ac:dyDescent="0.25">
      <c r="A44" s="101"/>
      <c r="B44" s="66" t="s">
        <v>35</v>
      </c>
      <c r="C44" s="17" t="s">
        <v>36</v>
      </c>
      <c r="D44" s="9">
        <v>12000</v>
      </c>
      <c r="E44" s="9">
        <v>12000</v>
      </c>
      <c r="F44" s="9">
        <v>12500</v>
      </c>
      <c r="G44" s="9">
        <v>12500</v>
      </c>
      <c r="H44" s="10" t="s">
        <v>99</v>
      </c>
      <c r="I44" s="16">
        <v>12500</v>
      </c>
      <c r="J44" s="72">
        <v>12500</v>
      </c>
      <c r="K44" s="67">
        <f t="shared" si="0"/>
        <v>12333.333333333334</v>
      </c>
      <c r="L44" s="52"/>
      <c r="M44" s="53"/>
      <c r="N44" s="53"/>
    </row>
    <row r="45" spans="1:14" ht="15.75" x14ac:dyDescent="0.25">
      <c r="A45" s="101"/>
      <c r="B45" s="66" t="s">
        <v>124</v>
      </c>
      <c r="C45" s="17" t="s">
        <v>36</v>
      </c>
      <c r="D45" s="9">
        <v>12000</v>
      </c>
      <c r="E45" s="9">
        <v>13000</v>
      </c>
      <c r="F45" s="16">
        <v>12500</v>
      </c>
      <c r="G45" s="9">
        <v>12500</v>
      </c>
      <c r="H45" s="10" t="s">
        <v>99</v>
      </c>
      <c r="I45" s="16">
        <v>12500</v>
      </c>
      <c r="J45" s="79">
        <v>12500</v>
      </c>
      <c r="K45" s="67">
        <f>AVERAGE(D45:J45)</f>
        <v>12500</v>
      </c>
      <c r="L45" s="52"/>
      <c r="M45" s="53"/>
      <c r="N45" s="53"/>
    </row>
    <row r="46" spans="1:14" ht="15.75" x14ac:dyDescent="0.25">
      <c r="A46" s="101">
        <v>11</v>
      </c>
      <c r="B46" s="60" t="s">
        <v>38</v>
      </c>
      <c r="C46" s="73"/>
      <c r="D46" s="74"/>
      <c r="E46" s="17"/>
      <c r="F46" s="15"/>
      <c r="G46" s="76"/>
      <c r="H46" s="15"/>
      <c r="I46" s="15"/>
      <c r="J46" s="75"/>
      <c r="K46" s="71"/>
      <c r="L46" s="52"/>
      <c r="M46" s="53"/>
      <c r="N46" s="53"/>
    </row>
    <row r="47" spans="1:14" ht="15.75" x14ac:dyDescent="0.25">
      <c r="A47" s="101"/>
      <c r="B47" s="66" t="s">
        <v>39</v>
      </c>
      <c r="C47" s="17" t="s">
        <v>40</v>
      </c>
      <c r="D47" s="9" t="s">
        <v>99</v>
      </c>
      <c r="E47" s="9" t="s">
        <v>99</v>
      </c>
      <c r="F47" s="10" t="s">
        <v>99</v>
      </c>
      <c r="G47" s="8" t="s">
        <v>99</v>
      </c>
      <c r="H47" s="9">
        <v>17500</v>
      </c>
      <c r="I47" s="16" t="s">
        <v>99</v>
      </c>
      <c r="J47" s="79" t="s">
        <v>99</v>
      </c>
      <c r="K47" s="67">
        <f t="shared" si="0"/>
        <v>17500</v>
      </c>
      <c r="L47" s="52"/>
      <c r="M47" s="53"/>
      <c r="N47" s="53"/>
    </row>
    <row r="48" spans="1:14" ht="15.75" x14ac:dyDescent="0.25">
      <c r="A48" s="101"/>
      <c r="B48" s="66" t="s">
        <v>41</v>
      </c>
      <c r="C48" s="17" t="s">
        <v>42</v>
      </c>
      <c r="D48" s="9" t="s">
        <v>99</v>
      </c>
      <c r="E48" s="9" t="s">
        <v>99</v>
      </c>
      <c r="F48" s="10" t="s">
        <v>99</v>
      </c>
      <c r="G48" s="8" t="s">
        <v>99</v>
      </c>
      <c r="H48" s="9">
        <v>2000</v>
      </c>
      <c r="I48" s="16" t="s">
        <v>99</v>
      </c>
      <c r="J48" s="79" t="s">
        <v>99</v>
      </c>
      <c r="K48" s="67">
        <f t="shared" si="0"/>
        <v>2000</v>
      </c>
      <c r="L48" s="52"/>
      <c r="M48" s="53"/>
      <c r="N48" s="53"/>
    </row>
    <row r="49" spans="1:14" ht="15.75" x14ac:dyDescent="0.25">
      <c r="A49" s="59">
        <v>12</v>
      </c>
      <c r="B49" s="85" t="s">
        <v>43</v>
      </c>
      <c r="C49" s="80"/>
      <c r="D49" s="19"/>
      <c r="E49" s="10"/>
      <c r="F49" s="10"/>
      <c r="G49" s="22"/>
      <c r="H49" s="10"/>
      <c r="I49" s="10"/>
      <c r="J49" s="77"/>
      <c r="K49" s="71"/>
      <c r="L49" s="52"/>
      <c r="M49" s="53"/>
      <c r="N49" s="53"/>
    </row>
    <row r="50" spans="1:14" ht="15.75" x14ac:dyDescent="0.25">
      <c r="A50" s="59"/>
      <c r="B50" s="66" t="s">
        <v>44</v>
      </c>
      <c r="C50" s="86" t="s">
        <v>6</v>
      </c>
      <c r="D50" s="9" t="s">
        <v>99</v>
      </c>
      <c r="E50" s="9">
        <v>8000</v>
      </c>
      <c r="F50" s="9">
        <v>10000</v>
      </c>
      <c r="G50" s="9">
        <v>10000</v>
      </c>
      <c r="H50" s="9">
        <v>15000</v>
      </c>
      <c r="I50" s="8">
        <v>15000</v>
      </c>
      <c r="J50" s="72">
        <v>15000</v>
      </c>
      <c r="K50" s="67">
        <f t="shared" si="0"/>
        <v>12166.666666666666</v>
      </c>
      <c r="L50" s="52"/>
      <c r="M50" s="53" t="s">
        <v>101</v>
      </c>
      <c r="N50" s="53"/>
    </row>
    <row r="51" spans="1:14" ht="15.75" x14ac:dyDescent="0.25">
      <c r="A51" s="59"/>
      <c r="B51" s="66" t="s">
        <v>45</v>
      </c>
      <c r="C51" s="86" t="s">
        <v>6</v>
      </c>
      <c r="D51" s="9">
        <v>10000</v>
      </c>
      <c r="E51" s="9">
        <v>10000</v>
      </c>
      <c r="F51" s="8">
        <v>9000</v>
      </c>
      <c r="G51" s="9">
        <v>10000</v>
      </c>
      <c r="H51" s="9">
        <v>12000</v>
      </c>
      <c r="I51" s="9">
        <v>13000</v>
      </c>
      <c r="J51" s="72">
        <v>10000</v>
      </c>
      <c r="K51" s="67">
        <f t="shared" si="0"/>
        <v>10571.428571428571</v>
      </c>
      <c r="L51" s="52"/>
      <c r="M51" s="53"/>
      <c r="N51" s="56"/>
    </row>
    <row r="52" spans="1:14" ht="15.75" x14ac:dyDescent="0.25">
      <c r="A52" s="101">
        <v>13</v>
      </c>
      <c r="B52" s="60" t="s">
        <v>46</v>
      </c>
      <c r="C52" s="73"/>
      <c r="D52" s="74"/>
      <c r="E52" s="17"/>
      <c r="F52" s="76"/>
      <c r="G52" s="76"/>
      <c r="H52" s="15"/>
      <c r="I52" s="15"/>
      <c r="J52" s="84"/>
      <c r="K52" s="71"/>
      <c r="L52" s="52"/>
      <c r="M52" s="53"/>
      <c r="N52" s="53"/>
    </row>
    <row r="53" spans="1:14" ht="15.75" x14ac:dyDescent="0.25">
      <c r="A53" s="101"/>
      <c r="B53" s="66" t="s">
        <v>47</v>
      </c>
      <c r="C53" s="17" t="s">
        <v>125</v>
      </c>
      <c r="D53" s="9">
        <v>3000</v>
      </c>
      <c r="E53" s="9">
        <v>4000</v>
      </c>
      <c r="F53" s="9">
        <v>5000</v>
      </c>
      <c r="G53" s="9">
        <v>5000</v>
      </c>
      <c r="H53" s="9">
        <v>2500</v>
      </c>
      <c r="I53" s="16">
        <v>5000</v>
      </c>
      <c r="J53" s="72">
        <v>2500</v>
      </c>
      <c r="K53" s="67">
        <f t="shared" si="0"/>
        <v>3857.1428571428573</v>
      </c>
      <c r="L53" s="52"/>
      <c r="M53" s="53"/>
      <c r="N53" s="53"/>
    </row>
    <row r="54" spans="1:14" ht="15.75" x14ac:dyDescent="0.25">
      <c r="A54" s="101">
        <v>14</v>
      </c>
      <c r="B54" s="60" t="s">
        <v>49</v>
      </c>
      <c r="C54" s="80"/>
      <c r="D54" s="62"/>
      <c r="E54" s="17"/>
      <c r="F54" s="20"/>
      <c r="G54" s="20"/>
      <c r="H54" s="17"/>
      <c r="I54" s="17"/>
      <c r="J54" s="87"/>
      <c r="K54" s="71"/>
      <c r="L54" s="52"/>
      <c r="M54" s="53"/>
      <c r="N54" s="53"/>
    </row>
    <row r="55" spans="1:14" ht="15.75" x14ac:dyDescent="0.25">
      <c r="A55" s="101"/>
      <c r="B55" s="88" t="s">
        <v>50</v>
      </c>
      <c r="C55" s="86" t="s">
        <v>6</v>
      </c>
      <c r="D55" s="9">
        <v>10000</v>
      </c>
      <c r="E55" s="9">
        <v>10500</v>
      </c>
      <c r="F55" s="9">
        <v>10000</v>
      </c>
      <c r="G55" s="9">
        <v>11000</v>
      </c>
      <c r="H55" s="9">
        <v>12000</v>
      </c>
      <c r="I55" s="9">
        <v>10000</v>
      </c>
      <c r="J55" s="72">
        <v>10000</v>
      </c>
      <c r="K55" s="67">
        <f t="shared" si="0"/>
        <v>10500</v>
      </c>
      <c r="L55" s="52"/>
      <c r="M55" s="53"/>
      <c r="N55" s="53"/>
    </row>
    <row r="56" spans="1:14" ht="15.75" x14ac:dyDescent="0.25">
      <c r="A56" s="101">
        <v>15</v>
      </c>
      <c r="B56" s="60" t="s">
        <v>51</v>
      </c>
      <c r="C56" s="73"/>
      <c r="D56" s="74"/>
      <c r="E56" s="17"/>
      <c r="F56" s="76"/>
      <c r="G56" s="15"/>
      <c r="H56" s="15"/>
      <c r="I56" s="15"/>
      <c r="J56" s="84"/>
      <c r="K56" s="71"/>
      <c r="L56" s="52"/>
      <c r="M56" s="53"/>
      <c r="N56" s="53"/>
    </row>
    <row r="57" spans="1:14" ht="15.75" x14ac:dyDescent="0.25">
      <c r="A57" s="101"/>
      <c r="B57" s="66" t="s">
        <v>52</v>
      </c>
      <c r="C57" s="17" t="s">
        <v>6</v>
      </c>
      <c r="D57" s="9">
        <v>16000</v>
      </c>
      <c r="E57" s="9">
        <v>13000</v>
      </c>
      <c r="F57" s="9">
        <v>14000</v>
      </c>
      <c r="G57" s="9">
        <v>14000</v>
      </c>
      <c r="H57" s="9">
        <v>11500</v>
      </c>
      <c r="I57" s="9">
        <v>17000</v>
      </c>
      <c r="J57" s="72" t="s">
        <v>99</v>
      </c>
      <c r="K57" s="67">
        <f t="shared" si="0"/>
        <v>14250</v>
      </c>
      <c r="L57" s="52"/>
      <c r="M57" s="53"/>
      <c r="N57" s="53"/>
    </row>
    <row r="58" spans="1:14" ht="15.75" x14ac:dyDescent="0.25">
      <c r="A58" s="101"/>
      <c r="B58" s="66" t="s">
        <v>53</v>
      </c>
      <c r="C58" s="17" t="s">
        <v>6</v>
      </c>
      <c r="D58" s="9" t="s">
        <v>99</v>
      </c>
      <c r="E58" s="9" t="s">
        <v>99</v>
      </c>
      <c r="F58" s="16">
        <v>15000</v>
      </c>
      <c r="G58" s="22" t="s">
        <v>99</v>
      </c>
      <c r="H58" s="9">
        <v>13000</v>
      </c>
      <c r="I58" s="8">
        <v>15000</v>
      </c>
      <c r="J58" s="72">
        <v>14000</v>
      </c>
      <c r="K58" s="67">
        <f t="shared" si="0"/>
        <v>14250</v>
      </c>
      <c r="L58" s="52"/>
      <c r="M58" s="53"/>
      <c r="N58" s="53"/>
    </row>
    <row r="59" spans="1:14" ht="15.75" x14ac:dyDescent="0.25">
      <c r="A59" s="101"/>
      <c r="B59" s="66" t="s">
        <v>54</v>
      </c>
      <c r="C59" s="17" t="s">
        <v>6</v>
      </c>
      <c r="D59" s="9">
        <v>24000</v>
      </c>
      <c r="E59" s="9">
        <v>23000</v>
      </c>
      <c r="F59" s="9">
        <v>23000</v>
      </c>
      <c r="G59" s="9">
        <v>23000</v>
      </c>
      <c r="H59" s="9">
        <v>20000</v>
      </c>
      <c r="I59" s="9">
        <v>23000</v>
      </c>
      <c r="J59" s="72">
        <v>24000</v>
      </c>
      <c r="K59" s="67">
        <f t="shared" si="0"/>
        <v>22857.142857142859</v>
      </c>
      <c r="L59" s="52"/>
      <c r="M59" s="53"/>
      <c r="N59" s="53"/>
    </row>
    <row r="60" spans="1:14" ht="15.75" x14ac:dyDescent="0.25">
      <c r="A60" s="101"/>
      <c r="B60" s="66" t="s">
        <v>55</v>
      </c>
      <c r="C60" s="17" t="s">
        <v>6</v>
      </c>
      <c r="D60" s="9">
        <v>30000</v>
      </c>
      <c r="E60" s="9">
        <v>30000</v>
      </c>
      <c r="F60" s="9">
        <v>28000</v>
      </c>
      <c r="G60" s="9">
        <v>30000</v>
      </c>
      <c r="H60" s="9">
        <v>27000</v>
      </c>
      <c r="I60" s="9">
        <v>28000</v>
      </c>
      <c r="J60" s="72">
        <v>28000</v>
      </c>
      <c r="K60" s="67">
        <f t="shared" si="0"/>
        <v>28714.285714285714</v>
      </c>
      <c r="L60" s="52"/>
      <c r="M60" s="53"/>
      <c r="N60" s="53"/>
    </row>
    <row r="61" spans="1:14" ht="15.75" x14ac:dyDescent="0.25">
      <c r="A61" s="17">
        <v>16</v>
      </c>
      <c r="B61" s="60" t="s">
        <v>56</v>
      </c>
      <c r="C61" s="80"/>
      <c r="D61" s="89"/>
      <c r="E61" s="10"/>
      <c r="F61" s="22"/>
      <c r="G61" s="10"/>
      <c r="H61" s="10"/>
      <c r="I61" s="10"/>
      <c r="J61" s="90"/>
      <c r="K61" s="71"/>
      <c r="L61" s="52"/>
      <c r="M61" s="53"/>
      <c r="N61" s="53"/>
    </row>
    <row r="62" spans="1:14" ht="15.75" x14ac:dyDescent="0.25">
      <c r="A62" s="17"/>
      <c r="B62" s="66" t="s">
        <v>57</v>
      </c>
      <c r="C62" s="86" t="s">
        <v>58</v>
      </c>
      <c r="D62" s="9">
        <v>3000</v>
      </c>
      <c r="E62" s="9">
        <v>3200</v>
      </c>
      <c r="F62" s="9">
        <v>3000</v>
      </c>
      <c r="G62" s="9">
        <v>3000</v>
      </c>
      <c r="H62" s="10" t="s">
        <v>99</v>
      </c>
      <c r="I62" s="16">
        <v>3000</v>
      </c>
      <c r="J62" s="72">
        <v>3500</v>
      </c>
      <c r="K62" s="67">
        <f t="shared" si="0"/>
        <v>3116.6666666666665</v>
      </c>
      <c r="L62" s="52"/>
      <c r="M62" s="53"/>
      <c r="N62" s="53"/>
    </row>
    <row r="63" spans="1:14" ht="15.75" x14ac:dyDescent="0.25">
      <c r="A63" s="101">
        <v>17</v>
      </c>
      <c r="B63" s="60" t="s">
        <v>59</v>
      </c>
      <c r="C63" s="73"/>
      <c r="D63" s="74"/>
      <c r="E63" s="17"/>
      <c r="F63" s="76"/>
      <c r="G63" s="76"/>
      <c r="H63" s="15"/>
      <c r="I63" s="15"/>
      <c r="J63" s="84"/>
      <c r="K63" s="71"/>
      <c r="L63" s="52"/>
      <c r="M63" s="53"/>
      <c r="N63" s="53"/>
    </row>
    <row r="64" spans="1:14" ht="15.75" x14ac:dyDescent="0.25">
      <c r="A64" s="101"/>
      <c r="B64" s="66" t="s">
        <v>60</v>
      </c>
      <c r="C64" s="17" t="s">
        <v>6</v>
      </c>
      <c r="D64" s="9">
        <v>70000</v>
      </c>
      <c r="E64" s="9">
        <v>65000</v>
      </c>
      <c r="F64" s="9">
        <v>66000</v>
      </c>
      <c r="G64" s="9">
        <v>60000</v>
      </c>
      <c r="H64" s="9">
        <v>70000</v>
      </c>
      <c r="I64" s="9">
        <v>70000</v>
      </c>
      <c r="J64" s="72">
        <v>80000</v>
      </c>
      <c r="K64" s="67">
        <f t="shared" si="0"/>
        <v>68714.28571428571</v>
      </c>
      <c r="L64" s="52"/>
      <c r="M64" s="53"/>
      <c r="N64" s="53"/>
    </row>
    <row r="65" spans="1:14" ht="15.75" x14ac:dyDescent="0.25">
      <c r="A65" s="101"/>
      <c r="B65" s="66" t="s">
        <v>61</v>
      </c>
      <c r="C65" s="17" t="s">
        <v>6</v>
      </c>
      <c r="D65" s="9">
        <v>60000</v>
      </c>
      <c r="E65" s="9">
        <v>48000</v>
      </c>
      <c r="F65" s="9">
        <v>45000</v>
      </c>
      <c r="G65" s="9">
        <v>50000</v>
      </c>
      <c r="H65" s="9">
        <v>50000</v>
      </c>
      <c r="I65" s="8">
        <v>57000</v>
      </c>
      <c r="J65" s="72">
        <v>60000</v>
      </c>
      <c r="K65" s="67">
        <f t="shared" si="0"/>
        <v>52857.142857142855</v>
      </c>
      <c r="L65" s="52"/>
      <c r="M65" s="53"/>
      <c r="N65" s="53"/>
    </row>
    <row r="66" spans="1:14" ht="15.75" x14ac:dyDescent="0.25">
      <c r="A66" s="101"/>
      <c r="B66" s="66" t="s">
        <v>62</v>
      </c>
      <c r="C66" s="17" t="s">
        <v>6</v>
      </c>
      <c r="D66" s="9">
        <v>30000</v>
      </c>
      <c r="E66" s="9">
        <v>30000</v>
      </c>
      <c r="F66" s="9">
        <v>25000</v>
      </c>
      <c r="G66" s="9">
        <v>30000</v>
      </c>
      <c r="H66" s="9">
        <v>30000</v>
      </c>
      <c r="I66" s="9">
        <v>30000</v>
      </c>
      <c r="J66" s="72">
        <v>35000</v>
      </c>
      <c r="K66" s="67">
        <f t="shared" si="0"/>
        <v>30000</v>
      </c>
      <c r="L66" s="52"/>
      <c r="M66" s="53"/>
      <c r="N66" s="53"/>
    </row>
    <row r="67" spans="1:14" ht="15.75" x14ac:dyDescent="0.25">
      <c r="A67" s="17">
        <v>18</v>
      </c>
      <c r="B67" s="60" t="s">
        <v>63</v>
      </c>
      <c r="C67" s="80"/>
      <c r="D67" s="24"/>
      <c r="E67" s="10"/>
      <c r="F67" s="22"/>
      <c r="G67" s="10"/>
      <c r="H67" s="10" t="s">
        <v>1</v>
      </c>
      <c r="I67" s="10"/>
      <c r="J67" s="77"/>
      <c r="K67" s="71"/>
      <c r="L67" s="52"/>
      <c r="M67" s="53"/>
      <c r="N67" s="53"/>
    </row>
    <row r="68" spans="1:14" ht="15.75" x14ac:dyDescent="0.25">
      <c r="A68" s="17"/>
      <c r="B68" s="66" t="s">
        <v>64</v>
      </c>
      <c r="C68" s="17" t="s">
        <v>65</v>
      </c>
      <c r="D68" s="9">
        <v>20000</v>
      </c>
      <c r="E68" s="9">
        <v>18000</v>
      </c>
      <c r="F68" s="9">
        <v>18000</v>
      </c>
      <c r="G68" s="9">
        <v>18000</v>
      </c>
      <c r="H68" s="10" t="s">
        <v>99</v>
      </c>
      <c r="I68" s="9">
        <v>18000</v>
      </c>
      <c r="J68" s="79">
        <v>18000</v>
      </c>
      <c r="K68" s="67">
        <f t="shared" si="0"/>
        <v>18333.333333333332</v>
      </c>
      <c r="L68" s="52"/>
      <c r="M68" s="53"/>
      <c r="N68" s="53"/>
    </row>
    <row r="69" spans="1:14" ht="15.75" x14ac:dyDescent="0.25">
      <c r="A69" s="101">
        <v>19</v>
      </c>
      <c r="B69" s="60" t="s">
        <v>66</v>
      </c>
      <c r="C69" s="60"/>
      <c r="D69" s="74"/>
      <c r="E69" s="17"/>
      <c r="F69" s="15"/>
      <c r="G69" s="15"/>
      <c r="H69" s="15"/>
      <c r="I69" s="15"/>
      <c r="J69" s="75"/>
      <c r="K69" s="71"/>
      <c r="L69" s="52"/>
      <c r="M69" s="53"/>
      <c r="N69" s="53"/>
    </row>
    <row r="70" spans="1:14" ht="15.75" x14ac:dyDescent="0.25">
      <c r="A70" s="101"/>
      <c r="B70" s="66" t="s">
        <v>67</v>
      </c>
      <c r="C70" s="17" t="s">
        <v>6</v>
      </c>
      <c r="D70" s="9">
        <v>36000</v>
      </c>
      <c r="E70" s="9">
        <v>35000</v>
      </c>
      <c r="F70" s="9">
        <v>36000</v>
      </c>
      <c r="G70" s="9">
        <v>35000</v>
      </c>
      <c r="H70" s="9">
        <v>36000</v>
      </c>
      <c r="I70" s="9">
        <v>40000</v>
      </c>
      <c r="J70" s="72">
        <v>40000</v>
      </c>
      <c r="K70" s="67">
        <f t="shared" si="0"/>
        <v>36857.142857142855</v>
      </c>
      <c r="L70" s="52"/>
      <c r="M70" s="53"/>
      <c r="N70" s="53"/>
    </row>
    <row r="71" spans="1:14" ht="15.75" x14ac:dyDescent="0.25">
      <c r="A71" s="101"/>
      <c r="B71" s="66" t="s">
        <v>68</v>
      </c>
      <c r="C71" s="17" t="s">
        <v>6</v>
      </c>
      <c r="D71" s="9">
        <v>34000</v>
      </c>
      <c r="E71" s="9">
        <v>32000</v>
      </c>
      <c r="F71" s="9">
        <v>34000</v>
      </c>
      <c r="G71" s="9">
        <v>32000</v>
      </c>
      <c r="H71" s="9">
        <v>31000</v>
      </c>
      <c r="I71" s="9">
        <v>35000</v>
      </c>
      <c r="J71" s="72">
        <v>33000</v>
      </c>
      <c r="K71" s="67">
        <f t="shared" si="0"/>
        <v>33000</v>
      </c>
      <c r="L71" s="52"/>
      <c r="M71" s="53"/>
      <c r="N71" s="53"/>
    </row>
    <row r="72" spans="1:14" ht="15.75" x14ac:dyDescent="0.25">
      <c r="A72" s="101"/>
      <c r="B72" s="66" t="s">
        <v>69</v>
      </c>
      <c r="C72" s="17" t="s">
        <v>6</v>
      </c>
      <c r="D72" s="9">
        <v>26000</v>
      </c>
      <c r="E72" s="9">
        <v>28000</v>
      </c>
      <c r="F72" s="9">
        <v>24000</v>
      </c>
      <c r="G72" s="9">
        <v>28000</v>
      </c>
      <c r="H72" s="9">
        <v>20000</v>
      </c>
      <c r="I72" s="9">
        <v>25000</v>
      </c>
      <c r="J72" s="72">
        <v>30000</v>
      </c>
      <c r="K72" s="67">
        <f t="shared" si="0"/>
        <v>25857.142857142859</v>
      </c>
      <c r="L72" s="52"/>
      <c r="M72" s="53"/>
      <c r="N72" s="53"/>
    </row>
    <row r="73" spans="1:14" ht="15.75" x14ac:dyDescent="0.25">
      <c r="A73" s="101"/>
      <c r="B73" s="66" t="s">
        <v>70</v>
      </c>
      <c r="C73" s="17" t="s">
        <v>6</v>
      </c>
      <c r="D73" s="9">
        <v>28000</v>
      </c>
      <c r="E73" s="9">
        <v>25000</v>
      </c>
      <c r="F73" s="16">
        <v>28000</v>
      </c>
      <c r="G73" s="8">
        <v>30000</v>
      </c>
      <c r="H73" s="9">
        <v>25000</v>
      </c>
      <c r="I73" s="9">
        <v>25000</v>
      </c>
      <c r="J73" s="72" t="s">
        <v>99</v>
      </c>
      <c r="K73" s="67">
        <f t="shared" si="0"/>
        <v>26833.333333333332</v>
      </c>
      <c r="L73" s="52"/>
      <c r="M73" s="53"/>
      <c r="N73" s="53"/>
    </row>
    <row r="74" spans="1:14" ht="15.75" x14ac:dyDescent="0.25">
      <c r="A74" s="17">
        <v>20</v>
      </c>
      <c r="B74" s="60" t="s">
        <v>71</v>
      </c>
      <c r="C74" s="91"/>
      <c r="D74" s="24"/>
      <c r="E74" s="10"/>
      <c r="F74" s="10"/>
      <c r="G74" s="89"/>
      <c r="H74" s="10"/>
      <c r="I74" s="10"/>
      <c r="J74" s="90"/>
      <c r="K74" s="71"/>
      <c r="L74" s="52"/>
      <c r="M74" s="53"/>
      <c r="N74" s="53"/>
    </row>
    <row r="75" spans="1:14" ht="15.75" x14ac:dyDescent="0.25">
      <c r="A75" s="17"/>
      <c r="B75" s="66" t="s">
        <v>72</v>
      </c>
      <c r="C75" s="86" t="s">
        <v>6</v>
      </c>
      <c r="D75" s="9">
        <v>7000</v>
      </c>
      <c r="E75" s="9">
        <v>7000</v>
      </c>
      <c r="F75" s="9">
        <v>5000</v>
      </c>
      <c r="G75" s="9">
        <v>6000</v>
      </c>
      <c r="H75" s="9">
        <v>5000</v>
      </c>
      <c r="I75" s="9">
        <v>5000</v>
      </c>
      <c r="J75" s="72">
        <v>5000</v>
      </c>
      <c r="K75" s="67">
        <f t="shared" si="0"/>
        <v>5714.2857142857147</v>
      </c>
      <c r="L75" s="52"/>
      <c r="M75" s="53"/>
      <c r="N75" s="53"/>
    </row>
    <row r="76" spans="1:14" ht="15.75" x14ac:dyDescent="0.25">
      <c r="A76" s="17"/>
      <c r="B76" s="66" t="s">
        <v>73</v>
      </c>
      <c r="C76" s="86" t="s">
        <v>6</v>
      </c>
      <c r="D76" s="9">
        <v>7000</v>
      </c>
      <c r="E76" s="9">
        <v>6000</v>
      </c>
      <c r="F76" s="16">
        <v>6000</v>
      </c>
      <c r="G76" s="8">
        <v>6000</v>
      </c>
      <c r="H76" s="9">
        <v>5000</v>
      </c>
      <c r="I76" s="9">
        <v>6000</v>
      </c>
      <c r="J76" s="79">
        <v>6000</v>
      </c>
      <c r="K76" s="67">
        <f t="shared" si="0"/>
        <v>6000</v>
      </c>
      <c r="L76" s="52"/>
      <c r="M76" s="53"/>
      <c r="N76" s="53"/>
    </row>
    <row r="77" spans="1:14" ht="15.75" x14ac:dyDescent="0.25">
      <c r="A77" s="17">
        <v>21</v>
      </c>
      <c r="B77" s="60" t="s">
        <v>74</v>
      </c>
      <c r="C77" s="91"/>
      <c r="D77" s="19"/>
      <c r="E77" s="10"/>
      <c r="F77" s="10"/>
      <c r="G77" s="22"/>
      <c r="H77" s="10"/>
      <c r="I77" s="10"/>
      <c r="J77" s="77"/>
      <c r="K77" s="71"/>
      <c r="L77" s="52"/>
      <c r="M77" s="53"/>
      <c r="N77" s="53"/>
    </row>
    <row r="78" spans="1:14" ht="15.75" x14ac:dyDescent="0.25">
      <c r="A78" s="17"/>
      <c r="B78" s="66" t="s">
        <v>75</v>
      </c>
      <c r="C78" s="86" t="s">
        <v>6</v>
      </c>
      <c r="D78" s="9">
        <v>8000</v>
      </c>
      <c r="E78" s="9">
        <v>8000</v>
      </c>
      <c r="F78" s="9">
        <v>10000</v>
      </c>
      <c r="G78" s="9">
        <v>8000</v>
      </c>
      <c r="H78" s="9">
        <v>6000</v>
      </c>
      <c r="I78" s="16">
        <v>9000</v>
      </c>
      <c r="J78" s="72" t="s">
        <v>99</v>
      </c>
      <c r="K78" s="67">
        <f t="shared" si="0"/>
        <v>8166.666666666667</v>
      </c>
      <c r="L78" s="52"/>
      <c r="M78" s="53"/>
      <c r="N78" s="53"/>
    </row>
    <row r="79" spans="1:14" ht="15.75" x14ac:dyDescent="0.25">
      <c r="A79" s="17"/>
      <c r="B79" s="66" t="s">
        <v>76</v>
      </c>
      <c r="C79" s="86" t="s">
        <v>6</v>
      </c>
      <c r="D79" s="9">
        <v>8000</v>
      </c>
      <c r="E79" s="9">
        <v>10000</v>
      </c>
      <c r="F79" s="9">
        <v>20000</v>
      </c>
      <c r="G79" s="9">
        <v>14000</v>
      </c>
      <c r="H79" s="9">
        <v>6000</v>
      </c>
      <c r="I79" s="16">
        <v>12000</v>
      </c>
      <c r="J79" s="72">
        <v>15000</v>
      </c>
      <c r="K79" s="67">
        <f t="shared" si="0"/>
        <v>12142.857142857143</v>
      </c>
      <c r="L79" s="52"/>
      <c r="M79" s="53"/>
      <c r="N79" s="53"/>
    </row>
    <row r="80" spans="1:14" ht="15.75" x14ac:dyDescent="0.25">
      <c r="A80" s="17"/>
      <c r="B80" s="66" t="s">
        <v>77</v>
      </c>
      <c r="C80" s="86" t="s">
        <v>6</v>
      </c>
      <c r="D80" s="9">
        <v>18000</v>
      </c>
      <c r="E80" s="9">
        <v>16000</v>
      </c>
      <c r="F80" s="9">
        <v>17000</v>
      </c>
      <c r="G80" s="9">
        <v>15000</v>
      </c>
      <c r="H80" s="9">
        <v>15000</v>
      </c>
      <c r="I80" s="9">
        <v>20000</v>
      </c>
      <c r="J80" s="72">
        <v>18000</v>
      </c>
      <c r="K80" s="67">
        <f t="shared" si="0"/>
        <v>17000</v>
      </c>
      <c r="L80" s="52"/>
      <c r="M80" s="53"/>
      <c r="N80" s="53"/>
    </row>
    <row r="81" spans="1:14" ht="15.75" x14ac:dyDescent="0.25">
      <c r="A81" s="17"/>
      <c r="B81" s="66" t="s">
        <v>78</v>
      </c>
      <c r="C81" s="86" t="s">
        <v>6</v>
      </c>
      <c r="D81" s="9">
        <v>20000</v>
      </c>
      <c r="E81" s="9">
        <v>15000</v>
      </c>
      <c r="F81" s="9">
        <v>10000</v>
      </c>
      <c r="G81" s="9">
        <v>10000</v>
      </c>
      <c r="H81" s="9">
        <v>22000</v>
      </c>
      <c r="I81" s="8">
        <v>25000</v>
      </c>
      <c r="J81" s="72">
        <v>20000</v>
      </c>
      <c r="K81" s="67">
        <f t="shared" ref="K81:K88" si="1">AVERAGE(D81:J81)</f>
        <v>17428.571428571428</v>
      </c>
      <c r="L81" s="52"/>
      <c r="M81" s="53"/>
      <c r="N81" s="53"/>
    </row>
    <row r="82" spans="1:14" ht="15.75" x14ac:dyDescent="0.25">
      <c r="A82" s="17"/>
      <c r="B82" s="66" t="s">
        <v>79</v>
      </c>
      <c r="C82" s="86" t="s">
        <v>6</v>
      </c>
      <c r="D82" s="9">
        <v>10000</v>
      </c>
      <c r="E82" s="9">
        <v>12000</v>
      </c>
      <c r="F82" s="9">
        <v>14000</v>
      </c>
      <c r="G82" s="9">
        <v>12000</v>
      </c>
      <c r="H82" s="9">
        <v>10000</v>
      </c>
      <c r="I82" s="9">
        <v>20000</v>
      </c>
      <c r="J82" s="72">
        <v>15000</v>
      </c>
      <c r="K82" s="67">
        <f t="shared" si="1"/>
        <v>13285.714285714286</v>
      </c>
      <c r="L82" s="52"/>
      <c r="M82" s="53"/>
      <c r="N82" s="53"/>
    </row>
    <row r="83" spans="1:14" ht="15.75" x14ac:dyDescent="0.25">
      <c r="A83" s="17"/>
      <c r="B83" s="66" t="s">
        <v>80</v>
      </c>
      <c r="C83" s="86" t="s">
        <v>6</v>
      </c>
      <c r="D83" s="9">
        <v>7000</v>
      </c>
      <c r="E83" s="9">
        <v>8000</v>
      </c>
      <c r="F83" s="16">
        <v>9000</v>
      </c>
      <c r="G83" s="8">
        <v>8000</v>
      </c>
      <c r="H83" s="9">
        <v>10000</v>
      </c>
      <c r="I83" s="16">
        <v>9000</v>
      </c>
      <c r="J83" s="72">
        <v>8000</v>
      </c>
      <c r="K83" s="67">
        <f t="shared" si="1"/>
        <v>8428.5714285714294</v>
      </c>
      <c r="L83" s="52"/>
      <c r="M83" s="53"/>
      <c r="N83" s="53"/>
    </row>
    <row r="84" spans="1:14" ht="15.75" x14ac:dyDescent="0.25">
      <c r="A84" s="17"/>
      <c r="B84" s="66" t="s">
        <v>81</v>
      </c>
      <c r="C84" s="86" t="s">
        <v>82</v>
      </c>
      <c r="D84" s="9">
        <v>1500</v>
      </c>
      <c r="E84" s="9">
        <v>1500</v>
      </c>
      <c r="F84" s="9">
        <v>2000</v>
      </c>
      <c r="G84" s="8">
        <v>2000</v>
      </c>
      <c r="H84" s="9">
        <v>1500</v>
      </c>
      <c r="I84" s="9">
        <v>2000</v>
      </c>
      <c r="J84" s="79">
        <v>1500</v>
      </c>
      <c r="K84" s="67">
        <f t="shared" si="1"/>
        <v>1714.2857142857142</v>
      </c>
      <c r="L84" s="53"/>
      <c r="M84" s="53"/>
      <c r="N84" s="53"/>
    </row>
    <row r="85" spans="1:14" x14ac:dyDescent="0.25">
      <c r="A85" s="17"/>
      <c r="B85" s="66" t="s">
        <v>83</v>
      </c>
      <c r="C85" s="86" t="s">
        <v>82</v>
      </c>
      <c r="D85" s="9">
        <v>1000</v>
      </c>
      <c r="E85" s="9">
        <v>1500</v>
      </c>
      <c r="F85" s="9">
        <v>1500</v>
      </c>
      <c r="G85" s="8">
        <v>2000</v>
      </c>
      <c r="H85" s="9">
        <v>1500</v>
      </c>
      <c r="I85" s="9">
        <v>1500</v>
      </c>
      <c r="J85" s="79">
        <v>1000</v>
      </c>
      <c r="K85" s="67">
        <f t="shared" si="1"/>
        <v>1428.5714285714287</v>
      </c>
    </row>
    <row r="86" spans="1:14" x14ac:dyDescent="0.25">
      <c r="A86" s="17"/>
      <c r="B86" s="66" t="s">
        <v>84</v>
      </c>
      <c r="C86" s="86" t="s">
        <v>82</v>
      </c>
      <c r="D86" s="9" t="s">
        <v>99</v>
      </c>
      <c r="E86" s="9">
        <v>2000</v>
      </c>
      <c r="F86" s="9" t="s">
        <v>99</v>
      </c>
      <c r="G86" s="8" t="s">
        <v>99</v>
      </c>
      <c r="H86" s="9">
        <v>2500</v>
      </c>
      <c r="I86" s="9" t="s">
        <v>99</v>
      </c>
      <c r="J86" s="79">
        <v>2000</v>
      </c>
      <c r="K86" s="67">
        <f t="shared" si="1"/>
        <v>2166.6666666666665</v>
      </c>
    </row>
    <row r="87" spans="1:14" x14ac:dyDescent="0.25">
      <c r="A87" s="17">
        <v>22</v>
      </c>
      <c r="B87" s="60" t="s">
        <v>85</v>
      </c>
      <c r="C87" s="91"/>
      <c r="D87" s="22"/>
      <c r="E87" s="10"/>
      <c r="F87" s="10" t="s">
        <v>102</v>
      </c>
      <c r="G87" s="22"/>
      <c r="H87" s="10"/>
      <c r="I87" s="10"/>
      <c r="J87" s="77"/>
      <c r="K87" s="71"/>
    </row>
    <row r="88" spans="1:14" x14ac:dyDescent="0.25">
      <c r="A88" s="17"/>
      <c r="B88" s="66" t="s">
        <v>86</v>
      </c>
      <c r="C88" s="86" t="s">
        <v>87</v>
      </c>
      <c r="D88" s="9" t="s">
        <v>99</v>
      </c>
      <c r="E88" s="9" t="s">
        <v>99</v>
      </c>
      <c r="F88" s="9">
        <v>18000</v>
      </c>
      <c r="G88" s="8">
        <v>17000</v>
      </c>
      <c r="H88" s="10" t="s">
        <v>99</v>
      </c>
      <c r="I88" s="16">
        <v>18000</v>
      </c>
      <c r="J88" s="79">
        <v>18000</v>
      </c>
      <c r="K88" s="67">
        <f t="shared" si="1"/>
        <v>17750</v>
      </c>
    </row>
  </sheetData>
  <mergeCells count="28"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D4:D6"/>
    <mergeCell ref="E4:E6"/>
    <mergeCell ref="F4:F6"/>
    <mergeCell ref="A63:A66"/>
    <mergeCell ref="A69:A73"/>
    <mergeCell ref="J4:J6"/>
    <mergeCell ref="H4:H6"/>
    <mergeCell ref="A7:A12"/>
    <mergeCell ref="A13:A15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62F9B-1029-4E1A-983E-FD2B8CD3191D}">
  <dimension ref="A1:W88"/>
  <sheetViews>
    <sheetView zoomScale="70" zoomScaleNormal="70" workbookViewId="0">
      <selection activeCell="A4" sqref="A4:A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3.37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3.37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3.37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3.37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3.37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3.37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3.37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3.37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3.37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3.37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3.37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3.37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3.37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3.37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3.37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3.37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3.37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3.37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3.37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3.37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3.37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3.37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3.37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3.37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3.37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3.37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3.37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3.37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3.37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3.37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3.37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3.37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3.37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3.37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3.37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3.37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3.37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3.37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3.37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3.37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3.37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3.37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3.37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3.37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3.37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3.37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3.37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3.37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3.37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3.37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3.37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3.37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3.37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3.37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3.37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3.37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3.37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3.37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3.37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3.37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3.37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3.37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3.37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3.375" customWidth="1"/>
    <col min="16138" max="16138" width="14.125" customWidth="1"/>
    <col min="16139" max="16139" width="13" customWidth="1"/>
    <col min="16141" max="16141" width="12.375" bestFit="1" customWidth="1"/>
  </cols>
  <sheetData>
    <row r="1" spans="1:23" ht="32.25" customHeight="1" x14ac:dyDescent="0.25">
      <c r="A1" s="134" t="s">
        <v>88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52"/>
      <c r="M1" s="53"/>
      <c r="N1" s="53"/>
      <c r="O1" s="52"/>
      <c r="P1" s="52"/>
      <c r="Q1" s="52"/>
      <c r="R1" s="52"/>
      <c r="S1" s="52"/>
      <c r="T1" s="52"/>
      <c r="U1" s="52"/>
      <c r="V1" s="52"/>
      <c r="W1" s="52"/>
    </row>
    <row r="2" spans="1:23" ht="27.75" customHeight="1" x14ac:dyDescent="0.25">
      <c r="A2" s="103" t="s">
        <v>89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52"/>
      <c r="M2" s="53"/>
      <c r="N2" s="53"/>
      <c r="O2" s="52"/>
      <c r="P2" s="52"/>
      <c r="Q2" s="52"/>
      <c r="R2" s="52"/>
      <c r="S2" s="52"/>
      <c r="T2" s="52"/>
      <c r="U2" s="52"/>
      <c r="V2" s="52"/>
      <c r="W2" s="52"/>
    </row>
    <row r="3" spans="1:23" ht="27.75" customHeight="1" thickBot="1" x14ac:dyDescent="0.3">
      <c r="A3" s="104" t="s">
        <v>131</v>
      </c>
      <c r="B3" s="104"/>
      <c r="C3" s="104"/>
      <c r="D3" s="104"/>
      <c r="E3" s="104"/>
      <c r="F3" s="104"/>
      <c r="G3" s="104"/>
      <c r="H3" s="104"/>
      <c r="I3" s="104"/>
      <c r="J3" s="104"/>
      <c r="K3" s="105"/>
      <c r="L3" s="52"/>
      <c r="M3" s="53"/>
      <c r="N3" s="53"/>
      <c r="O3" s="52"/>
      <c r="P3" s="52"/>
      <c r="Q3" s="52"/>
      <c r="R3" s="52"/>
      <c r="S3" s="52"/>
      <c r="T3" s="52"/>
      <c r="U3" s="52"/>
      <c r="V3" s="52"/>
      <c r="W3" s="52"/>
    </row>
    <row r="4" spans="1:23" ht="25.5" customHeight="1" x14ac:dyDescent="0.25">
      <c r="A4" s="96" t="s">
        <v>1</v>
      </c>
      <c r="B4" s="99" t="s">
        <v>2</v>
      </c>
      <c r="C4" s="96" t="s">
        <v>90</v>
      </c>
      <c r="D4" s="110" t="s">
        <v>91</v>
      </c>
      <c r="E4" s="113" t="s">
        <v>92</v>
      </c>
      <c r="F4" s="125" t="s">
        <v>93</v>
      </c>
      <c r="G4" s="131" t="s">
        <v>94</v>
      </c>
      <c r="H4" s="116" t="s">
        <v>95</v>
      </c>
      <c r="I4" s="119" t="s">
        <v>96</v>
      </c>
      <c r="J4" s="106" t="s">
        <v>97</v>
      </c>
      <c r="K4" s="122" t="s">
        <v>98</v>
      </c>
      <c r="L4" s="52"/>
      <c r="M4" s="53"/>
      <c r="N4" s="53"/>
      <c r="O4" s="52"/>
      <c r="P4" s="52"/>
      <c r="Q4" s="52"/>
      <c r="R4" s="52"/>
      <c r="S4" s="52"/>
      <c r="T4" s="52"/>
      <c r="U4" s="52"/>
      <c r="V4" s="52"/>
      <c r="W4" s="52"/>
    </row>
    <row r="5" spans="1:23" ht="15" customHeight="1" x14ac:dyDescent="0.25">
      <c r="A5" s="97"/>
      <c r="B5" s="100"/>
      <c r="C5" s="97"/>
      <c r="D5" s="111"/>
      <c r="E5" s="114"/>
      <c r="F5" s="126"/>
      <c r="G5" s="132"/>
      <c r="H5" s="117"/>
      <c r="I5" s="120"/>
      <c r="J5" s="107"/>
      <c r="K5" s="123"/>
      <c r="L5" s="52"/>
      <c r="M5" s="53"/>
      <c r="N5" s="53"/>
      <c r="O5" s="52"/>
      <c r="P5" s="52"/>
      <c r="Q5" s="52"/>
      <c r="R5" s="52"/>
      <c r="S5" s="52"/>
      <c r="T5" s="52"/>
      <c r="U5" s="52"/>
      <c r="V5" s="52"/>
      <c r="W5" s="52"/>
    </row>
    <row r="6" spans="1:23" ht="16.5" thickBot="1" x14ac:dyDescent="0.3">
      <c r="A6" s="98"/>
      <c r="B6" s="109"/>
      <c r="C6" s="98"/>
      <c r="D6" s="112"/>
      <c r="E6" s="115"/>
      <c r="F6" s="127"/>
      <c r="G6" s="133"/>
      <c r="H6" s="118"/>
      <c r="I6" s="121"/>
      <c r="J6" s="108"/>
      <c r="K6" s="124"/>
      <c r="L6" s="52"/>
      <c r="M6" s="53"/>
      <c r="N6" s="53"/>
      <c r="O6" s="52"/>
      <c r="P6" s="52"/>
      <c r="Q6" s="52"/>
      <c r="R6" s="52"/>
      <c r="S6" s="52"/>
      <c r="T6" s="52"/>
      <c r="U6" s="52"/>
      <c r="V6" s="52"/>
      <c r="W6" s="52"/>
    </row>
    <row r="7" spans="1:23" ht="15.75" x14ac:dyDescent="0.25">
      <c r="A7" s="101">
        <v>1</v>
      </c>
      <c r="B7" s="60" t="s">
        <v>4</v>
      </c>
      <c r="C7" s="61"/>
      <c r="D7" s="62"/>
      <c r="E7" s="17" t="s">
        <v>102</v>
      </c>
      <c r="F7" s="17"/>
      <c r="G7" s="63"/>
      <c r="H7" s="63" t="s">
        <v>1</v>
      </c>
      <c r="I7" s="64"/>
      <c r="J7" s="63"/>
      <c r="K7" s="65"/>
      <c r="L7" s="52"/>
      <c r="M7" s="53"/>
      <c r="N7" s="53"/>
      <c r="O7" s="52"/>
      <c r="P7" s="52"/>
      <c r="Q7" s="52"/>
      <c r="R7" s="52"/>
      <c r="S7" s="52"/>
      <c r="T7" s="52"/>
      <c r="U7" s="52"/>
      <c r="V7" s="52"/>
      <c r="W7" s="52"/>
    </row>
    <row r="8" spans="1:23" ht="15.75" x14ac:dyDescent="0.25">
      <c r="A8" s="101"/>
      <c r="B8" s="66" t="s">
        <v>107</v>
      </c>
      <c r="C8" s="17" t="s">
        <v>6</v>
      </c>
      <c r="D8" s="9">
        <v>15000</v>
      </c>
      <c r="E8" s="9">
        <v>15000</v>
      </c>
      <c r="F8" s="9">
        <v>15500</v>
      </c>
      <c r="G8" s="9">
        <v>15500</v>
      </c>
      <c r="H8" s="9">
        <v>16000</v>
      </c>
      <c r="I8" s="9">
        <v>16000</v>
      </c>
      <c r="J8" s="16">
        <v>14000</v>
      </c>
      <c r="K8" s="67">
        <f>AVERAGE(D8:J8)</f>
        <v>15285.714285714286</v>
      </c>
      <c r="L8" s="57"/>
      <c r="M8" s="54"/>
      <c r="N8" s="53"/>
      <c r="O8" s="52"/>
      <c r="P8" s="52"/>
      <c r="Q8" s="52"/>
      <c r="R8" s="52"/>
      <c r="S8" s="52"/>
      <c r="T8" s="52"/>
      <c r="U8" s="52"/>
      <c r="V8" s="52"/>
      <c r="W8" s="52"/>
    </row>
    <row r="9" spans="1:23" ht="15.75" x14ac:dyDescent="0.25">
      <c r="A9" s="101"/>
      <c r="B9" s="66" t="s">
        <v>115</v>
      </c>
      <c r="C9" s="17" t="s">
        <v>6</v>
      </c>
      <c r="D9" s="9">
        <v>10900</v>
      </c>
      <c r="E9" s="9">
        <v>10900</v>
      </c>
      <c r="F9" s="9">
        <v>10900</v>
      </c>
      <c r="G9" s="8">
        <v>10900</v>
      </c>
      <c r="H9" s="9">
        <v>12000</v>
      </c>
      <c r="I9" s="9">
        <v>10900</v>
      </c>
      <c r="J9" s="16" t="s">
        <v>99</v>
      </c>
      <c r="K9" s="67">
        <f t="shared" ref="K9:K80" si="0">AVERAGE(D9:J9)</f>
        <v>11083.333333333334</v>
      </c>
      <c r="L9" s="52"/>
      <c r="M9" s="53"/>
      <c r="N9" s="53"/>
      <c r="O9" s="52"/>
      <c r="P9" s="52"/>
      <c r="Q9" s="52"/>
      <c r="R9" s="52"/>
      <c r="S9" s="52"/>
      <c r="T9" s="52"/>
      <c r="U9" s="52"/>
      <c r="V9" s="52"/>
      <c r="W9" s="52"/>
    </row>
    <row r="10" spans="1:23" ht="15.75" x14ac:dyDescent="0.25">
      <c r="A10" s="101"/>
      <c r="B10" s="66" t="s">
        <v>108</v>
      </c>
      <c r="C10" s="17" t="s">
        <v>6</v>
      </c>
      <c r="D10" s="9" t="s">
        <v>99</v>
      </c>
      <c r="E10" s="9" t="s">
        <v>99</v>
      </c>
      <c r="F10" s="9" t="s">
        <v>99</v>
      </c>
      <c r="G10" s="8" t="s">
        <v>99</v>
      </c>
      <c r="H10" s="9" t="s">
        <v>99</v>
      </c>
      <c r="I10" s="9" t="s">
        <v>99</v>
      </c>
      <c r="J10" s="16" t="s">
        <v>99</v>
      </c>
      <c r="K10" s="67">
        <v>0</v>
      </c>
      <c r="L10" s="52"/>
      <c r="M10" s="53"/>
      <c r="N10" s="53"/>
      <c r="O10" s="52"/>
      <c r="P10" s="52"/>
      <c r="Q10" s="52"/>
      <c r="R10" s="52"/>
      <c r="S10" s="52"/>
      <c r="T10" s="52"/>
      <c r="U10" s="52"/>
      <c r="V10" s="52"/>
      <c r="W10" s="52"/>
    </row>
    <row r="11" spans="1:23" ht="15.75" x14ac:dyDescent="0.25">
      <c r="A11" s="101"/>
      <c r="B11" s="66" t="s">
        <v>9</v>
      </c>
      <c r="C11" s="17" t="s">
        <v>6</v>
      </c>
      <c r="D11" s="9" t="s">
        <v>99</v>
      </c>
      <c r="E11" s="9">
        <v>10000</v>
      </c>
      <c r="F11" s="16">
        <v>12000</v>
      </c>
      <c r="G11" s="8">
        <v>10000</v>
      </c>
      <c r="H11" s="9">
        <v>10000</v>
      </c>
      <c r="I11" s="16">
        <v>12000</v>
      </c>
      <c r="J11" s="16">
        <v>10000</v>
      </c>
      <c r="K11" s="67">
        <f>AVERAGE(D11:J11)</f>
        <v>10666.666666666666</v>
      </c>
      <c r="L11" s="52"/>
      <c r="M11" s="53"/>
      <c r="N11" s="53"/>
      <c r="O11" s="52"/>
      <c r="P11" s="52"/>
      <c r="Q11" s="52"/>
      <c r="R11" s="52"/>
      <c r="S11" s="52"/>
      <c r="T11" s="52"/>
      <c r="U11" s="52"/>
      <c r="V11" s="52"/>
      <c r="W11" s="52"/>
    </row>
    <row r="12" spans="1:23" ht="15.75" x14ac:dyDescent="0.25">
      <c r="A12" s="101"/>
      <c r="B12" s="66" t="s">
        <v>10</v>
      </c>
      <c r="C12" s="17" t="s">
        <v>6</v>
      </c>
      <c r="D12" s="9" t="s">
        <v>99</v>
      </c>
      <c r="E12" s="9">
        <v>21000</v>
      </c>
      <c r="F12" s="16">
        <v>16000</v>
      </c>
      <c r="G12" s="8">
        <v>18000</v>
      </c>
      <c r="H12" s="9">
        <v>25000</v>
      </c>
      <c r="I12" s="16">
        <v>17000</v>
      </c>
      <c r="J12" s="16">
        <v>17000</v>
      </c>
      <c r="K12" s="67">
        <f t="shared" si="0"/>
        <v>19000</v>
      </c>
      <c r="L12" s="52"/>
      <c r="M12" s="53"/>
      <c r="N12" s="53"/>
      <c r="O12" s="52"/>
      <c r="P12" s="52"/>
      <c r="Q12" s="52"/>
      <c r="R12" s="52"/>
      <c r="S12" s="52"/>
      <c r="T12" s="52"/>
      <c r="U12" s="52"/>
      <c r="V12" s="52"/>
      <c r="W12" s="52"/>
    </row>
    <row r="13" spans="1:23" ht="15.75" x14ac:dyDescent="0.25">
      <c r="A13" s="101">
        <v>2</v>
      </c>
      <c r="B13" s="60" t="s">
        <v>11</v>
      </c>
      <c r="C13" s="68"/>
      <c r="D13" s="62"/>
      <c r="E13" s="69"/>
      <c r="F13" s="17"/>
      <c r="G13" s="70"/>
      <c r="H13" s="70"/>
      <c r="I13" s="70"/>
      <c r="J13" s="70"/>
      <c r="K13" s="71"/>
      <c r="L13" s="52"/>
      <c r="M13" s="53"/>
      <c r="N13" s="55"/>
      <c r="O13" s="52"/>
      <c r="P13" s="52"/>
      <c r="Q13" s="52"/>
      <c r="R13" s="52"/>
      <c r="S13" s="52"/>
      <c r="T13" s="52"/>
      <c r="U13" s="52"/>
      <c r="V13" s="52"/>
      <c r="W13" s="52"/>
    </row>
    <row r="14" spans="1:23" ht="15.75" x14ac:dyDescent="0.25">
      <c r="A14" s="101"/>
      <c r="B14" s="66" t="s">
        <v>116</v>
      </c>
      <c r="C14" s="17" t="s">
        <v>6</v>
      </c>
      <c r="D14" s="9">
        <v>16000</v>
      </c>
      <c r="E14" s="9">
        <v>16000</v>
      </c>
      <c r="F14" s="9">
        <v>16000</v>
      </c>
      <c r="G14" s="16">
        <v>16000</v>
      </c>
      <c r="H14" s="9">
        <v>16500</v>
      </c>
      <c r="I14" s="9">
        <v>16500</v>
      </c>
      <c r="J14" s="72">
        <v>16500</v>
      </c>
      <c r="K14" s="67">
        <f t="shared" si="0"/>
        <v>16214.285714285714</v>
      </c>
      <c r="L14" s="52"/>
      <c r="M14" s="53"/>
      <c r="N14" s="53"/>
      <c r="O14" s="52"/>
      <c r="P14" s="52"/>
      <c r="Q14" s="52"/>
      <c r="R14" s="52"/>
      <c r="S14" s="52"/>
      <c r="T14" s="52"/>
      <c r="U14" s="52"/>
      <c r="V14" s="52"/>
      <c r="W14" s="52"/>
    </row>
    <row r="15" spans="1:23" ht="15.75" x14ac:dyDescent="0.25">
      <c r="A15" s="101"/>
      <c r="B15" s="66" t="s">
        <v>13</v>
      </c>
      <c r="C15" s="17" t="s">
        <v>6</v>
      </c>
      <c r="D15" s="9">
        <v>17000</v>
      </c>
      <c r="E15" s="9">
        <v>16000</v>
      </c>
      <c r="F15" s="16">
        <v>16000</v>
      </c>
      <c r="G15" s="8">
        <v>16000</v>
      </c>
      <c r="H15" s="9">
        <v>17000</v>
      </c>
      <c r="I15" s="9">
        <v>16000</v>
      </c>
      <c r="J15" s="72">
        <v>18000</v>
      </c>
      <c r="K15" s="67">
        <f>AVERAGE(D15:J15)</f>
        <v>16571.428571428572</v>
      </c>
      <c r="L15" s="52"/>
      <c r="M15" s="53"/>
      <c r="N15" s="53"/>
      <c r="O15" s="52"/>
      <c r="P15" s="52"/>
      <c r="Q15" s="52"/>
      <c r="R15" s="52"/>
      <c r="S15" s="52"/>
      <c r="T15" s="52"/>
      <c r="U15" s="52"/>
      <c r="V15" s="52"/>
      <c r="W15" s="52"/>
    </row>
    <row r="16" spans="1:23" ht="15.75" x14ac:dyDescent="0.25">
      <c r="A16" s="101">
        <v>3</v>
      </c>
      <c r="B16" s="60" t="s">
        <v>14</v>
      </c>
      <c r="C16" s="73"/>
      <c r="D16" s="74"/>
      <c r="E16" s="15"/>
      <c r="F16" s="15"/>
      <c r="G16" s="15"/>
      <c r="H16" s="15"/>
      <c r="I16" s="15" t="s">
        <v>130</v>
      </c>
      <c r="J16" s="75"/>
      <c r="K16" s="71"/>
      <c r="L16" s="52"/>
      <c r="M16" s="53"/>
      <c r="N16" s="53"/>
      <c r="O16" s="52"/>
      <c r="P16" s="52"/>
      <c r="Q16" s="52"/>
      <c r="R16" s="52"/>
      <c r="S16" s="52"/>
      <c r="T16" s="52"/>
      <c r="U16" s="52"/>
      <c r="V16" s="52"/>
      <c r="W16" s="52"/>
    </row>
    <row r="17" spans="1:14" ht="15.75" x14ac:dyDescent="0.25">
      <c r="A17" s="101"/>
      <c r="B17" s="66" t="s">
        <v>15</v>
      </c>
      <c r="C17" s="17" t="s">
        <v>6</v>
      </c>
      <c r="D17" s="9">
        <v>15000</v>
      </c>
      <c r="E17" s="9">
        <v>15000</v>
      </c>
      <c r="F17" s="9">
        <v>14000</v>
      </c>
      <c r="G17" s="9">
        <v>15000</v>
      </c>
      <c r="H17" s="9">
        <v>16000</v>
      </c>
      <c r="I17" s="9">
        <v>16000</v>
      </c>
      <c r="J17" s="72">
        <v>16000</v>
      </c>
      <c r="K17" s="67">
        <f t="shared" si="0"/>
        <v>15285.714285714286</v>
      </c>
      <c r="L17" s="52"/>
      <c r="M17" s="53"/>
      <c r="N17" s="53"/>
    </row>
    <row r="18" spans="1:14" ht="15.75" x14ac:dyDescent="0.25">
      <c r="A18" s="59"/>
      <c r="B18" s="66" t="s">
        <v>109</v>
      </c>
      <c r="C18" s="17" t="s">
        <v>110</v>
      </c>
      <c r="D18" s="9">
        <v>14000</v>
      </c>
      <c r="E18" s="9">
        <v>14000</v>
      </c>
      <c r="F18" s="9">
        <v>14000</v>
      </c>
      <c r="G18" s="9">
        <v>14000</v>
      </c>
      <c r="H18" s="9" t="s">
        <v>99</v>
      </c>
      <c r="I18" s="9">
        <v>14000</v>
      </c>
      <c r="J18" s="72">
        <v>14000</v>
      </c>
      <c r="K18" s="67">
        <f t="shared" si="0"/>
        <v>14000</v>
      </c>
      <c r="L18" s="52"/>
      <c r="M18" s="53"/>
      <c r="N18" s="53"/>
    </row>
    <row r="19" spans="1:14" ht="17.25" customHeight="1" x14ac:dyDescent="0.25">
      <c r="A19" s="101">
        <v>4</v>
      </c>
      <c r="B19" s="60" t="s">
        <v>16</v>
      </c>
      <c r="C19" s="73"/>
      <c r="D19" s="74"/>
      <c r="E19" s="15"/>
      <c r="F19" s="15"/>
      <c r="G19" s="76"/>
      <c r="H19" s="15"/>
      <c r="I19" s="15"/>
      <c r="J19" s="75"/>
      <c r="K19" s="71"/>
      <c r="L19" s="52"/>
      <c r="M19" s="53"/>
      <c r="N19" s="53"/>
    </row>
    <row r="20" spans="1:14" ht="15.75" x14ac:dyDescent="0.25">
      <c r="A20" s="101"/>
      <c r="B20" s="66" t="s">
        <v>17</v>
      </c>
      <c r="C20" s="17" t="s">
        <v>6</v>
      </c>
      <c r="D20" s="9">
        <v>20000</v>
      </c>
      <c r="E20" s="9">
        <v>20000</v>
      </c>
      <c r="F20" s="16">
        <v>20000</v>
      </c>
      <c r="G20" s="8">
        <v>22000</v>
      </c>
      <c r="H20" s="16">
        <v>33000</v>
      </c>
      <c r="I20" s="16">
        <v>20000</v>
      </c>
      <c r="J20" s="77" t="s">
        <v>99</v>
      </c>
      <c r="K20" s="67">
        <f t="shared" si="0"/>
        <v>22500</v>
      </c>
      <c r="L20" s="52"/>
      <c r="M20" s="53"/>
      <c r="N20" s="53"/>
    </row>
    <row r="21" spans="1:14" ht="15.75" x14ac:dyDescent="0.25">
      <c r="A21" s="101">
        <v>5</v>
      </c>
      <c r="B21" s="60" t="s">
        <v>18</v>
      </c>
      <c r="C21" s="73"/>
      <c r="D21" s="74"/>
      <c r="E21" s="17"/>
      <c r="F21" s="15" t="s">
        <v>1</v>
      </c>
      <c r="G21" s="76"/>
      <c r="H21" s="15"/>
      <c r="I21" s="15"/>
      <c r="J21" s="75"/>
      <c r="K21" s="71"/>
      <c r="L21" s="52"/>
      <c r="M21" s="53"/>
      <c r="N21" s="53"/>
    </row>
    <row r="22" spans="1:14" ht="15.75" x14ac:dyDescent="0.25">
      <c r="A22" s="101"/>
      <c r="B22" s="66" t="s">
        <v>19</v>
      </c>
      <c r="C22" s="17" t="s">
        <v>6</v>
      </c>
      <c r="D22" s="9">
        <v>120000</v>
      </c>
      <c r="E22" s="9">
        <v>120000</v>
      </c>
      <c r="F22" s="9">
        <v>120000</v>
      </c>
      <c r="G22" s="9">
        <v>120000</v>
      </c>
      <c r="H22" s="9">
        <v>120000</v>
      </c>
      <c r="I22" s="8">
        <v>120000</v>
      </c>
      <c r="J22" s="72" t="s">
        <v>99</v>
      </c>
      <c r="K22" s="67">
        <f t="shared" si="0"/>
        <v>120000</v>
      </c>
      <c r="L22" s="52"/>
      <c r="M22" s="53"/>
      <c r="N22" s="53"/>
    </row>
    <row r="23" spans="1:14" ht="15.75" x14ac:dyDescent="0.25">
      <c r="A23" s="101"/>
      <c r="B23" s="66" t="s">
        <v>20</v>
      </c>
      <c r="C23" s="17" t="s">
        <v>6</v>
      </c>
      <c r="D23" s="9">
        <v>110000</v>
      </c>
      <c r="E23" s="9">
        <v>110000</v>
      </c>
      <c r="F23" s="9">
        <v>110000</v>
      </c>
      <c r="G23" s="9">
        <v>110000</v>
      </c>
      <c r="H23" s="9">
        <v>115000</v>
      </c>
      <c r="I23" s="9">
        <v>110000</v>
      </c>
      <c r="J23" s="72">
        <v>110000</v>
      </c>
      <c r="K23" s="67">
        <f t="shared" si="0"/>
        <v>110714.28571428571</v>
      </c>
      <c r="L23" s="52"/>
      <c r="M23" s="53"/>
      <c r="N23" s="53"/>
    </row>
    <row r="24" spans="1:14" ht="15.75" x14ac:dyDescent="0.25">
      <c r="A24" s="101"/>
      <c r="B24" s="66" t="s">
        <v>21</v>
      </c>
      <c r="C24" s="17" t="s">
        <v>6</v>
      </c>
      <c r="D24" s="9">
        <v>90000</v>
      </c>
      <c r="E24" s="9">
        <v>90000</v>
      </c>
      <c r="F24" s="9">
        <v>100000</v>
      </c>
      <c r="G24" s="9">
        <v>105000</v>
      </c>
      <c r="H24" s="9">
        <v>110000</v>
      </c>
      <c r="I24" s="8">
        <v>100000</v>
      </c>
      <c r="J24" s="72">
        <v>105000</v>
      </c>
      <c r="K24" s="67">
        <f t="shared" si="0"/>
        <v>100000</v>
      </c>
      <c r="L24" s="52"/>
      <c r="M24" s="53"/>
      <c r="N24" s="53"/>
    </row>
    <row r="25" spans="1:14" ht="15.75" x14ac:dyDescent="0.25">
      <c r="A25" s="101"/>
      <c r="B25" s="66" t="s">
        <v>22</v>
      </c>
      <c r="C25" s="17" t="s">
        <v>6</v>
      </c>
      <c r="D25" s="9">
        <v>32000</v>
      </c>
      <c r="E25" s="9">
        <v>31000</v>
      </c>
      <c r="F25" s="9">
        <v>32000</v>
      </c>
      <c r="G25" s="9">
        <v>31000</v>
      </c>
      <c r="H25" s="72">
        <v>32000</v>
      </c>
      <c r="I25" s="9">
        <v>32000</v>
      </c>
      <c r="J25" s="72">
        <v>33000</v>
      </c>
      <c r="K25" s="67">
        <f t="shared" si="0"/>
        <v>31857.142857142859</v>
      </c>
      <c r="L25" s="52"/>
      <c r="M25" s="53"/>
      <c r="N25" s="53"/>
    </row>
    <row r="26" spans="1:14" ht="15.75" x14ac:dyDescent="0.25">
      <c r="A26" s="101">
        <v>6</v>
      </c>
      <c r="B26" s="60" t="s">
        <v>23</v>
      </c>
      <c r="C26" s="73"/>
      <c r="D26" s="74"/>
      <c r="E26" s="17"/>
      <c r="F26" s="76"/>
      <c r="G26" s="15"/>
      <c r="H26" s="75"/>
      <c r="I26" s="15"/>
      <c r="J26" s="75"/>
      <c r="K26" s="71"/>
      <c r="L26" s="52"/>
      <c r="M26" s="53"/>
      <c r="N26" s="53"/>
    </row>
    <row r="27" spans="1:14" ht="15.75" x14ac:dyDescent="0.25">
      <c r="A27" s="101"/>
      <c r="B27" s="66" t="s">
        <v>24</v>
      </c>
      <c r="C27" s="17" t="s">
        <v>6</v>
      </c>
      <c r="D27" s="9">
        <v>35000</v>
      </c>
      <c r="E27" s="9">
        <v>35000</v>
      </c>
      <c r="F27" s="9" t="s">
        <v>99</v>
      </c>
      <c r="G27" s="9">
        <v>40000</v>
      </c>
      <c r="H27" s="9">
        <v>28000</v>
      </c>
      <c r="I27" s="9" t="s">
        <v>99</v>
      </c>
      <c r="J27" s="72">
        <v>30000</v>
      </c>
      <c r="K27" s="67">
        <f t="shared" si="0"/>
        <v>33600</v>
      </c>
      <c r="L27" s="52" t="s">
        <v>100</v>
      </c>
      <c r="M27" s="53"/>
      <c r="N27" s="53"/>
    </row>
    <row r="28" spans="1:14" ht="15.75" x14ac:dyDescent="0.25">
      <c r="A28" s="101"/>
      <c r="B28" s="66" t="s">
        <v>25</v>
      </c>
      <c r="C28" s="17" t="s">
        <v>6</v>
      </c>
      <c r="D28" s="9">
        <v>35000</v>
      </c>
      <c r="E28" s="9">
        <v>28000</v>
      </c>
      <c r="F28" s="9">
        <v>35000</v>
      </c>
      <c r="G28" s="8">
        <v>30000</v>
      </c>
      <c r="H28" s="9">
        <v>20000</v>
      </c>
      <c r="I28" s="9">
        <v>32000</v>
      </c>
      <c r="J28" s="78">
        <v>30000</v>
      </c>
      <c r="K28" s="67">
        <f t="shared" si="0"/>
        <v>30000</v>
      </c>
      <c r="L28" s="52"/>
      <c r="M28" s="53"/>
      <c r="N28" s="53"/>
    </row>
    <row r="29" spans="1:14" ht="15.75" x14ac:dyDescent="0.25">
      <c r="A29" s="101"/>
      <c r="B29" s="66" t="s">
        <v>26</v>
      </c>
      <c r="C29" s="17" t="s">
        <v>6</v>
      </c>
      <c r="D29" s="9">
        <v>60000</v>
      </c>
      <c r="E29" s="9">
        <v>60000</v>
      </c>
      <c r="F29" s="16">
        <v>60000</v>
      </c>
      <c r="G29" s="8">
        <v>70000</v>
      </c>
      <c r="H29" s="9">
        <v>63000</v>
      </c>
      <c r="I29" s="9">
        <v>60000</v>
      </c>
      <c r="J29" s="79">
        <v>60000</v>
      </c>
      <c r="K29" s="67">
        <f t="shared" si="0"/>
        <v>61857.142857142855</v>
      </c>
      <c r="L29" s="52"/>
      <c r="M29" s="53"/>
      <c r="N29" s="53"/>
    </row>
    <row r="30" spans="1:14" ht="15.75" x14ac:dyDescent="0.25">
      <c r="A30" s="101"/>
      <c r="B30" s="66" t="s">
        <v>27</v>
      </c>
      <c r="C30" s="17" t="s">
        <v>6</v>
      </c>
      <c r="D30" s="9">
        <v>25000</v>
      </c>
      <c r="E30" s="9" t="s">
        <v>99</v>
      </c>
      <c r="F30" s="10" t="s">
        <v>99</v>
      </c>
      <c r="G30" s="8">
        <v>25000</v>
      </c>
      <c r="H30" s="9">
        <v>23000</v>
      </c>
      <c r="I30" s="9" t="s">
        <v>99</v>
      </c>
      <c r="J30" s="79">
        <v>26000</v>
      </c>
      <c r="K30" s="67">
        <f t="shared" si="0"/>
        <v>24750</v>
      </c>
      <c r="L30" s="52"/>
      <c r="M30" s="53"/>
      <c r="N30" s="53"/>
    </row>
    <row r="31" spans="1:14" ht="15.75" x14ac:dyDescent="0.25">
      <c r="A31" s="101"/>
      <c r="B31" s="66" t="s">
        <v>28</v>
      </c>
      <c r="C31" s="17" t="s">
        <v>6</v>
      </c>
      <c r="D31" s="9">
        <v>35000</v>
      </c>
      <c r="E31" s="9">
        <v>36000</v>
      </c>
      <c r="F31" s="9">
        <v>40000</v>
      </c>
      <c r="G31" s="9">
        <v>40000</v>
      </c>
      <c r="H31" s="9">
        <v>28000</v>
      </c>
      <c r="I31" s="9">
        <v>40000</v>
      </c>
      <c r="J31" s="72">
        <v>35000</v>
      </c>
      <c r="K31" s="67">
        <f t="shared" si="0"/>
        <v>36285.714285714283</v>
      </c>
      <c r="L31" s="52"/>
      <c r="M31" s="53"/>
      <c r="N31" s="53"/>
    </row>
    <row r="32" spans="1:14" ht="15.75" x14ac:dyDescent="0.25">
      <c r="A32" s="101"/>
      <c r="B32" s="66" t="s">
        <v>29</v>
      </c>
      <c r="C32" s="17" t="s">
        <v>6</v>
      </c>
      <c r="D32" s="9" t="s">
        <v>99</v>
      </c>
      <c r="E32" s="9">
        <v>100000</v>
      </c>
      <c r="F32" s="9">
        <v>100000</v>
      </c>
      <c r="G32" s="9" t="s">
        <v>99</v>
      </c>
      <c r="H32" s="9">
        <v>80000</v>
      </c>
      <c r="I32" s="9" t="s">
        <v>99</v>
      </c>
      <c r="J32" s="79">
        <v>70000</v>
      </c>
      <c r="K32" s="67">
        <f t="shared" si="0"/>
        <v>87500</v>
      </c>
      <c r="L32" s="52"/>
      <c r="M32" s="53"/>
      <c r="N32" s="53"/>
    </row>
    <row r="33" spans="1:14" ht="15.75" x14ac:dyDescent="0.25">
      <c r="A33" s="101">
        <v>7</v>
      </c>
      <c r="B33" s="60" t="s">
        <v>30</v>
      </c>
      <c r="C33" s="73"/>
      <c r="D33" s="74"/>
      <c r="E33" s="17"/>
      <c r="F33" s="76"/>
      <c r="G33" s="76"/>
      <c r="H33" s="15"/>
      <c r="I33" s="15"/>
      <c r="J33" s="75"/>
      <c r="K33" s="71"/>
      <c r="L33" s="52"/>
      <c r="M33" s="53"/>
      <c r="N33" s="53"/>
    </row>
    <row r="34" spans="1:14" ht="15.75" x14ac:dyDescent="0.25">
      <c r="A34" s="101"/>
      <c r="B34" s="66" t="s">
        <v>31</v>
      </c>
      <c r="C34" s="17" t="s">
        <v>6</v>
      </c>
      <c r="D34" s="9">
        <v>26000</v>
      </c>
      <c r="E34" s="9">
        <v>26000</v>
      </c>
      <c r="F34" s="9">
        <v>26000</v>
      </c>
      <c r="G34" s="9">
        <v>26000</v>
      </c>
      <c r="H34" s="9">
        <v>26000</v>
      </c>
      <c r="I34" s="9">
        <v>26000</v>
      </c>
      <c r="J34" s="72">
        <v>27000</v>
      </c>
      <c r="K34" s="67">
        <f t="shared" si="0"/>
        <v>26142.857142857141</v>
      </c>
      <c r="L34" s="52"/>
      <c r="M34" s="53"/>
      <c r="N34" s="53"/>
    </row>
    <row r="35" spans="1:14" ht="15.75" x14ac:dyDescent="0.25">
      <c r="A35" s="101"/>
      <c r="B35" s="66" t="s">
        <v>32</v>
      </c>
      <c r="C35" s="17" t="s">
        <v>33</v>
      </c>
      <c r="D35" s="9">
        <v>3000</v>
      </c>
      <c r="E35" s="9">
        <v>2500</v>
      </c>
      <c r="F35" s="9">
        <v>2500</v>
      </c>
      <c r="G35" s="9">
        <v>2800</v>
      </c>
      <c r="H35" s="9">
        <v>2500</v>
      </c>
      <c r="I35" s="9">
        <v>3000</v>
      </c>
      <c r="J35" s="72">
        <v>3000</v>
      </c>
      <c r="K35" s="67">
        <f t="shared" si="0"/>
        <v>2757.1428571428573</v>
      </c>
      <c r="L35" s="52"/>
      <c r="M35" s="53"/>
      <c r="N35" s="53"/>
    </row>
    <row r="36" spans="1:14" ht="15.75" x14ac:dyDescent="0.25">
      <c r="A36" s="59">
        <v>8</v>
      </c>
      <c r="B36" s="73" t="s">
        <v>117</v>
      </c>
      <c r="C36" s="80"/>
      <c r="D36" s="9"/>
      <c r="E36" s="9"/>
      <c r="F36" s="9"/>
      <c r="G36" s="9"/>
      <c r="H36" s="9"/>
      <c r="I36" s="9"/>
      <c r="J36" s="72"/>
      <c r="K36" s="81"/>
      <c r="L36" s="52"/>
      <c r="M36" s="53"/>
      <c r="N36" s="53"/>
    </row>
    <row r="37" spans="1:14" ht="15.75" x14ac:dyDescent="0.25">
      <c r="A37" s="59"/>
      <c r="B37" s="66" t="s">
        <v>118</v>
      </c>
      <c r="C37" s="17" t="s">
        <v>6</v>
      </c>
      <c r="D37" s="9">
        <v>10000</v>
      </c>
      <c r="E37" s="9">
        <v>1250</v>
      </c>
      <c r="F37" s="9">
        <v>9000</v>
      </c>
      <c r="G37" s="9">
        <v>9000</v>
      </c>
      <c r="H37" s="9">
        <v>16000</v>
      </c>
      <c r="I37" s="9">
        <v>9000</v>
      </c>
      <c r="J37" s="72">
        <v>3000</v>
      </c>
      <c r="K37" s="67">
        <f t="shared" si="0"/>
        <v>8178.5714285714284</v>
      </c>
      <c r="L37" s="52"/>
      <c r="M37" s="53"/>
      <c r="N37" s="53"/>
    </row>
    <row r="38" spans="1:14" ht="15.75" x14ac:dyDescent="0.25">
      <c r="A38" s="59"/>
      <c r="B38" s="66" t="s">
        <v>119</v>
      </c>
      <c r="C38" s="17" t="s">
        <v>6</v>
      </c>
      <c r="D38" s="9" t="s">
        <v>99</v>
      </c>
      <c r="E38" s="9">
        <v>10000</v>
      </c>
      <c r="F38" s="9">
        <v>12000</v>
      </c>
      <c r="G38" s="9">
        <v>14000</v>
      </c>
      <c r="H38" s="9" t="s">
        <v>99</v>
      </c>
      <c r="I38" s="9">
        <v>12000</v>
      </c>
      <c r="J38" s="72">
        <v>12000</v>
      </c>
      <c r="K38" s="67">
        <f>AVERAGE(D38:J38)</f>
        <v>12000</v>
      </c>
      <c r="L38" s="52"/>
      <c r="M38" s="53"/>
      <c r="N38" s="53"/>
    </row>
    <row r="39" spans="1:14" ht="15.75" x14ac:dyDescent="0.25">
      <c r="A39" s="59">
        <v>9</v>
      </c>
      <c r="B39" s="82" t="s">
        <v>120</v>
      </c>
      <c r="C39" s="83"/>
      <c r="D39" s="9"/>
      <c r="E39" s="9"/>
      <c r="F39" s="9"/>
      <c r="G39" s="9"/>
      <c r="H39" s="9"/>
      <c r="I39" s="9"/>
      <c r="J39" s="72"/>
      <c r="K39" s="81"/>
      <c r="L39" s="52"/>
      <c r="M39" s="53"/>
      <c r="N39" s="53"/>
    </row>
    <row r="40" spans="1:14" ht="15.75" x14ac:dyDescent="0.25">
      <c r="A40" s="59"/>
      <c r="B40" s="66" t="s">
        <v>121</v>
      </c>
      <c r="C40" s="17" t="s">
        <v>6</v>
      </c>
      <c r="D40" s="9" t="s">
        <v>99</v>
      </c>
      <c r="E40" s="9" t="s">
        <v>99</v>
      </c>
      <c r="F40" s="9" t="s">
        <v>99</v>
      </c>
      <c r="G40" s="9">
        <v>16000</v>
      </c>
      <c r="H40" s="9">
        <v>14000</v>
      </c>
      <c r="I40" s="9" t="s">
        <v>99</v>
      </c>
      <c r="J40" s="72">
        <v>15000</v>
      </c>
      <c r="K40" s="67">
        <f t="shared" si="0"/>
        <v>15000</v>
      </c>
      <c r="L40" s="52"/>
      <c r="M40" s="53"/>
      <c r="N40" s="53"/>
    </row>
    <row r="41" spans="1:14" ht="15.75" x14ac:dyDescent="0.25">
      <c r="A41" s="59"/>
      <c r="B41" s="66" t="s">
        <v>122</v>
      </c>
      <c r="C41" s="17" t="s">
        <v>6</v>
      </c>
      <c r="D41" s="9" t="s">
        <v>99</v>
      </c>
      <c r="E41" s="9" t="s">
        <v>99</v>
      </c>
      <c r="F41" s="9">
        <v>6000</v>
      </c>
      <c r="G41" s="9" t="s">
        <v>99</v>
      </c>
      <c r="H41" s="9" t="s">
        <v>99</v>
      </c>
      <c r="I41" s="9">
        <v>6000</v>
      </c>
      <c r="J41" s="72" t="s">
        <v>99</v>
      </c>
      <c r="K41" s="67">
        <f t="shared" si="0"/>
        <v>6000</v>
      </c>
      <c r="L41" s="52"/>
      <c r="M41" s="53"/>
      <c r="N41" s="53"/>
    </row>
    <row r="42" spans="1:14" ht="15.75" x14ac:dyDescent="0.25">
      <c r="A42" s="59"/>
      <c r="B42" s="66" t="s">
        <v>123</v>
      </c>
      <c r="C42" s="17" t="s">
        <v>6</v>
      </c>
      <c r="D42" s="9" t="s">
        <v>99</v>
      </c>
      <c r="E42" s="9">
        <v>2500</v>
      </c>
      <c r="F42" s="9" t="s">
        <v>99</v>
      </c>
      <c r="G42" s="9" t="s">
        <v>99</v>
      </c>
      <c r="H42" s="9" t="s">
        <v>99</v>
      </c>
      <c r="I42" s="9" t="s">
        <v>99</v>
      </c>
      <c r="J42" s="72" t="s">
        <v>99</v>
      </c>
      <c r="K42" s="67">
        <f t="shared" si="0"/>
        <v>2500</v>
      </c>
      <c r="L42" s="52"/>
      <c r="M42" s="53"/>
      <c r="N42" s="53"/>
    </row>
    <row r="43" spans="1:14" ht="15.75" x14ac:dyDescent="0.25">
      <c r="A43" s="101">
        <v>10</v>
      </c>
      <c r="B43" s="60" t="s">
        <v>34</v>
      </c>
      <c r="C43" s="73"/>
      <c r="D43" s="74"/>
      <c r="E43" s="17"/>
      <c r="F43" s="76"/>
      <c r="G43" s="15"/>
      <c r="H43" s="15"/>
      <c r="I43" s="15"/>
      <c r="J43" s="84"/>
      <c r="K43" s="71"/>
      <c r="L43" s="52"/>
      <c r="M43" s="53"/>
      <c r="N43" s="53"/>
    </row>
    <row r="44" spans="1:14" ht="15.75" x14ac:dyDescent="0.25">
      <c r="A44" s="101"/>
      <c r="B44" s="66" t="s">
        <v>35</v>
      </c>
      <c r="C44" s="17" t="s">
        <v>36</v>
      </c>
      <c r="D44" s="9">
        <v>12000</v>
      </c>
      <c r="E44" s="9">
        <v>12000</v>
      </c>
      <c r="F44" s="9">
        <v>12500</v>
      </c>
      <c r="G44" s="9">
        <v>12500</v>
      </c>
      <c r="H44" s="10" t="s">
        <v>99</v>
      </c>
      <c r="I44" s="16">
        <v>12500</v>
      </c>
      <c r="J44" s="72">
        <v>12500</v>
      </c>
      <c r="K44" s="67">
        <f t="shared" si="0"/>
        <v>12333.333333333334</v>
      </c>
      <c r="L44" s="52"/>
      <c r="M44" s="53"/>
      <c r="N44" s="53"/>
    </row>
    <row r="45" spans="1:14" ht="15.75" x14ac:dyDescent="0.25">
      <c r="A45" s="101"/>
      <c r="B45" s="66" t="s">
        <v>124</v>
      </c>
      <c r="C45" s="17" t="s">
        <v>36</v>
      </c>
      <c r="D45" s="9">
        <v>12000</v>
      </c>
      <c r="E45" s="9">
        <v>13000</v>
      </c>
      <c r="F45" s="16">
        <v>12500</v>
      </c>
      <c r="G45" s="9">
        <v>12500</v>
      </c>
      <c r="H45" s="10" t="s">
        <v>99</v>
      </c>
      <c r="I45" s="16">
        <v>12500</v>
      </c>
      <c r="J45" s="79">
        <v>12500</v>
      </c>
      <c r="K45" s="67">
        <f>AVERAGE(D45:J45)</f>
        <v>12500</v>
      </c>
      <c r="L45" s="52"/>
      <c r="M45" s="53"/>
      <c r="N45" s="53"/>
    </row>
    <row r="46" spans="1:14" ht="15.75" x14ac:dyDescent="0.25">
      <c r="A46" s="101">
        <v>11</v>
      </c>
      <c r="B46" s="60" t="s">
        <v>38</v>
      </c>
      <c r="C46" s="73"/>
      <c r="D46" s="74"/>
      <c r="E46" s="17"/>
      <c r="F46" s="15"/>
      <c r="G46" s="76"/>
      <c r="H46" s="15"/>
      <c r="I46" s="15"/>
      <c r="J46" s="75"/>
      <c r="K46" s="71"/>
      <c r="L46" s="52"/>
      <c r="M46" s="53"/>
      <c r="N46" s="53"/>
    </row>
    <row r="47" spans="1:14" ht="15.75" x14ac:dyDescent="0.25">
      <c r="A47" s="101"/>
      <c r="B47" s="66" t="s">
        <v>39</v>
      </c>
      <c r="C47" s="17" t="s">
        <v>40</v>
      </c>
      <c r="D47" s="9" t="s">
        <v>99</v>
      </c>
      <c r="E47" s="9" t="s">
        <v>99</v>
      </c>
      <c r="F47" s="10" t="s">
        <v>99</v>
      </c>
      <c r="G47" s="8" t="s">
        <v>99</v>
      </c>
      <c r="H47" s="9">
        <v>17500</v>
      </c>
      <c r="I47" s="16" t="s">
        <v>99</v>
      </c>
      <c r="J47" s="79" t="s">
        <v>99</v>
      </c>
      <c r="K47" s="67">
        <f t="shared" si="0"/>
        <v>17500</v>
      </c>
      <c r="L47" s="52"/>
      <c r="M47" s="53"/>
      <c r="N47" s="53"/>
    </row>
    <row r="48" spans="1:14" ht="15.75" x14ac:dyDescent="0.25">
      <c r="A48" s="101"/>
      <c r="B48" s="66" t="s">
        <v>41</v>
      </c>
      <c r="C48" s="17" t="s">
        <v>42</v>
      </c>
      <c r="D48" s="9" t="s">
        <v>99</v>
      </c>
      <c r="E48" s="9" t="s">
        <v>99</v>
      </c>
      <c r="F48" s="10" t="s">
        <v>99</v>
      </c>
      <c r="G48" s="8" t="s">
        <v>99</v>
      </c>
      <c r="H48" s="9">
        <v>2000</v>
      </c>
      <c r="I48" s="16" t="s">
        <v>99</v>
      </c>
      <c r="J48" s="79" t="s">
        <v>99</v>
      </c>
      <c r="K48" s="67">
        <f t="shared" si="0"/>
        <v>2000</v>
      </c>
      <c r="L48" s="52"/>
      <c r="M48" s="53"/>
      <c r="N48" s="53"/>
    </row>
    <row r="49" spans="1:14" ht="15.75" x14ac:dyDescent="0.25">
      <c r="A49" s="59">
        <v>12</v>
      </c>
      <c r="B49" s="85" t="s">
        <v>43</v>
      </c>
      <c r="C49" s="80"/>
      <c r="D49" s="19"/>
      <c r="E49" s="10"/>
      <c r="F49" s="10"/>
      <c r="G49" s="22"/>
      <c r="H49" s="10"/>
      <c r="I49" s="10"/>
      <c r="J49" s="77"/>
      <c r="K49" s="71"/>
      <c r="L49" s="52"/>
      <c r="M49" s="53"/>
      <c r="N49" s="53"/>
    </row>
    <row r="50" spans="1:14" ht="15.75" x14ac:dyDescent="0.25">
      <c r="A50" s="59"/>
      <c r="B50" s="66" t="s">
        <v>44</v>
      </c>
      <c r="C50" s="86" t="s">
        <v>6</v>
      </c>
      <c r="D50" s="9" t="s">
        <v>99</v>
      </c>
      <c r="E50" s="9">
        <v>8000</v>
      </c>
      <c r="F50" s="9">
        <v>10000</v>
      </c>
      <c r="G50" s="9">
        <v>10000</v>
      </c>
      <c r="H50" s="9">
        <v>15000</v>
      </c>
      <c r="I50" s="8">
        <v>15000</v>
      </c>
      <c r="J50" s="72">
        <v>15000</v>
      </c>
      <c r="K50" s="67">
        <f t="shared" si="0"/>
        <v>12166.666666666666</v>
      </c>
      <c r="L50" s="52"/>
      <c r="M50" s="53" t="s">
        <v>101</v>
      </c>
      <c r="N50" s="53"/>
    </row>
    <row r="51" spans="1:14" ht="15.75" x14ac:dyDescent="0.25">
      <c r="A51" s="59"/>
      <c r="B51" s="66" t="s">
        <v>45</v>
      </c>
      <c r="C51" s="86" t="s">
        <v>6</v>
      </c>
      <c r="D51" s="9">
        <v>10000</v>
      </c>
      <c r="E51" s="9">
        <v>10000</v>
      </c>
      <c r="F51" s="8">
        <v>9000</v>
      </c>
      <c r="G51" s="9">
        <v>10000</v>
      </c>
      <c r="H51" s="9">
        <v>12000</v>
      </c>
      <c r="I51" s="9">
        <v>13000</v>
      </c>
      <c r="J51" s="72">
        <v>10000</v>
      </c>
      <c r="K51" s="67">
        <f t="shared" si="0"/>
        <v>10571.428571428571</v>
      </c>
      <c r="L51" s="52"/>
      <c r="M51" s="53"/>
      <c r="N51" s="56"/>
    </row>
    <row r="52" spans="1:14" ht="15.75" x14ac:dyDescent="0.25">
      <c r="A52" s="101">
        <v>13</v>
      </c>
      <c r="B52" s="60" t="s">
        <v>46</v>
      </c>
      <c r="C52" s="73"/>
      <c r="D52" s="74"/>
      <c r="E52" s="17"/>
      <c r="F52" s="76"/>
      <c r="G52" s="76"/>
      <c r="H52" s="15"/>
      <c r="I52" s="15"/>
      <c r="J52" s="84"/>
      <c r="K52" s="71"/>
      <c r="L52" s="52"/>
      <c r="M52" s="53"/>
      <c r="N52" s="53"/>
    </row>
    <row r="53" spans="1:14" ht="15.75" x14ac:dyDescent="0.25">
      <c r="A53" s="101"/>
      <c r="B53" s="66" t="s">
        <v>47</v>
      </c>
      <c r="C53" s="17" t="s">
        <v>125</v>
      </c>
      <c r="D53" s="9">
        <v>3000</v>
      </c>
      <c r="E53" s="9">
        <v>4000</v>
      </c>
      <c r="F53" s="9">
        <v>5000</v>
      </c>
      <c r="G53" s="9">
        <v>5000</v>
      </c>
      <c r="H53" s="9">
        <v>2500</v>
      </c>
      <c r="I53" s="16">
        <v>5000</v>
      </c>
      <c r="J53" s="72">
        <v>2500</v>
      </c>
      <c r="K53" s="67">
        <f t="shared" si="0"/>
        <v>3857.1428571428573</v>
      </c>
      <c r="L53" s="52"/>
      <c r="M53" s="53"/>
      <c r="N53" s="53"/>
    </row>
    <row r="54" spans="1:14" ht="15.75" x14ac:dyDescent="0.25">
      <c r="A54" s="101">
        <v>14</v>
      </c>
      <c r="B54" s="60" t="s">
        <v>49</v>
      </c>
      <c r="C54" s="80"/>
      <c r="D54" s="62"/>
      <c r="E54" s="17"/>
      <c r="F54" s="20"/>
      <c r="G54" s="20"/>
      <c r="H54" s="17"/>
      <c r="I54" s="17"/>
      <c r="J54" s="87"/>
      <c r="K54" s="71"/>
      <c r="L54" s="52"/>
      <c r="M54" s="53"/>
      <c r="N54" s="53"/>
    </row>
    <row r="55" spans="1:14" ht="15.75" x14ac:dyDescent="0.25">
      <c r="A55" s="101"/>
      <c r="B55" s="88" t="s">
        <v>50</v>
      </c>
      <c r="C55" s="86" t="s">
        <v>6</v>
      </c>
      <c r="D55" s="9">
        <v>10000</v>
      </c>
      <c r="E55" s="9">
        <v>10500</v>
      </c>
      <c r="F55" s="9">
        <v>10000</v>
      </c>
      <c r="G55" s="9">
        <v>11000</v>
      </c>
      <c r="H55" s="9">
        <v>12000</v>
      </c>
      <c r="I55" s="9">
        <v>10000</v>
      </c>
      <c r="J55" s="72">
        <v>10000</v>
      </c>
      <c r="K55" s="67">
        <f t="shared" si="0"/>
        <v>10500</v>
      </c>
      <c r="L55" s="52"/>
      <c r="M55" s="53"/>
      <c r="N55" s="53"/>
    </row>
    <row r="56" spans="1:14" ht="15.75" x14ac:dyDescent="0.25">
      <c r="A56" s="101">
        <v>15</v>
      </c>
      <c r="B56" s="60" t="s">
        <v>51</v>
      </c>
      <c r="C56" s="73"/>
      <c r="D56" s="74"/>
      <c r="E56" s="17"/>
      <c r="F56" s="76"/>
      <c r="G56" s="15"/>
      <c r="H56" s="15"/>
      <c r="I56" s="15"/>
      <c r="J56" s="84"/>
      <c r="K56" s="71"/>
      <c r="L56" s="52"/>
      <c r="M56" s="53"/>
      <c r="N56" s="53"/>
    </row>
    <row r="57" spans="1:14" ht="15.75" x14ac:dyDescent="0.25">
      <c r="A57" s="101"/>
      <c r="B57" s="66" t="s">
        <v>52</v>
      </c>
      <c r="C57" s="17" t="s">
        <v>6</v>
      </c>
      <c r="D57" s="9">
        <v>16000</v>
      </c>
      <c r="E57" s="9">
        <v>13000</v>
      </c>
      <c r="F57" s="9">
        <v>14000</v>
      </c>
      <c r="G57" s="9">
        <v>14000</v>
      </c>
      <c r="H57" s="9">
        <v>11500</v>
      </c>
      <c r="I57" s="9">
        <v>17000</v>
      </c>
      <c r="J57" s="72" t="s">
        <v>99</v>
      </c>
      <c r="K57" s="67">
        <f t="shared" si="0"/>
        <v>14250</v>
      </c>
      <c r="L57" s="52"/>
      <c r="M57" s="53"/>
      <c r="N57" s="53"/>
    </row>
    <row r="58" spans="1:14" ht="15.75" x14ac:dyDescent="0.25">
      <c r="A58" s="101"/>
      <c r="B58" s="66" t="s">
        <v>53</v>
      </c>
      <c r="C58" s="17" t="s">
        <v>6</v>
      </c>
      <c r="D58" s="9" t="s">
        <v>99</v>
      </c>
      <c r="E58" s="9" t="s">
        <v>99</v>
      </c>
      <c r="F58" s="16">
        <v>15000</v>
      </c>
      <c r="G58" s="22" t="s">
        <v>99</v>
      </c>
      <c r="H58" s="9">
        <v>13000</v>
      </c>
      <c r="I58" s="8">
        <v>15000</v>
      </c>
      <c r="J58" s="72">
        <v>14000</v>
      </c>
      <c r="K58" s="67">
        <f t="shared" si="0"/>
        <v>14250</v>
      </c>
      <c r="L58" s="52"/>
      <c r="M58" s="53"/>
      <c r="N58" s="53"/>
    </row>
    <row r="59" spans="1:14" ht="15.75" x14ac:dyDescent="0.25">
      <c r="A59" s="101"/>
      <c r="B59" s="66" t="s">
        <v>54</v>
      </c>
      <c r="C59" s="17" t="s">
        <v>6</v>
      </c>
      <c r="D59" s="9">
        <v>24000</v>
      </c>
      <c r="E59" s="9">
        <v>23000</v>
      </c>
      <c r="F59" s="9">
        <v>23000</v>
      </c>
      <c r="G59" s="9">
        <v>23000</v>
      </c>
      <c r="H59" s="9">
        <v>20000</v>
      </c>
      <c r="I59" s="9">
        <v>23000</v>
      </c>
      <c r="J59" s="72">
        <v>24000</v>
      </c>
      <c r="K59" s="67">
        <f t="shared" si="0"/>
        <v>22857.142857142859</v>
      </c>
      <c r="L59" s="52"/>
      <c r="M59" s="53"/>
      <c r="N59" s="53"/>
    </row>
    <row r="60" spans="1:14" ht="15.75" x14ac:dyDescent="0.25">
      <c r="A60" s="101"/>
      <c r="B60" s="66" t="s">
        <v>55</v>
      </c>
      <c r="C60" s="17" t="s">
        <v>6</v>
      </c>
      <c r="D60" s="9">
        <v>30000</v>
      </c>
      <c r="E60" s="9">
        <v>30000</v>
      </c>
      <c r="F60" s="9">
        <v>28000</v>
      </c>
      <c r="G60" s="9">
        <v>30000</v>
      </c>
      <c r="H60" s="9">
        <v>27000</v>
      </c>
      <c r="I60" s="9">
        <v>28000</v>
      </c>
      <c r="J60" s="72">
        <v>28000</v>
      </c>
      <c r="K60" s="67">
        <f t="shared" si="0"/>
        <v>28714.285714285714</v>
      </c>
      <c r="L60" s="52"/>
      <c r="M60" s="53"/>
      <c r="N60" s="53"/>
    </row>
    <row r="61" spans="1:14" ht="15.75" x14ac:dyDescent="0.25">
      <c r="A61" s="17">
        <v>16</v>
      </c>
      <c r="B61" s="60" t="s">
        <v>56</v>
      </c>
      <c r="C61" s="80"/>
      <c r="D61" s="89"/>
      <c r="E61" s="10"/>
      <c r="F61" s="22"/>
      <c r="G61" s="10"/>
      <c r="H61" s="10"/>
      <c r="I61" s="10"/>
      <c r="J61" s="90"/>
      <c r="K61" s="71"/>
      <c r="L61" s="52"/>
      <c r="M61" s="53"/>
      <c r="N61" s="53"/>
    </row>
    <row r="62" spans="1:14" ht="15.75" x14ac:dyDescent="0.25">
      <c r="A62" s="17"/>
      <c r="B62" s="66" t="s">
        <v>57</v>
      </c>
      <c r="C62" s="86" t="s">
        <v>58</v>
      </c>
      <c r="D62" s="9">
        <v>3000</v>
      </c>
      <c r="E62" s="9">
        <v>3200</v>
      </c>
      <c r="F62" s="9">
        <v>3000</v>
      </c>
      <c r="G62" s="9">
        <v>3000</v>
      </c>
      <c r="H62" s="10" t="s">
        <v>99</v>
      </c>
      <c r="I62" s="16">
        <v>3000</v>
      </c>
      <c r="J62" s="72">
        <v>3500</v>
      </c>
      <c r="K62" s="67">
        <f t="shared" si="0"/>
        <v>3116.6666666666665</v>
      </c>
      <c r="L62" s="52"/>
      <c r="M62" s="53"/>
      <c r="N62" s="53"/>
    </row>
    <row r="63" spans="1:14" ht="15.75" x14ac:dyDescent="0.25">
      <c r="A63" s="101">
        <v>17</v>
      </c>
      <c r="B63" s="60" t="s">
        <v>59</v>
      </c>
      <c r="C63" s="73"/>
      <c r="D63" s="74"/>
      <c r="E63" s="17"/>
      <c r="F63" s="76"/>
      <c r="G63" s="76"/>
      <c r="H63" s="15"/>
      <c r="I63" s="15"/>
      <c r="J63" s="84"/>
      <c r="K63" s="71"/>
      <c r="L63" s="52"/>
      <c r="M63" s="53"/>
      <c r="N63" s="53"/>
    </row>
    <row r="64" spans="1:14" ht="15.75" x14ac:dyDescent="0.25">
      <c r="A64" s="101"/>
      <c r="B64" s="66" t="s">
        <v>60</v>
      </c>
      <c r="C64" s="17" t="s">
        <v>6</v>
      </c>
      <c r="D64" s="9">
        <v>70000</v>
      </c>
      <c r="E64" s="9">
        <v>65000</v>
      </c>
      <c r="F64" s="9">
        <v>65000</v>
      </c>
      <c r="G64" s="9">
        <v>60000</v>
      </c>
      <c r="H64" s="9">
        <v>65000</v>
      </c>
      <c r="I64" s="9">
        <v>70000</v>
      </c>
      <c r="J64" s="72">
        <v>60000</v>
      </c>
      <c r="K64" s="67">
        <f t="shared" si="0"/>
        <v>65000</v>
      </c>
      <c r="L64" s="52"/>
      <c r="M64" s="53"/>
      <c r="N64" s="53"/>
    </row>
    <row r="65" spans="1:14" ht="15.75" x14ac:dyDescent="0.25">
      <c r="A65" s="101"/>
      <c r="B65" s="66" t="s">
        <v>61</v>
      </c>
      <c r="C65" s="17" t="s">
        <v>6</v>
      </c>
      <c r="D65" s="9">
        <v>60000</v>
      </c>
      <c r="E65" s="9">
        <v>48000</v>
      </c>
      <c r="F65" s="9">
        <v>48000</v>
      </c>
      <c r="G65" s="9">
        <v>50000</v>
      </c>
      <c r="H65" s="9">
        <v>55000</v>
      </c>
      <c r="I65" s="8">
        <v>57000</v>
      </c>
      <c r="J65" s="72">
        <v>60000</v>
      </c>
      <c r="K65" s="67">
        <f t="shared" si="0"/>
        <v>54000</v>
      </c>
      <c r="L65" s="52"/>
      <c r="M65" s="53"/>
      <c r="N65" s="53"/>
    </row>
    <row r="66" spans="1:14" ht="15.75" x14ac:dyDescent="0.25">
      <c r="A66" s="101"/>
      <c r="B66" s="66" t="s">
        <v>62</v>
      </c>
      <c r="C66" s="17" t="s">
        <v>6</v>
      </c>
      <c r="D66" s="9">
        <v>30000</v>
      </c>
      <c r="E66" s="9">
        <v>30000</v>
      </c>
      <c r="F66" s="9">
        <v>27000</v>
      </c>
      <c r="G66" s="9">
        <v>30000</v>
      </c>
      <c r="H66" s="9">
        <v>30000</v>
      </c>
      <c r="I66" s="9">
        <v>30000</v>
      </c>
      <c r="J66" s="72">
        <v>32000</v>
      </c>
      <c r="K66" s="67">
        <f t="shared" si="0"/>
        <v>29857.142857142859</v>
      </c>
      <c r="L66" s="52"/>
      <c r="M66" s="53"/>
      <c r="N66" s="53"/>
    </row>
    <row r="67" spans="1:14" ht="15.75" x14ac:dyDescent="0.25">
      <c r="A67" s="17">
        <v>18</v>
      </c>
      <c r="B67" s="60" t="s">
        <v>63</v>
      </c>
      <c r="C67" s="80"/>
      <c r="D67" s="24"/>
      <c r="E67" s="10"/>
      <c r="F67" s="22"/>
      <c r="G67" s="10"/>
      <c r="H67" s="10" t="s">
        <v>1</v>
      </c>
      <c r="I67" s="10"/>
      <c r="J67" s="77"/>
      <c r="K67" s="71"/>
      <c r="L67" s="52"/>
      <c r="M67" s="53"/>
      <c r="N67" s="53"/>
    </row>
    <row r="68" spans="1:14" ht="15.75" x14ac:dyDescent="0.25">
      <c r="A68" s="17"/>
      <c r="B68" s="66" t="s">
        <v>64</v>
      </c>
      <c r="C68" s="17" t="s">
        <v>65</v>
      </c>
      <c r="D68" s="9">
        <v>20000</v>
      </c>
      <c r="E68" s="9">
        <v>18000</v>
      </c>
      <c r="F68" s="9">
        <v>18000</v>
      </c>
      <c r="G68" s="9">
        <v>18000</v>
      </c>
      <c r="H68" s="10" t="s">
        <v>99</v>
      </c>
      <c r="I68" s="9">
        <v>18000</v>
      </c>
      <c r="J68" s="79">
        <v>18000</v>
      </c>
      <c r="K68" s="67">
        <f t="shared" si="0"/>
        <v>18333.333333333332</v>
      </c>
      <c r="L68" s="52"/>
      <c r="M68" s="53"/>
      <c r="N68" s="53"/>
    </row>
    <row r="69" spans="1:14" ht="15.75" x14ac:dyDescent="0.25">
      <c r="A69" s="101">
        <v>19</v>
      </c>
      <c r="B69" s="60" t="s">
        <v>66</v>
      </c>
      <c r="C69" s="60"/>
      <c r="D69" s="74"/>
      <c r="E69" s="17"/>
      <c r="F69" s="15"/>
      <c r="G69" s="15"/>
      <c r="H69" s="15"/>
      <c r="I69" s="15"/>
      <c r="J69" s="75"/>
      <c r="K69" s="71"/>
      <c r="L69" s="52"/>
      <c r="M69" s="53"/>
      <c r="N69" s="53"/>
    </row>
    <row r="70" spans="1:14" ht="15.75" x14ac:dyDescent="0.25">
      <c r="A70" s="101"/>
      <c r="B70" s="66" t="s">
        <v>67</v>
      </c>
      <c r="C70" s="17" t="s">
        <v>6</v>
      </c>
      <c r="D70" s="9">
        <v>36000</v>
      </c>
      <c r="E70" s="9">
        <v>35000</v>
      </c>
      <c r="F70" s="9">
        <v>36000</v>
      </c>
      <c r="G70" s="9">
        <v>35000</v>
      </c>
      <c r="H70" s="9">
        <v>36000</v>
      </c>
      <c r="I70" s="9">
        <v>40000</v>
      </c>
      <c r="J70" s="72">
        <v>37000</v>
      </c>
      <c r="K70" s="67">
        <f t="shared" si="0"/>
        <v>36428.571428571428</v>
      </c>
      <c r="L70" s="52"/>
      <c r="M70" s="53"/>
      <c r="N70" s="53"/>
    </row>
    <row r="71" spans="1:14" ht="15.75" x14ac:dyDescent="0.25">
      <c r="A71" s="101"/>
      <c r="B71" s="66" t="s">
        <v>68</v>
      </c>
      <c r="C71" s="17" t="s">
        <v>6</v>
      </c>
      <c r="D71" s="9">
        <v>34000</v>
      </c>
      <c r="E71" s="9">
        <v>32000</v>
      </c>
      <c r="F71" s="9">
        <v>34000</v>
      </c>
      <c r="G71" s="9">
        <v>32000</v>
      </c>
      <c r="H71" s="9">
        <v>31000</v>
      </c>
      <c r="I71" s="9">
        <v>35000</v>
      </c>
      <c r="J71" s="72">
        <v>30000</v>
      </c>
      <c r="K71" s="67">
        <f t="shared" si="0"/>
        <v>32571.428571428572</v>
      </c>
      <c r="L71" s="52"/>
      <c r="M71" s="53"/>
      <c r="N71" s="53"/>
    </row>
    <row r="72" spans="1:14" ht="15.75" x14ac:dyDescent="0.25">
      <c r="A72" s="101"/>
      <c r="B72" s="66" t="s">
        <v>69</v>
      </c>
      <c r="C72" s="17" t="s">
        <v>6</v>
      </c>
      <c r="D72" s="9">
        <v>26000</v>
      </c>
      <c r="E72" s="9">
        <v>28000</v>
      </c>
      <c r="F72" s="9">
        <v>24000</v>
      </c>
      <c r="G72" s="9">
        <v>28000</v>
      </c>
      <c r="H72" s="9">
        <v>20000</v>
      </c>
      <c r="I72" s="9">
        <v>25000</v>
      </c>
      <c r="J72" s="72">
        <v>20000</v>
      </c>
      <c r="K72" s="67">
        <f t="shared" si="0"/>
        <v>24428.571428571428</v>
      </c>
      <c r="L72" s="52"/>
      <c r="M72" s="53"/>
      <c r="N72" s="53"/>
    </row>
    <row r="73" spans="1:14" ht="15.75" x14ac:dyDescent="0.25">
      <c r="A73" s="101"/>
      <c r="B73" s="66" t="s">
        <v>70</v>
      </c>
      <c r="C73" s="17" t="s">
        <v>6</v>
      </c>
      <c r="D73" s="9">
        <v>28000</v>
      </c>
      <c r="E73" s="9">
        <v>25000</v>
      </c>
      <c r="F73" s="16">
        <v>28000</v>
      </c>
      <c r="G73" s="8">
        <v>30000</v>
      </c>
      <c r="H73" s="9">
        <v>25000</v>
      </c>
      <c r="I73" s="9">
        <v>25000</v>
      </c>
      <c r="J73" s="72" t="s">
        <v>99</v>
      </c>
      <c r="K73" s="67">
        <f t="shared" si="0"/>
        <v>26833.333333333332</v>
      </c>
      <c r="L73" s="52"/>
      <c r="M73" s="53"/>
      <c r="N73" s="53"/>
    </row>
    <row r="74" spans="1:14" ht="15.75" x14ac:dyDescent="0.25">
      <c r="A74" s="17">
        <v>20</v>
      </c>
      <c r="B74" s="60" t="s">
        <v>71</v>
      </c>
      <c r="C74" s="91"/>
      <c r="D74" s="24"/>
      <c r="E74" s="10"/>
      <c r="F74" s="10"/>
      <c r="G74" s="89"/>
      <c r="H74" s="10"/>
      <c r="I74" s="10"/>
      <c r="J74" s="90"/>
      <c r="K74" s="71"/>
      <c r="L74" s="52"/>
      <c r="M74" s="53"/>
      <c r="N74" s="53"/>
    </row>
    <row r="75" spans="1:14" ht="15.75" x14ac:dyDescent="0.25">
      <c r="A75" s="17"/>
      <c r="B75" s="66" t="s">
        <v>72</v>
      </c>
      <c r="C75" s="86" t="s">
        <v>6</v>
      </c>
      <c r="D75" s="9">
        <v>7000</v>
      </c>
      <c r="E75" s="9">
        <v>7000</v>
      </c>
      <c r="F75" s="9">
        <v>5000</v>
      </c>
      <c r="G75" s="9">
        <v>6000</v>
      </c>
      <c r="H75" s="9">
        <v>5000</v>
      </c>
      <c r="I75" s="9">
        <v>5000</v>
      </c>
      <c r="J75" s="72">
        <v>5000</v>
      </c>
      <c r="K75" s="67">
        <f t="shared" si="0"/>
        <v>5714.2857142857147</v>
      </c>
      <c r="L75" s="52"/>
      <c r="M75" s="53"/>
      <c r="N75" s="53"/>
    </row>
    <row r="76" spans="1:14" ht="15.75" x14ac:dyDescent="0.25">
      <c r="A76" s="17"/>
      <c r="B76" s="66" t="s">
        <v>73</v>
      </c>
      <c r="C76" s="86" t="s">
        <v>6</v>
      </c>
      <c r="D76" s="9">
        <v>7000</v>
      </c>
      <c r="E76" s="9">
        <v>6000</v>
      </c>
      <c r="F76" s="16">
        <v>6000</v>
      </c>
      <c r="G76" s="8">
        <v>6000</v>
      </c>
      <c r="H76" s="9">
        <v>5000</v>
      </c>
      <c r="I76" s="9">
        <v>6000</v>
      </c>
      <c r="J76" s="79">
        <v>6000</v>
      </c>
      <c r="K76" s="67">
        <f t="shared" si="0"/>
        <v>6000</v>
      </c>
      <c r="L76" s="52"/>
      <c r="M76" s="53"/>
      <c r="N76" s="53"/>
    </row>
    <row r="77" spans="1:14" ht="15.75" x14ac:dyDescent="0.25">
      <c r="A77" s="17">
        <v>21</v>
      </c>
      <c r="B77" s="60" t="s">
        <v>74</v>
      </c>
      <c r="C77" s="91"/>
      <c r="D77" s="19"/>
      <c r="E77" s="10"/>
      <c r="F77" s="10"/>
      <c r="G77" s="22"/>
      <c r="H77" s="10"/>
      <c r="I77" s="10"/>
      <c r="J77" s="77"/>
      <c r="K77" s="71"/>
      <c r="L77" s="52"/>
      <c r="M77" s="53"/>
      <c r="N77" s="53"/>
    </row>
    <row r="78" spans="1:14" ht="15.75" x14ac:dyDescent="0.25">
      <c r="A78" s="17"/>
      <c r="B78" s="66" t="s">
        <v>75</v>
      </c>
      <c r="C78" s="86" t="s">
        <v>6</v>
      </c>
      <c r="D78" s="9">
        <v>8000</v>
      </c>
      <c r="E78" s="9">
        <v>8000</v>
      </c>
      <c r="F78" s="9">
        <v>10000</v>
      </c>
      <c r="G78" s="9">
        <v>8000</v>
      </c>
      <c r="H78" s="9">
        <v>6000</v>
      </c>
      <c r="I78" s="16">
        <v>9000</v>
      </c>
      <c r="J78" s="72" t="s">
        <v>99</v>
      </c>
      <c r="K78" s="67">
        <f t="shared" si="0"/>
        <v>8166.666666666667</v>
      </c>
      <c r="L78" s="52"/>
      <c r="M78" s="53"/>
      <c r="N78" s="53"/>
    </row>
    <row r="79" spans="1:14" ht="15.75" x14ac:dyDescent="0.25">
      <c r="A79" s="17"/>
      <c r="B79" s="66" t="s">
        <v>76</v>
      </c>
      <c r="C79" s="86" t="s">
        <v>6</v>
      </c>
      <c r="D79" s="9">
        <v>8000</v>
      </c>
      <c r="E79" s="9">
        <v>10000</v>
      </c>
      <c r="F79" s="9">
        <v>20000</v>
      </c>
      <c r="G79" s="9">
        <v>14000</v>
      </c>
      <c r="H79" s="9">
        <v>6000</v>
      </c>
      <c r="I79" s="16">
        <v>12000</v>
      </c>
      <c r="J79" s="72">
        <v>15000</v>
      </c>
      <c r="K79" s="67">
        <f t="shared" si="0"/>
        <v>12142.857142857143</v>
      </c>
      <c r="L79" s="52"/>
      <c r="M79" s="53"/>
      <c r="N79" s="53"/>
    </row>
    <row r="80" spans="1:14" ht="15.75" x14ac:dyDescent="0.25">
      <c r="A80" s="17"/>
      <c r="B80" s="66" t="s">
        <v>77</v>
      </c>
      <c r="C80" s="86" t="s">
        <v>6</v>
      </c>
      <c r="D80" s="9">
        <v>18000</v>
      </c>
      <c r="E80" s="9">
        <v>16000</v>
      </c>
      <c r="F80" s="9">
        <v>17000</v>
      </c>
      <c r="G80" s="9">
        <v>15000</v>
      </c>
      <c r="H80" s="9">
        <v>15000</v>
      </c>
      <c r="I80" s="9">
        <v>20000</v>
      </c>
      <c r="J80" s="72">
        <v>18000</v>
      </c>
      <c r="K80" s="67">
        <f t="shared" si="0"/>
        <v>17000</v>
      </c>
      <c r="L80" s="52"/>
      <c r="M80" s="53"/>
      <c r="N80" s="53"/>
    </row>
    <row r="81" spans="1:14" ht="15.75" x14ac:dyDescent="0.25">
      <c r="A81" s="17"/>
      <c r="B81" s="66" t="s">
        <v>78</v>
      </c>
      <c r="C81" s="86" t="s">
        <v>6</v>
      </c>
      <c r="D81" s="9">
        <v>20000</v>
      </c>
      <c r="E81" s="9">
        <v>15000</v>
      </c>
      <c r="F81" s="9">
        <v>10000</v>
      </c>
      <c r="G81" s="9">
        <v>10000</v>
      </c>
      <c r="H81" s="9">
        <v>22000</v>
      </c>
      <c r="I81" s="8">
        <v>25000</v>
      </c>
      <c r="J81" s="72">
        <v>20000</v>
      </c>
      <c r="K81" s="67">
        <f t="shared" ref="K81:K88" si="1">AVERAGE(D81:J81)</f>
        <v>17428.571428571428</v>
      </c>
      <c r="L81" s="52"/>
      <c r="M81" s="53"/>
      <c r="N81" s="53"/>
    </row>
    <row r="82" spans="1:14" ht="15.75" x14ac:dyDescent="0.25">
      <c r="A82" s="17"/>
      <c r="B82" s="66" t="s">
        <v>79</v>
      </c>
      <c r="C82" s="86" t="s">
        <v>6</v>
      </c>
      <c r="D82" s="9">
        <v>10000</v>
      </c>
      <c r="E82" s="9">
        <v>12000</v>
      </c>
      <c r="F82" s="9">
        <v>14000</v>
      </c>
      <c r="G82" s="9">
        <v>12000</v>
      </c>
      <c r="H82" s="9">
        <v>10000</v>
      </c>
      <c r="I82" s="9">
        <v>20000</v>
      </c>
      <c r="J82" s="72">
        <v>15000</v>
      </c>
      <c r="K82" s="67">
        <f t="shared" si="1"/>
        <v>13285.714285714286</v>
      </c>
      <c r="L82" s="52"/>
      <c r="M82" s="53"/>
      <c r="N82" s="53"/>
    </row>
    <row r="83" spans="1:14" ht="15.75" x14ac:dyDescent="0.25">
      <c r="A83" s="17"/>
      <c r="B83" s="66" t="s">
        <v>80</v>
      </c>
      <c r="C83" s="86" t="s">
        <v>6</v>
      </c>
      <c r="D83" s="9">
        <v>7000</v>
      </c>
      <c r="E83" s="9">
        <v>8000</v>
      </c>
      <c r="F83" s="16">
        <v>9000</v>
      </c>
      <c r="G83" s="8">
        <v>8000</v>
      </c>
      <c r="H83" s="9">
        <v>10000</v>
      </c>
      <c r="I83" s="16">
        <v>9000</v>
      </c>
      <c r="J83" s="72">
        <v>8000</v>
      </c>
      <c r="K83" s="67">
        <f t="shared" si="1"/>
        <v>8428.5714285714294</v>
      </c>
      <c r="L83" s="52"/>
      <c r="M83" s="53"/>
      <c r="N83" s="53"/>
    </row>
    <row r="84" spans="1:14" ht="15.75" x14ac:dyDescent="0.25">
      <c r="A84" s="17"/>
      <c r="B84" s="66" t="s">
        <v>81</v>
      </c>
      <c r="C84" s="86" t="s">
        <v>82</v>
      </c>
      <c r="D84" s="9">
        <v>1500</v>
      </c>
      <c r="E84" s="9">
        <v>1500</v>
      </c>
      <c r="F84" s="9">
        <v>2000</v>
      </c>
      <c r="G84" s="8">
        <v>2000</v>
      </c>
      <c r="H84" s="9">
        <v>1500</v>
      </c>
      <c r="I84" s="9">
        <v>2000</v>
      </c>
      <c r="J84" s="79">
        <v>1500</v>
      </c>
      <c r="K84" s="67">
        <f t="shared" si="1"/>
        <v>1714.2857142857142</v>
      </c>
      <c r="L84" s="53"/>
      <c r="M84" s="53"/>
      <c r="N84" s="53"/>
    </row>
    <row r="85" spans="1:14" x14ac:dyDescent="0.25">
      <c r="A85" s="17"/>
      <c r="B85" s="66" t="s">
        <v>83</v>
      </c>
      <c r="C85" s="86" t="s">
        <v>82</v>
      </c>
      <c r="D85" s="9">
        <v>1000</v>
      </c>
      <c r="E85" s="9">
        <v>1500</v>
      </c>
      <c r="F85" s="9">
        <v>1500</v>
      </c>
      <c r="G85" s="8">
        <v>2000</v>
      </c>
      <c r="H85" s="9">
        <v>1500</v>
      </c>
      <c r="I85" s="9">
        <v>1500</v>
      </c>
      <c r="J85" s="79">
        <v>1000</v>
      </c>
      <c r="K85" s="67">
        <f t="shared" si="1"/>
        <v>1428.5714285714287</v>
      </c>
    </row>
    <row r="86" spans="1:14" x14ac:dyDescent="0.25">
      <c r="A86" s="17"/>
      <c r="B86" s="66" t="s">
        <v>84</v>
      </c>
      <c r="C86" s="86" t="s">
        <v>82</v>
      </c>
      <c r="D86" s="9" t="s">
        <v>99</v>
      </c>
      <c r="E86" s="9">
        <v>2000</v>
      </c>
      <c r="F86" s="9" t="s">
        <v>99</v>
      </c>
      <c r="G86" s="8" t="s">
        <v>99</v>
      </c>
      <c r="H86" s="9">
        <v>2500</v>
      </c>
      <c r="I86" s="9" t="s">
        <v>99</v>
      </c>
      <c r="J86" s="79">
        <v>2000</v>
      </c>
      <c r="K86" s="67">
        <f t="shared" si="1"/>
        <v>2166.6666666666665</v>
      </c>
    </row>
    <row r="87" spans="1:14" x14ac:dyDescent="0.25">
      <c r="A87" s="17">
        <v>22</v>
      </c>
      <c r="B87" s="60" t="s">
        <v>85</v>
      </c>
      <c r="C87" s="91"/>
      <c r="D87" s="22"/>
      <c r="E87" s="10"/>
      <c r="F87" s="10" t="s">
        <v>102</v>
      </c>
      <c r="G87" s="22"/>
      <c r="H87" s="10"/>
      <c r="I87" s="10"/>
      <c r="J87" s="77"/>
      <c r="K87" s="71"/>
    </row>
    <row r="88" spans="1:14" x14ac:dyDescent="0.25">
      <c r="A88" s="17"/>
      <c r="B88" s="66" t="s">
        <v>86</v>
      </c>
      <c r="C88" s="86" t="s">
        <v>87</v>
      </c>
      <c r="D88" s="9" t="s">
        <v>99</v>
      </c>
      <c r="E88" s="9" t="s">
        <v>99</v>
      </c>
      <c r="F88" s="9">
        <v>18000</v>
      </c>
      <c r="G88" s="8">
        <v>17000</v>
      </c>
      <c r="H88" s="10" t="s">
        <v>99</v>
      </c>
      <c r="I88" s="16">
        <v>18000</v>
      </c>
      <c r="J88" s="79">
        <v>18000</v>
      </c>
      <c r="K88" s="67">
        <f t="shared" si="1"/>
        <v>17750</v>
      </c>
    </row>
  </sheetData>
  <mergeCells count="28">
    <mergeCell ref="A63:A66"/>
    <mergeCell ref="A69:A73"/>
    <mergeCell ref="A7:A12"/>
    <mergeCell ref="A13:A15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D4:D6"/>
    <mergeCell ref="E4:E6"/>
    <mergeCell ref="A1:K1"/>
    <mergeCell ref="A2:K2"/>
    <mergeCell ref="A3:K3"/>
    <mergeCell ref="A4:A6"/>
    <mergeCell ref="B4:B6"/>
    <mergeCell ref="C4:C6"/>
    <mergeCell ref="K4:K6"/>
    <mergeCell ref="F4:F6"/>
    <mergeCell ref="J4:J6"/>
    <mergeCell ref="H4:H6"/>
    <mergeCell ref="I4:I6"/>
    <mergeCell ref="G4:G6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FB16-EC66-4B10-94FF-755E6DB6B903}">
  <dimension ref="A1:N88"/>
  <sheetViews>
    <sheetView zoomScale="55" zoomScaleNormal="55" workbookViewId="0">
      <selection activeCell="A4" sqref="A4:A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3.37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3.37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3.37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3.37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3.37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3.37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3.37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3.37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3.37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3.37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3.37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3.37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3.37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3.37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3.37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3.37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3.37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3.37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3.37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3.37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3.37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3.37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3.37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3.37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3.37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3.37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3.37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3.37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3.37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3.37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3.37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3.37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3.37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3.37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3.37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3.37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3.37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3.37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3.37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3.37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3.37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3.37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3.37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3.37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3.37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3.37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3.37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3.37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3.37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3.37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3.37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3.37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3.37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3.37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3.37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3.37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3.37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3.37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3.37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3.37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3.37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3.37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3.37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3.37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02" t="s">
        <v>88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M1" s="4"/>
      <c r="N1" s="4"/>
    </row>
    <row r="2" spans="1:14" ht="27.75" customHeight="1" x14ac:dyDescent="0.25">
      <c r="A2" s="103" t="s">
        <v>89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M2" s="4"/>
      <c r="N2" s="4"/>
    </row>
    <row r="3" spans="1:14" ht="27.75" customHeight="1" thickBot="1" x14ac:dyDescent="0.3">
      <c r="A3" s="104" t="s">
        <v>132</v>
      </c>
      <c r="B3" s="104"/>
      <c r="C3" s="104"/>
      <c r="D3" s="104"/>
      <c r="E3" s="104"/>
      <c r="F3" s="104"/>
      <c r="G3" s="104"/>
      <c r="H3" s="104"/>
      <c r="I3" s="104"/>
      <c r="J3" s="104"/>
      <c r="K3" s="105"/>
      <c r="M3" s="4"/>
      <c r="N3" s="4"/>
    </row>
    <row r="4" spans="1:14" ht="25.5" customHeight="1" x14ac:dyDescent="0.25">
      <c r="A4" s="96" t="s">
        <v>1</v>
      </c>
      <c r="B4" s="99" t="s">
        <v>2</v>
      </c>
      <c r="C4" s="96" t="s">
        <v>90</v>
      </c>
      <c r="D4" s="110" t="s">
        <v>91</v>
      </c>
      <c r="E4" s="113" t="s">
        <v>92</v>
      </c>
      <c r="F4" s="125" t="s">
        <v>93</v>
      </c>
      <c r="G4" s="131" t="s">
        <v>94</v>
      </c>
      <c r="H4" s="116" t="s">
        <v>95</v>
      </c>
      <c r="I4" s="119" t="s">
        <v>96</v>
      </c>
      <c r="J4" s="106" t="s">
        <v>97</v>
      </c>
      <c r="K4" s="122" t="s">
        <v>98</v>
      </c>
      <c r="M4" s="4"/>
      <c r="N4" s="4"/>
    </row>
    <row r="5" spans="1:14" ht="15" customHeight="1" x14ac:dyDescent="0.25">
      <c r="A5" s="97"/>
      <c r="B5" s="100"/>
      <c r="C5" s="97"/>
      <c r="D5" s="111"/>
      <c r="E5" s="114"/>
      <c r="F5" s="126"/>
      <c r="G5" s="132"/>
      <c r="H5" s="117"/>
      <c r="I5" s="120"/>
      <c r="J5" s="107"/>
      <c r="K5" s="123"/>
      <c r="M5" s="4"/>
      <c r="N5" s="4"/>
    </row>
    <row r="6" spans="1:14" ht="16.5" thickBot="1" x14ac:dyDescent="0.3">
      <c r="A6" s="98"/>
      <c r="B6" s="109"/>
      <c r="C6" s="98"/>
      <c r="D6" s="112"/>
      <c r="E6" s="115"/>
      <c r="F6" s="127"/>
      <c r="G6" s="133"/>
      <c r="H6" s="118"/>
      <c r="I6" s="121"/>
      <c r="J6" s="108"/>
      <c r="K6" s="124"/>
      <c r="M6" s="4"/>
      <c r="N6" s="4"/>
    </row>
    <row r="7" spans="1:14" ht="15.75" x14ac:dyDescent="0.25">
      <c r="A7" s="101">
        <v>1</v>
      </c>
      <c r="B7" s="60" t="s">
        <v>4</v>
      </c>
      <c r="C7" s="61"/>
      <c r="D7" s="62"/>
      <c r="E7" s="17" t="s">
        <v>102</v>
      </c>
      <c r="F7" s="17"/>
      <c r="G7" s="63"/>
      <c r="H7" s="63" t="s">
        <v>1</v>
      </c>
      <c r="I7" s="64"/>
      <c r="J7" s="63"/>
      <c r="K7" s="65"/>
      <c r="M7" s="4"/>
      <c r="N7" s="4"/>
    </row>
    <row r="8" spans="1:14" ht="15.75" x14ac:dyDescent="0.25">
      <c r="A8" s="101"/>
      <c r="B8" s="66" t="s">
        <v>107</v>
      </c>
      <c r="C8" s="17" t="s">
        <v>6</v>
      </c>
      <c r="D8" s="9">
        <v>15500</v>
      </c>
      <c r="E8" s="9">
        <v>15000</v>
      </c>
      <c r="F8" s="9">
        <v>15500</v>
      </c>
      <c r="G8" s="9">
        <v>15500</v>
      </c>
      <c r="H8" s="9">
        <v>16000</v>
      </c>
      <c r="I8" s="9">
        <v>16000</v>
      </c>
      <c r="J8" s="16">
        <v>14000</v>
      </c>
      <c r="K8" s="67">
        <f>AVERAGE(D8:J8)</f>
        <v>15357.142857142857</v>
      </c>
      <c r="L8" s="1"/>
      <c r="M8" s="7"/>
      <c r="N8" s="4"/>
    </row>
    <row r="9" spans="1:14" ht="15.75" x14ac:dyDescent="0.25">
      <c r="A9" s="101"/>
      <c r="B9" s="66" t="s">
        <v>115</v>
      </c>
      <c r="C9" s="17" t="s">
        <v>6</v>
      </c>
      <c r="D9" s="9">
        <v>10900</v>
      </c>
      <c r="E9" s="9">
        <v>10900</v>
      </c>
      <c r="F9" s="9">
        <v>10900</v>
      </c>
      <c r="G9" s="8">
        <v>10900</v>
      </c>
      <c r="H9" s="9">
        <v>12000</v>
      </c>
      <c r="I9" s="9">
        <v>10900</v>
      </c>
      <c r="J9" s="16" t="s">
        <v>99</v>
      </c>
      <c r="K9" s="67">
        <f t="shared" ref="K9:K80" si="0">AVERAGE(D9:J9)</f>
        <v>11083.333333333334</v>
      </c>
      <c r="M9" s="4"/>
      <c r="N9" s="4"/>
    </row>
    <row r="10" spans="1:14" ht="15.75" x14ac:dyDescent="0.25">
      <c r="A10" s="101"/>
      <c r="B10" s="66" t="s">
        <v>108</v>
      </c>
      <c r="C10" s="17" t="s">
        <v>6</v>
      </c>
      <c r="D10" s="9" t="s">
        <v>99</v>
      </c>
      <c r="E10" s="9" t="s">
        <v>99</v>
      </c>
      <c r="F10" s="9" t="s">
        <v>99</v>
      </c>
      <c r="G10" s="8" t="s">
        <v>99</v>
      </c>
      <c r="H10" s="9" t="s">
        <v>99</v>
      </c>
      <c r="I10" s="9" t="s">
        <v>99</v>
      </c>
      <c r="J10" s="16" t="s">
        <v>99</v>
      </c>
      <c r="K10" s="67">
        <v>0</v>
      </c>
      <c r="M10" s="4"/>
      <c r="N10" s="4"/>
    </row>
    <row r="11" spans="1:14" ht="15.75" x14ac:dyDescent="0.25">
      <c r="A11" s="101"/>
      <c r="B11" s="66" t="s">
        <v>9</v>
      </c>
      <c r="C11" s="17" t="s">
        <v>6</v>
      </c>
      <c r="D11" s="9" t="s">
        <v>99</v>
      </c>
      <c r="E11" s="9">
        <v>10000</v>
      </c>
      <c r="F11" s="16">
        <v>12000</v>
      </c>
      <c r="G11" s="8">
        <v>10000</v>
      </c>
      <c r="H11" s="9">
        <v>10000</v>
      </c>
      <c r="I11" s="16">
        <v>12000</v>
      </c>
      <c r="J11" s="16">
        <v>10000</v>
      </c>
      <c r="K11" s="67">
        <f>AVERAGE(D11:J11)</f>
        <v>10666.666666666666</v>
      </c>
      <c r="M11" s="4"/>
      <c r="N11" s="4"/>
    </row>
    <row r="12" spans="1:14" ht="15.75" x14ac:dyDescent="0.25">
      <c r="A12" s="101"/>
      <c r="B12" s="66" t="s">
        <v>10</v>
      </c>
      <c r="C12" s="17" t="s">
        <v>6</v>
      </c>
      <c r="D12" s="9" t="s">
        <v>99</v>
      </c>
      <c r="E12" s="9">
        <v>21000</v>
      </c>
      <c r="F12" s="16">
        <v>16000</v>
      </c>
      <c r="G12" s="8">
        <v>18000</v>
      </c>
      <c r="H12" s="9">
        <v>25000</v>
      </c>
      <c r="I12" s="16">
        <v>17000</v>
      </c>
      <c r="J12" s="16">
        <v>17000</v>
      </c>
      <c r="K12" s="67">
        <f t="shared" si="0"/>
        <v>19000</v>
      </c>
      <c r="M12" s="4"/>
      <c r="N12" s="4"/>
    </row>
    <row r="13" spans="1:14" ht="15.75" x14ac:dyDescent="0.25">
      <c r="A13" s="101">
        <v>2</v>
      </c>
      <c r="B13" s="60" t="s">
        <v>11</v>
      </c>
      <c r="C13" s="68"/>
      <c r="D13" s="62"/>
      <c r="E13" s="69"/>
      <c r="F13" s="17"/>
      <c r="G13" s="70"/>
      <c r="H13" s="70"/>
      <c r="I13" s="70"/>
      <c r="J13" s="70"/>
      <c r="K13" s="71"/>
      <c r="M13" s="4"/>
      <c r="N13" s="12"/>
    </row>
    <row r="14" spans="1:14" ht="15.75" x14ac:dyDescent="0.25">
      <c r="A14" s="101"/>
      <c r="B14" s="66" t="s">
        <v>116</v>
      </c>
      <c r="C14" s="17" t="s">
        <v>6</v>
      </c>
      <c r="D14" s="9">
        <v>16000</v>
      </c>
      <c r="E14" s="9">
        <v>16000</v>
      </c>
      <c r="F14" s="9">
        <v>16000</v>
      </c>
      <c r="G14" s="16">
        <v>16000</v>
      </c>
      <c r="H14" s="9">
        <v>16500</v>
      </c>
      <c r="I14" s="9">
        <v>16500</v>
      </c>
      <c r="J14" s="72">
        <v>16500</v>
      </c>
      <c r="K14" s="67">
        <f t="shared" si="0"/>
        <v>16214.285714285714</v>
      </c>
      <c r="M14" s="4"/>
      <c r="N14" s="4"/>
    </row>
    <row r="15" spans="1:14" ht="15.75" x14ac:dyDescent="0.25">
      <c r="A15" s="101"/>
      <c r="B15" s="66" t="s">
        <v>13</v>
      </c>
      <c r="C15" s="17" t="s">
        <v>6</v>
      </c>
      <c r="D15" s="9">
        <v>17000</v>
      </c>
      <c r="E15" s="9">
        <v>16000</v>
      </c>
      <c r="F15" s="16">
        <v>16000</v>
      </c>
      <c r="G15" s="8">
        <v>16000</v>
      </c>
      <c r="H15" s="9">
        <v>17000</v>
      </c>
      <c r="I15" s="9">
        <v>16000</v>
      </c>
      <c r="J15" s="72">
        <v>18000</v>
      </c>
      <c r="K15" s="67">
        <f>AVERAGE(D15:J15)</f>
        <v>16571.428571428572</v>
      </c>
      <c r="M15" s="4"/>
      <c r="N15" s="4"/>
    </row>
    <row r="16" spans="1:14" ht="15.75" x14ac:dyDescent="0.25">
      <c r="A16" s="101">
        <v>3</v>
      </c>
      <c r="B16" s="60" t="s">
        <v>14</v>
      </c>
      <c r="C16" s="73"/>
      <c r="D16" s="74"/>
      <c r="E16" s="15"/>
      <c r="F16" s="15"/>
      <c r="G16" s="15"/>
      <c r="H16" s="15"/>
      <c r="I16" s="15" t="s">
        <v>130</v>
      </c>
      <c r="J16" s="75"/>
      <c r="K16" s="71"/>
      <c r="M16" s="4"/>
      <c r="N16" s="4"/>
    </row>
    <row r="17" spans="1:14" ht="15.75" x14ac:dyDescent="0.25">
      <c r="A17" s="101"/>
      <c r="B17" s="66" t="s">
        <v>15</v>
      </c>
      <c r="C17" s="17" t="s">
        <v>6</v>
      </c>
      <c r="D17" s="9">
        <v>15000</v>
      </c>
      <c r="E17" s="9">
        <v>15000</v>
      </c>
      <c r="F17" s="9">
        <v>14000</v>
      </c>
      <c r="G17" s="9">
        <v>15000</v>
      </c>
      <c r="H17" s="9">
        <v>16000</v>
      </c>
      <c r="I17" s="9">
        <v>16000</v>
      </c>
      <c r="J17" s="72">
        <v>16000</v>
      </c>
      <c r="K17" s="67">
        <f t="shared" si="0"/>
        <v>15285.714285714286</v>
      </c>
      <c r="M17" s="4"/>
      <c r="N17" s="4"/>
    </row>
    <row r="18" spans="1:14" ht="15.75" x14ac:dyDescent="0.25">
      <c r="A18" s="59"/>
      <c r="B18" s="66" t="s">
        <v>109</v>
      </c>
      <c r="C18" s="17" t="s">
        <v>110</v>
      </c>
      <c r="D18" s="9">
        <v>14000</v>
      </c>
      <c r="E18" s="9">
        <v>14000</v>
      </c>
      <c r="F18" s="9">
        <v>14000</v>
      </c>
      <c r="G18" s="9">
        <v>14000</v>
      </c>
      <c r="H18" s="9" t="s">
        <v>99</v>
      </c>
      <c r="I18" s="9">
        <v>14000</v>
      </c>
      <c r="J18" s="72">
        <v>14000</v>
      </c>
      <c r="K18" s="67">
        <f t="shared" si="0"/>
        <v>14000</v>
      </c>
      <c r="M18" s="4"/>
      <c r="N18" s="4"/>
    </row>
    <row r="19" spans="1:14" ht="17.25" customHeight="1" x14ac:dyDescent="0.25">
      <c r="A19" s="101">
        <v>4</v>
      </c>
      <c r="B19" s="60" t="s">
        <v>16</v>
      </c>
      <c r="C19" s="73"/>
      <c r="D19" s="74"/>
      <c r="E19" s="15"/>
      <c r="F19" s="15"/>
      <c r="G19" s="76"/>
      <c r="H19" s="15"/>
      <c r="I19" s="15"/>
      <c r="J19" s="75"/>
      <c r="K19" s="71"/>
      <c r="M19" s="4"/>
      <c r="N19" s="4"/>
    </row>
    <row r="20" spans="1:14" ht="15.75" x14ac:dyDescent="0.25">
      <c r="A20" s="101"/>
      <c r="B20" s="66" t="s">
        <v>17</v>
      </c>
      <c r="C20" s="17" t="s">
        <v>6</v>
      </c>
      <c r="D20" s="9">
        <v>20000</v>
      </c>
      <c r="E20" s="9">
        <v>20000</v>
      </c>
      <c r="F20" s="16">
        <v>20000</v>
      </c>
      <c r="G20" s="8">
        <v>22000</v>
      </c>
      <c r="H20" s="16">
        <v>33000</v>
      </c>
      <c r="I20" s="16">
        <v>20000</v>
      </c>
      <c r="J20" s="77" t="s">
        <v>99</v>
      </c>
      <c r="K20" s="67">
        <f t="shared" si="0"/>
        <v>22500</v>
      </c>
      <c r="M20" s="4"/>
      <c r="N20" s="4"/>
    </row>
    <row r="21" spans="1:14" ht="15.75" x14ac:dyDescent="0.25">
      <c r="A21" s="101">
        <v>5</v>
      </c>
      <c r="B21" s="60" t="s">
        <v>18</v>
      </c>
      <c r="C21" s="73"/>
      <c r="D21" s="74"/>
      <c r="E21" s="17"/>
      <c r="F21" s="15" t="s">
        <v>1</v>
      </c>
      <c r="G21" s="76"/>
      <c r="H21" s="15"/>
      <c r="I21" s="15"/>
      <c r="J21" s="75"/>
      <c r="K21" s="71"/>
      <c r="M21" s="4"/>
      <c r="N21" s="4"/>
    </row>
    <row r="22" spans="1:14" ht="15.75" x14ac:dyDescent="0.25">
      <c r="A22" s="101"/>
      <c r="B22" s="66" t="s">
        <v>19</v>
      </c>
      <c r="C22" s="17" t="s">
        <v>6</v>
      </c>
      <c r="D22" s="9">
        <v>120000</v>
      </c>
      <c r="E22" s="9">
        <v>120000</v>
      </c>
      <c r="F22" s="9">
        <v>120000</v>
      </c>
      <c r="G22" s="9">
        <v>120000</v>
      </c>
      <c r="H22" s="9">
        <v>120000</v>
      </c>
      <c r="I22" s="8">
        <v>120000</v>
      </c>
      <c r="J22" s="72" t="s">
        <v>99</v>
      </c>
      <c r="K22" s="67">
        <f t="shared" si="0"/>
        <v>120000</v>
      </c>
      <c r="M22" s="4"/>
      <c r="N22" s="4"/>
    </row>
    <row r="23" spans="1:14" ht="15.75" x14ac:dyDescent="0.25">
      <c r="A23" s="101"/>
      <c r="B23" s="66" t="s">
        <v>20</v>
      </c>
      <c r="C23" s="17" t="s">
        <v>6</v>
      </c>
      <c r="D23" s="9">
        <v>110000</v>
      </c>
      <c r="E23" s="9">
        <v>110000</v>
      </c>
      <c r="F23" s="9">
        <v>110000</v>
      </c>
      <c r="G23" s="9">
        <v>110000</v>
      </c>
      <c r="H23" s="9">
        <v>115000</v>
      </c>
      <c r="I23" s="9">
        <v>110000</v>
      </c>
      <c r="J23" s="72">
        <v>110000</v>
      </c>
      <c r="K23" s="67">
        <f t="shared" si="0"/>
        <v>110714.28571428571</v>
      </c>
      <c r="M23" s="4"/>
      <c r="N23" s="4"/>
    </row>
    <row r="24" spans="1:14" ht="15.75" x14ac:dyDescent="0.25">
      <c r="A24" s="101"/>
      <c r="B24" s="66" t="s">
        <v>21</v>
      </c>
      <c r="C24" s="17" t="s">
        <v>6</v>
      </c>
      <c r="D24" s="9">
        <v>90000</v>
      </c>
      <c r="E24" s="9">
        <v>90000</v>
      </c>
      <c r="F24" s="9">
        <v>100000</v>
      </c>
      <c r="G24" s="9">
        <v>105000</v>
      </c>
      <c r="H24" s="9">
        <v>110000</v>
      </c>
      <c r="I24" s="8">
        <v>100000</v>
      </c>
      <c r="J24" s="72">
        <v>105000</v>
      </c>
      <c r="K24" s="67">
        <f t="shared" si="0"/>
        <v>100000</v>
      </c>
      <c r="M24" s="4"/>
      <c r="N24" s="4"/>
    </row>
    <row r="25" spans="1:14" ht="15.75" x14ac:dyDescent="0.25">
      <c r="A25" s="101"/>
      <c r="B25" s="66" t="s">
        <v>22</v>
      </c>
      <c r="C25" s="17" t="s">
        <v>6</v>
      </c>
      <c r="D25" s="9">
        <v>34000</v>
      </c>
      <c r="E25" s="9">
        <v>31000</v>
      </c>
      <c r="F25" s="9">
        <v>33000</v>
      </c>
      <c r="G25" s="9">
        <v>31000</v>
      </c>
      <c r="H25" s="72">
        <v>33000</v>
      </c>
      <c r="I25" s="9">
        <v>32000</v>
      </c>
      <c r="J25" s="72">
        <v>33000</v>
      </c>
      <c r="K25" s="67">
        <f t="shared" si="0"/>
        <v>32428.571428571428</v>
      </c>
      <c r="M25" s="4"/>
      <c r="N25" s="4"/>
    </row>
    <row r="26" spans="1:14" ht="15.75" x14ac:dyDescent="0.25">
      <c r="A26" s="101">
        <v>6</v>
      </c>
      <c r="B26" s="60" t="s">
        <v>23</v>
      </c>
      <c r="C26" s="73"/>
      <c r="D26" s="74"/>
      <c r="E26" s="17"/>
      <c r="F26" s="76"/>
      <c r="G26" s="15"/>
      <c r="H26" s="75"/>
      <c r="I26" s="15"/>
      <c r="J26" s="75"/>
      <c r="K26" s="71"/>
      <c r="M26" s="4"/>
      <c r="N26" s="4"/>
    </row>
    <row r="27" spans="1:14" ht="15.75" x14ac:dyDescent="0.25">
      <c r="A27" s="101"/>
      <c r="B27" s="66" t="s">
        <v>24</v>
      </c>
      <c r="C27" s="17" t="s">
        <v>6</v>
      </c>
      <c r="D27" s="9">
        <v>34000</v>
      </c>
      <c r="E27" s="9">
        <v>35000</v>
      </c>
      <c r="F27" s="9" t="s">
        <v>99</v>
      </c>
      <c r="G27" s="9">
        <v>40000</v>
      </c>
      <c r="H27" s="9">
        <v>28000</v>
      </c>
      <c r="I27" s="9" t="s">
        <v>99</v>
      </c>
      <c r="J27" s="72">
        <v>30000</v>
      </c>
      <c r="K27" s="67">
        <f t="shared" si="0"/>
        <v>33400</v>
      </c>
      <c r="L27" t="s">
        <v>100</v>
      </c>
      <c r="M27" s="4"/>
      <c r="N27" s="4"/>
    </row>
    <row r="28" spans="1:14" ht="15.75" x14ac:dyDescent="0.25">
      <c r="A28" s="101"/>
      <c r="B28" s="66" t="s">
        <v>25</v>
      </c>
      <c r="C28" s="17" t="s">
        <v>6</v>
      </c>
      <c r="D28" s="9">
        <v>36000</v>
      </c>
      <c r="E28" s="9">
        <v>28000</v>
      </c>
      <c r="F28" s="9">
        <v>35000</v>
      </c>
      <c r="G28" s="8">
        <v>30000</v>
      </c>
      <c r="H28" s="9">
        <v>20000</v>
      </c>
      <c r="I28" s="9">
        <v>32000</v>
      </c>
      <c r="J28" s="78">
        <v>30000</v>
      </c>
      <c r="K28" s="67">
        <f t="shared" si="0"/>
        <v>30142.857142857141</v>
      </c>
      <c r="M28" s="4"/>
      <c r="N28" s="4"/>
    </row>
    <row r="29" spans="1:14" ht="15.75" x14ac:dyDescent="0.25">
      <c r="A29" s="101"/>
      <c r="B29" s="66" t="s">
        <v>26</v>
      </c>
      <c r="C29" s="17" t="s">
        <v>6</v>
      </c>
      <c r="D29" s="9">
        <v>60000</v>
      </c>
      <c r="E29" s="9">
        <v>60000</v>
      </c>
      <c r="F29" s="16">
        <v>60000</v>
      </c>
      <c r="G29" s="8">
        <v>70000</v>
      </c>
      <c r="H29" s="9">
        <v>63000</v>
      </c>
      <c r="I29" s="9">
        <v>60000</v>
      </c>
      <c r="J29" s="79">
        <v>60000</v>
      </c>
      <c r="K29" s="67">
        <f t="shared" si="0"/>
        <v>61857.142857142855</v>
      </c>
      <c r="M29" s="4"/>
      <c r="N29" s="4"/>
    </row>
    <row r="30" spans="1:14" ht="15.75" x14ac:dyDescent="0.25">
      <c r="A30" s="101"/>
      <c r="B30" s="66" t="s">
        <v>27</v>
      </c>
      <c r="C30" s="17" t="s">
        <v>6</v>
      </c>
      <c r="D30" s="9">
        <v>25000</v>
      </c>
      <c r="E30" s="9" t="s">
        <v>99</v>
      </c>
      <c r="F30" s="10" t="s">
        <v>99</v>
      </c>
      <c r="G30" s="8">
        <v>25000</v>
      </c>
      <c r="H30" s="9">
        <v>23000</v>
      </c>
      <c r="I30" s="9" t="s">
        <v>99</v>
      </c>
      <c r="J30" s="79">
        <v>26000</v>
      </c>
      <c r="K30" s="67">
        <f t="shared" si="0"/>
        <v>24750</v>
      </c>
      <c r="M30" s="4"/>
      <c r="N30" s="4"/>
    </row>
    <row r="31" spans="1:14" ht="15.75" x14ac:dyDescent="0.25">
      <c r="A31" s="101"/>
      <c r="B31" s="66" t="s">
        <v>28</v>
      </c>
      <c r="C31" s="17" t="s">
        <v>6</v>
      </c>
      <c r="D31" s="9">
        <v>35000</v>
      </c>
      <c r="E31" s="9">
        <v>36000</v>
      </c>
      <c r="F31" s="9">
        <v>40000</v>
      </c>
      <c r="G31" s="9">
        <v>40000</v>
      </c>
      <c r="H31" s="9">
        <v>28000</v>
      </c>
      <c r="I31" s="9">
        <v>40000</v>
      </c>
      <c r="J31" s="72">
        <v>35000</v>
      </c>
      <c r="K31" s="67">
        <f t="shared" si="0"/>
        <v>36285.714285714283</v>
      </c>
      <c r="M31" s="4"/>
      <c r="N31" s="4"/>
    </row>
    <row r="32" spans="1:14" ht="15.75" x14ac:dyDescent="0.25">
      <c r="A32" s="101"/>
      <c r="B32" s="66" t="s">
        <v>29</v>
      </c>
      <c r="C32" s="17" t="s">
        <v>6</v>
      </c>
      <c r="D32" s="9" t="s">
        <v>99</v>
      </c>
      <c r="E32" s="9">
        <v>100000</v>
      </c>
      <c r="F32" s="9">
        <v>100000</v>
      </c>
      <c r="G32" s="9" t="s">
        <v>99</v>
      </c>
      <c r="H32" s="9">
        <v>80000</v>
      </c>
      <c r="I32" s="9" t="s">
        <v>99</v>
      </c>
      <c r="J32" s="79">
        <v>70000</v>
      </c>
      <c r="K32" s="67">
        <f t="shared" si="0"/>
        <v>87500</v>
      </c>
      <c r="M32" s="4"/>
      <c r="N32" s="4"/>
    </row>
    <row r="33" spans="1:14" ht="15.75" x14ac:dyDescent="0.25">
      <c r="A33" s="101">
        <v>7</v>
      </c>
      <c r="B33" s="60" t="s">
        <v>30</v>
      </c>
      <c r="C33" s="73"/>
      <c r="D33" s="74"/>
      <c r="E33" s="17"/>
      <c r="F33" s="76"/>
      <c r="G33" s="76"/>
      <c r="H33" s="15"/>
      <c r="I33" s="15"/>
      <c r="J33" s="75"/>
      <c r="K33" s="71"/>
      <c r="M33" s="4"/>
      <c r="N33" s="4"/>
    </row>
    <row r="34" spans="1:14" ht="15.75" x14ac:dyDescent="0.25">
      <c r="A34" s="101"/>
      <c r="B34" s="66" t="s">
        <v>31</v>
      </c>
      <c r="C34" s="17" t="s">
        <v>6</v>
      </c>
      <c r="D34" s="9">
        <v>27000</v>
      </c>
      <c r="E34" s="9">
        <v>26000</v>
      </c>
      <c r="F34" s="9">
        <v>26000</v>
      </c>
      <c r="G34" s="9">
        <v>26000</v>
      </c>
      <c r="H34" s="9">
        <v>26000</v>
      </c>
      <c r="I34" s="9">
        <v>26000</v>
      </c>
      <c r="J34" s="72">
        <v>27000</v>
      </c>
      <c r="K34" s="67">
        <f t="shared" si="0"/>
        <v>26285.714285714286</v>
      </c>
      <c r="M34" s="4"/>
      <c r="N34" s="4"/>
    </row>
    <row r="35" spans="1:14" ht="15.75" x14ac:dyDescent="0.25">
      <c r="A35" s="101"/>
      <c r="B35" s="66" t="s">
        <v>32</v>
      </c>
      <c r="C35" s="17" t="s">
        <v>33</v>
      </c>
      <c r="D35" s="9">
        <v>3000</v>
      </c>
      <c r="E35" s="9">
        <v>2500</v>
      </c>
      <c r="F35" s="9">
        <v>2500</v>
      </c>
      <c r="G35" s="9">
        <v>2800</v>
      </c>
      <c r="H35" s="9">
        <v>2500</v>
      </c>
      <c r="I35" s="9">
        <v>3000</v>
      </c>
      <c r="J35" s="72">
        <v>3000</v>
      </c>
      <c r="K35" s="67">
        <f t="shared" si="0"/>
        <v>2757.1428571428573</v>
      </c>
      <c r="M35" s="4"/>
      <c r="N35" s="4"/>
    </row>
    <row r="36" spans="1:14" ht="15.75" x14ac:dyDescent="0.25">
      <c r="A36" s="59">
        <v>8</v>
      </c>
      <c r="B36" s="73" t="s">
        <v>117</v>
      </c>
      <c r="C36" s="80"/>
      <c r="D36" s="9"/>
      <c r="E36" s="9"/>
      <c r="F36" s="9"/>
      <c r="G36" s="9"/>
      <c r="H36" s="9"/>
      <c r="I36" s="9"/>
      <c r="J36" s="72"/>
      <c r="K36" s="81"/>
      <c r="M36" s="4"/>
      <c r="N36" s="4"/>
    </row>
    <row r="37" spans="1:14" ht="15.75" x14ac:dyDescent="0.25">
      <c r="A37" s="59"/>
      <c r="B37" s="66" t="s">
        <v>118</v>
      </c>
      <c r="C37" s="17" t="s">
        <v>6</v>
      </c>
      <c r="D37" s="9">
        <v>10000</v>
      </c>
      <c r="E37" s="9">
        <v>1250</v>
      </c>
      <c r="F37" s="9">
        <v>9000</v>
      </c>
      <c r="G37" s="9">
        <v>9000</v>
      </c>
      <c r="H37" s="9">
        <v>16000</v>
      </c>
      <c r="I37" s="9">
        <v>9000</v>
      </c>
      <c r="J37" s="72">
        <v>3000</v>
      </c>
      <c r="K37" s="67">
        <f t="shared" si="0"/>
        <v>8178.5714285714284</v>
      </c>
      <c r="M37" s="4"/>
      <c r="N37" s="4"/>
    </row>
    <row r="38" spans="1:14" ht="15.75" x14ac:dyDescent="0.25">
      <c r="A38" s="59"/>
      <c r="B38" s="66" t="s">
        <v>119</v>
      </c>
      <c r="C38" s="17" t="s">
        <v>6</v>
      </c>
      <c r="D38" s="9" t="s">
        <v>99</v>
      </c>
      <c r="E38" s="9">
        <v>10000</v>
      </c>
      <c r="F38" s="9">
        <v>12000</v>
      </c>
      <c r="G38" s="9">
        <v>14000</v>
      </c>
      <c r="H38" s="9" t="s">
        <v>99</v>
      </c>
      <c r="I38" s="9">
        <v>12000</v>
      </c>
      <c r="J38" s="72">
        <v>12000</v>
      </c>
      <c r="K38" s="67">
        <f>AVERAGE(D38:J38)</f>
        <v>12000</v>
      </c>
      <c r="M38" s="4"/>
      <c r="N38" s="4"/>
    </row>
    <row r="39" spans="1:14" ht="15.75" x14ac:dyDescent="0.25">
      <c r="A39" s="59">
        <v>9</v>
      </c>
      <c r="B39" s="82" t="s">
        <v>120</v>
      </c>
      <c r="C39" s="83"/>
      <c r="D39" s="9"/>
      <c r="E39" s="9"/>
      <c r="F39" s="9"/>
      <c r="G39" s="9"/>
      <c r="H39" s="9"/>
      <c r="I39" s="9"/>
      <c r="J39" s="72"/>
      <c r="K39" s="81"/>
      <c r="M39" s="4"/>
      <c r="N39" s="4"/>
    </row>
    <row r="40" spans="1:14" ht="15.75" x14ac:dyDescent="0.25">
      <c r="A40" s="59"/>
      <c r="B40" s="66" t="s">
        <v>121</v>
      </c>
      <c r="C40" s="17" t="s">
        <v>6</v>
      </c>
      <c r="D40" s="9" t="s">
        <v>99</v>
      </c>
      <c r="E40" s="9" t="s">
        <v>99</v>
      </c>
      <c r="F40" s="9" t="s">
        <v>99</v>
      </c>
      <c r="G40" s="9">
        <v>16000</v>
      </c>
      <c r="H40" s="9">
        <v>14000</v>
      </c>
      <c r="I40" s="9" t="s">
        <v>99</v>
      </c>
      <c r="J40" s="72">
        <v>15000</v>
      </c>
      <c r="K40" s="67">
        <f t="shared" si="0"/>
        <v>15000</v>
      </c>
      <c r="M40" s="4"/>
      <c r="N40" s="4"/>
    </row>
    <row r="41" spans="1:14" ht="15.75" x14ac:dyDescent="0.25">
      <c r="A41" s="59"/>
      <c r="B41" s="66" t="s">
        <v>122</v>
      </c>
      <c r="C41" s="17" t="s">
        <v>6</v>
      </c>
      <c r="D41" s="9" t="s">
        <v>99</v>
      </c>
      <c r="E41" s="9" t="s">
        <v>99</v>
      </c>
      <c r="F41" s="9">
        <v>6000</v>
      </c>
      <c r="G41" s="9" t="s">
        <v>99</v>
      </c>
      <c r="H41" s="9" t="s">
        <v>99</v>
      </c>
      <c r="I41" s="9">
        <v>6000</v>
      </c>
      <c r="J41" s="72" t="s">
        <v>99</v>
      </c>
      <c r="K41" s="67">
        <f t="shared" si="0"/>
        <v>6000</v>
      </c>
      <c r="M41" s="4"/>
      <c r="N41" s="4"/>
    </row>
    <row r="42" spans="1:14" ht="15.75" x14ac:dyDescent="0.25">
      <c r="A42" s="59"/>
      <c r="B42" s="66" t="s">
        <v>123</v>
      </c>
      <c r="C42" s="17" t="s">
        <v>6</v>
      </c>
      <c r="D42" s="9" t="s">
        <v>99</v>
      </c>
      <c r="E42" s="9">
        <v>2500</v>
      </c>
      <c r="F42" s="9" t="s">
        <v>99</v>
      </c>
      <c r="G42" s="9" t="s">
        <v>99</v>
      </c>
      <c r="H42" s="9" t="s">
        <v>99</v>
      </c>
      <c r="I42" s="9" t="s">
        <v>99</v>
      </c>
      <c r="J42" s="72" t="s">
        <v>99</v>
      </c>
      <c r="K42" s="67">
        <f t="shared" si="0"/>
        <v>2500</v>
      </c>
      <c r="M42" s="4"/>
      <c r="N42" s="4"/>
    </row>
    <row r="43" spans="1:14" ht="15.75" x14ac:dyDescent="0.25">
      <c r="A43" s="101">
        <v>10</v>
      </c>
      <c r="B43" s="60" t="s">
        <v>34</v>
      </c>
      <c r="C43" s="73"/>
      <c r="D43" s="74"/>
      <c r="E43" s="17"/>
      <c r="F43" s="76"/>
      <c r="G43" s="15"/>
      <c r="H43" s="15"/>
      <c r="I43" s="15"/>
      <c r="J43" s="84"/>
      <c r="K43" s="71"/>
      <c r="M43" s="4"/>
      <c r="N43" s="4"/>
    </row>
    <row r="44" spans="1:14" ht="15.75" x14ac:dyDescent="0.25">
      <c r="A44" s="101"/>
      <c r="B44" s="66" t="s">
        <v>35</v>
      </c>
      <c r="C44" s="17" t="s">
        <v>36</v>
      </c>
      <c r="D44" s="9">
        <v>12000</v>
      </c>
      <c r="E44" s="9">
        <v>12000</v>
      </c>
      <c r="F44" s="9">
        <v>12500</v>
      </c>
      <c r="G44" s="9">
        <v>12500</v>
      </c>
      <c r="H44" s="10" t="s">
        <v>99</v>
      </c>
      <c r="I44" s="16">
        <v>12500</v>
      </c>
      <c r="J44" s="72">
        <v>12500</v>
      </c>
      <c r="K44" s="67">
        <f t="shared" si="0"/>
        <v>12333.333333333334</v>
      </c>
      <c r="M44" s="4"/>
      <c r="N44" s="4"/>
    </row>
    <row r="45" spans="1:14" ht="15.75" x14ac:dyDescent="0.25">
      <c r="A45" s="101"/>
      <c r="B45" s="66" t="s">
        <v>124</v>
      </c>
      <c r="C45" s="17" t="s">
        <v>36</v>
      </c>
      <c r="D45" s="9">
        <v>12000</v>
      </c>
      <c r="E45" s="9">
        <v>13000</v>
      </c>
      <c r="F45" s="16">
        <v>12500</v>
      </c>
      <c r="G45" s="9">
        <v>12500</v>
      </c>
      <c r="H45" s="10" t="s">
        <v>99</v>
      </c>
      <c r="I45" s="16">
        <v>12500</v>
      </c>
      <c r="J45" s="79">
        <v>12500</v>
      </c>
      <c r="K45" s="67">
        <f>AVERAGE(D45:J45)</f>
        <v>12500</v>
      </c>
      <c r="M45" s="4"/>
      <c r="N45" s="4"/>
    </row>
    <row r="46" spans="1:14" ht="15.75" x14ac:dyDescent="0.25">
      <c r="A46" s="101">
        <v>11</v>
      </c>
      <c r="B46" s="60" t="s">
        <v>38</v>
      </c>
      <c r="C46" s="73"/>
      <c r="D46" s="74"/>
      <c r="E46" s="17"/>
      <c r="F46" s="15"/>
      <c r="G46" s="76"/>
      <c r="H46" s="15"/>
      <c r="I46" s="15"/>
      <c r="J46" s="75"/>
      <c r="K46" s="71"/>
      <c r="M46" s="4"/>
      <c r="N46" s="4"/>
    </row>
    <row r="47" spans="1:14" ht="15.75" x14ac:dyDescent="0.25">
      <c r="A47" s="101"/>
      <c r="B47" s="66" t="s">
        <v>39</v>
      </c>
      <c r="C47" s="17" t="s">
        <v>40</v>
      </c>
      <c r="D47" s="9" t="s">
        <v>99</v>
      </c>
      <c r="E47" s="9" t="s">
        <v>99</v>
      </c>
      <c r="F47" s="10" t="s">
        <v>99</v>
      </c>
      <c r="G47" s="8" t="s">
        <v>99</v>
      </c>
      <c r="H47" s="9">
        <v>17500</v>
      </c>
      <c r="I47" s="16" t="s">
        <v>99</v>
      </c>
      <c r="J47" s="79" t="s">
        <v>99</v>
      </c>
      <c r="K47" s="67">
        <f t="shared" si="0"/>
        <v>17500</v>
      </c>
      <c r="M47" s="4"/>
      <c r="N47" s="4"/>
    </row>
    <row r="48" spans="1:14" ht="15.75" x14ac:dyDescent="0.25">
      <c r="A48" s="101"/>
      <c r="B48" s="66" t="s">
        <v>41</v>
      </c>
      <c r="C48" s="17" t="s">
        <v>42</v>
      </c>
      <c r="D48" s="9" t="s">
        <v>99</v>
      </c>
      <c r="E48" s="9" t="s">
        <v>99</v>
      </c>
      <c r="F48" s="10" t="s">
        <v>99</v>
      </c>
      <c r="G48" s="8" t="s">
        <v>99</v>
      </c>
      <c r="H48" s="9">
        <v>2000</v>
      </c>
      <c r="I48" s="16" t="s">
        <v>99</v>
      </c>
      <c r="J48" s="79" t="s">
        <v>99</v>
      </c>
      <c r="K48" s="67">
        <f t="shared" si="0"/>
        <v>2000</v>
      </c>
      <c r="M48" s="4"/>
      <c r="N48" s="4"/>
    </row>
    <row r="49" spans="1:14" ht="15.75" x14ac:dyDescent="0.25">
      <c r="A49" s="59">
        <v>12</v>
      </c>
      <c r="B49" s="85" t="s">
        <v>43</v>
      </c>
      <c r="C49" s="80"/>
      <c r="D49" s="19"/>
      <c r="E49" s="10"/>
      <c r="F49" s="10"/>
      <c r="G49" s="22"/>
      <c r="H49" s="10"/>
      <c r="I49" s="10"/>
      <c r="J49" s="77"/>
      <c r="K49" s="71"/>
      <c r="M49" s="4"/>
      <c r="N49" s="4"/>
    </row>
    <row r="50" spans="1:14" ht="15.75" x14ac:dyDescent="0.25">
      <c r="A50" s="59"/>
      <c r="B50" s="66" t="s">
        <v>44</v>
      </c>
      <c r="C50" s="86" t="s">
        <v>6</v>
      </c>
      <c r="D50" s="9" t="s">
        <v>99</v>
      </c>
      <c r="E50" s="9">
        <v>8000</v>
      </c>
      <c r="F50" s="9">
        <v>10000</v>
      </c>
      <c r="G50" s="9">
        <v>10000</v>
      </c>
      <c r="H50" s="9">
        <v>15000</v>
      </c>
      <c r="I50" s="8">
        <v>15000</v>
      </c>
      <c r="J50" s="72">
        <v>15000</v>
      </c>
      <c r="K50" s="67">
        <f t="shared" si="0"/>
        <v>12166.666666666666</v>
      </c>
      <c r="M50" s="4" t="s">
        <v>101</v>
      </c>
      <c r="N50" s="4"/>
    </row>
    <row r="51" spans="1:14" ht="15.75" x14ac:dyDescent="0.25">
      <c r="A51" s="59"/>
      <c r="B51" s="66" t="s">
        <v>45</v>
      </c>
      <c r="C51" s="86" t="s">
        <v>6</v>
      </c>
      <c r="D51" s="9">
        <v>10000</v>
      </c>
      <c r="E51" s="9">
        <v>10000</v>
      </c>
      <c r="F51" s="8">
        <v>9000</v>
      </c>
      <c r="G51" s="9">
        <v>10000</v>
      </c>
      <c r="H51" s="9">
        <v>12000</v>
      </c>
      <c r="I51" s="9">
        <v>13000</v>
      </c>
      <c r="J51" s="72">
        <v>10000</v>
      </c>
      <c r="K51" s="67">
        <f t="shared" si="0"/>
        <v>10571.428571428571</v>
      </c>
      <c r="M51" s="4"/>
      <c r="N51" s="23"/>
    </row>
    <row r="52" spans="1:14" ht="15.75" x14ac:dyDescent="0.25">
      <c r="A52" s="101">
        <v>13</v>
      </c>
      <c r="B52" s="60" t="s">
        <v>46</v>
      </c>
      <c r="C52" s="73"/>
      <c r="D52" s="74"/>
      <c r="E52" s="17"/>
      <c r="F52" s="76"/>
      <c r="G52" s="76"/>
      <c r="H52" s="15"/>
      <c r="I52" s="15"/>
      <c r="J52" s="84"/>
      <c r="K52" s="71"/>
      <c r="M52" s="4"/>
      <c r="N52" s="4"/>
    </row>
    <row r="53" spans="1:14" ht="15.75" x14ac:dyDescent="0.25">
      <c r="A53" s="101"/>
      <c r="B53" s="66" t="s">
        <v>47</v>
      </c>
      <c r="C53" s="17" t="s">
        <v>125</v>
      </c>
      <c r="D53" s="9">
        <v>3000</v>
      </c>
      <c r="E53" s="9">
        <v>4000</v>
      </c>
      <c r="F53" s="9">
        <v>5000</v>
      </c>
      <c r="G53" s="9">
        <v>5000</v>
      </c>
      <c r="H53" s="9">
        <v>2500</v>
      </c>
      <c r="I53" s="16">
        <v>5000</v>
      </c>
      <c r="J53" s="72">
        <v>2500</v>
      </c>
      <c r="K53" s="67">
        <f t="shared" si="0"/>
        <v>3857.1428571428573</v>
      </c>
      <c r="M53" s="4"/>
      <c r="N53" s="4"/>
    </row>
    <row r="54" spans="1:14" ht="15.75" x14ac:dyDescent="0.25">
      <c r="A54" s="101">
        <v>14</v>
      </c>
      <c r="B54" s="60" t="s">
        <v>49</v>
      </c>
      <c r="C54" s="80"/>
      <c r="D54" s="62"/>
      <c r="E54" s="17"/>
      <c r="F54" s="20"/>
      <c r="G54" s="20"/>
      <c r="H54" s="17"/>
      <c r="I54" s="17"/>
      <c r="J54" s="87"/>
      <c r="K54" s="71"/>
      <c r="M54" s="4"/>
      <c r="N54" s="4"/>
    </row>
    <row r="55" spans="1:14" ht="15.75" x14ac:dyDescent="0.25">
      <c r="A55" s="101"/>
      <c r="B55" s="88" t="s">
        <v>50</v>
      </c>
      <c r="C55" s="86" t="s">
        <v>6</v>
      </c>
      <c r="D55" s="9">
        <v>10000</v>
      </c>
      <c r="E55" s="9">
        <v>10500</v>
      </c>
      <c r="F55" s="9">
        <v>10000</v>
      </c>
      <c r="G55" s="9">
        <v>11000</v>
      </c>
      <c r="H55" s="9">
        <v>12000</v>
      </c>
      <c r="I55" s="9">
        <v>10000</v>
      </c>
      <c r="J55" s="72">
        <v>10000</v>
      </c>
      <c r="K55" s="67">
        <f t="shared" si="0"/>
        <v>10500</v>
      </c>
      <c r="M55" s="4"/>
      <c r="N55" s="4"/>
    </row>
    <row r="56" spans="1:14" ht="15.75" x14ac:dyDescent="0.25">
      <c r="A56" s="101">
        <v>15</v>
      </c>
      <c r="B56" s="60" t="s">
        <v>51</v>
      </c>
      <c r="C56" s="73"/>
      <c r="D56" s="74"/>
      <c r="E56" s="17"/>
      <c r="F56" s="76"/>
      <c r="G56" s="15"/>
      <c r="H56" s="15"/>
      <c r="I56" s="15"/>
      <c r="J56" s="84"/>
      <c r="K56" s="71"/>
      <c r="M56" s="4"/>
      <c r="N56" s="4"/>
    </row>
    <row r="57" spans="1:14" ht="15.75" x14ac:dyDescent="0.25">
      <c r="A57" s="101"/>
      <c r="B57" s="66" t="s">
        <v>52</v>
      </c>
      <c r="C57" s="17" t="s">
        <v>6</v>
      </c>
      <c r="D57" s="9">
        <v>16000</v>
      </c>
      <c r="E57" s="9">
        <v>13000</v>
      </c>
      <c r="F57" s="9">
        <v>14000</v>
      </c>
      <c r="G57" s="9">
        <v>14000</v>
      </c>
      <c r="H57" s="9">
        <v>11500</v>
      </c>
      <c r="I57" s="9">
        <v>17000</v>
      </c>
      <c r="J57" s="72" t="s">
        <v>99</v>
      </c>
      <c r="K57" s="67">
        <f t="shared" si="0"/>
        <v>14250</v>
      </c>
      <c r="M57" s="4"/>
      <c r="N57" s="4"/>
    </row>
    <row r="58" spans="1:14" ht="15.75" x14ac:dyDescent="0.25">
      <c r="A58" s="101"/>
      <c r="B58" s="66" t="s">
        <v>53</v>
      </c>
      <c r="C58" s="17" t="s">
        <v>6</v>
      </c>
      <c r="D58" s="9" t="s">
        <v>99</v>
      </c>
      <c r="E58" s="9" t="s">
        <v>99</v>
      </c>
      <c r="F58" s="16">
        <v>15000</v>
      </c>
      <c r="G58" s="22" t="s">
        <v>99</v>
      </c>
      <c r="H58" s="9">
        <v>13000</v>
      </c>
      <c r="I58" s="8">
        <v>15000</v>
      </c>
      <c r="J58" s="72">
        <v>14000</v>
      </c>
      <c r="K58" s="67">
        <f t="shared" si="0"/>
        <v>14250</v>
      </c>
      <c r="M58" s="4"/>
      <c r="N58" s="4"/>
    </row>
    <row r="59" spans="1:14" ht="15.75" x14ac:dyDescent="0.25">
      <c r="A59" s="101"/>
      <c r="B59" s="66" t="s">
        <v>54</v>
      </c>
      <c r="C59" s="17" t="s">
        <v>6</v>
      </c>
      <c r="D59" s="9">
        <v>22000</v>
      </c>
      <c r="E59" s="9">
        <v>23000</v>
      </c>
      <c r="F59" s="9">
        <v>23000</v>
      </c>
      <c r="G59" s="9">
        <v>23000</v>
      </c>
      <c r="H59" s="9">
        <v>20000</v>
      </c>
      <c r="I59" s="9">
        <v>23000</v>
      </c>
      <c r="J59" s="72">
        <v>24000</v>
      </c>
      <c r="K59" s="67">
        <f t="shared" si="0"/>
        <v>22571.428571428572</v>
      </c>
      <c r="M59" s="4"/>
      <c r="N59" s="4"/>
    </row>
    <row r="60" spans="1:14" ht="15.75" x14ac:dyDescent="0.25">
      <c r="A60" s="101"/>
      <c r="B60" s="66" t="s">
        <v>55</v>
      </c>
      <c r="C60" s="17" t="s">
        <v>6</v>
      </c>
      <c r="D60" s="9">
        <v>30000</v>
      </c>
      <c r="E60" s="9">
        <v>30000</v>
      </c>
      <c r="F60" s="9">
        <v>28000</v>
      </c>
      <c r="G60" s="9">
        <v>30000</v>
      </c>
      <c r="H60" s="9">
        <v>27000</v>
      </c>
      <c r="I60" s="9">
        <v>28000</v>
      </c>
      <c r="J60" s="72">
        <v>28000</v>
      </c>
      <c r="K60" s="67">
        <f t="shared" si="0"/>
        <v>28714.285714285714</v>
      </c>
      <c r="M60" s="4"/>
      <c r="N60" s="4"/>
    </row>
    <row r="61" spans="1:14" ht="15.75" x14ac:dyDescent="0.25">
      <c r="A61" s="17">
        <v>16</v>
      </c>
      <c r="B61" s="60" t="s">
        <v>56</v>
      </c>
      <c r="C61" s="80"/>
      <c r="D61" s="89"/>
      <c r="E61" s="10"/>
      <c r="F61" s="22"/>
      <c r="G61" s="10"/>
      <c r="H61" s="10"/>
      <c r="I61" s="10"/>
      <c r="J61" s="90"/>
      <c r="K61" s="71"/>
      <c r="M61" s="4"/>
      <c r="N61" s="4"/>
    </row>
    <row r="62" spans="1:14" ht="15.75" x14ac:dyDescent="0.25">
      <c r="A62" s="17"/>
      <c r="B62" s="66" t="s">
        <v>57</v>
      </c>
      <c r="C62" s="86" t="s">
        <v>58</v>
      </c>
      <c r="D62" s="9">
        <v>3000</v>
      </c>
      <c r="E62" s="9">
        <v>3200</v>
      </c>
      <c r="F62" s="9">
        <v>3000</v>
      </c>
      <c r="G62" s="9">
        <v>3000</v>
      </c>
      <c r="H62" s="10" t="s">
        <v>99</v>
      </c>
      <c r="I62" s="16">
        <v>3000</v>
      </c>
      <c r="J62" s="72">
        <v>3500</v>
      </c>
      <c r="K62" s="67">
        <f t="shared" si="0"/>
        <v>3116.6666666666665</v>
      </c>
      <c r="M62" s="4"/>
      <c r="N62" s="4"/>
    </row>
    <row r="63" spans="1:14" ht="15.75" x14ac:dyDescent="0.25">
      <c r="A63" s="101">
        <v>17</v>
      </c>
      <c r="B63" s="60" t="s">
        <v>59</v>
      </c>
      <c r="C63" s="73"/>
      <c r="D63" s="74"/>
      <c r="E63" s="17"/>
      <c r="F63" s="76"/>
      <c r="G63" s="76"/>
      <c r="H63" s="15"/>
      <c r="I63" s="15"/>
      <c r="J63" s="84"/>
      <c r="K63" s="71"/>
      <c r="M63" s="4"/>
      <c r="N63" s="4"/>
    </row>
    <row r="64" spans="1:14" ht="15.75" x14ac:dyDescent="0.25">
      <c r="A64" s="101"/>
      <c r="B64" s="66" t="s">
        <v>60</v>
      </c>
      <c r="C64" s="17" t="s">
        <v>6</v>
      </c>
      <c r="D64" s="9">
        <v>70000</v>
      </c>
      <c r="E64" s="9">
        <v>65000</v>
      </c>
      <c r="F64" s="9">
        <v>62000</v>
      </c>
      <c r="G64" s="9">
        <v>60000</v>
      </c>
      <c r="H64" s="9">
        <v>65000</v>
      </c>
      <c r="I64" s="9">
        <v>70000</v>
      </c>
      <c r="J64" s="72">
        <v>65000</v>
      </c>
      <c r="K64" s="67">
        <f t="shared" si="0"/>
        <v>65285.714285714283</v>
      </c>
      <c r="M64" s="4"/>
      <c r="N64" s="4"/>
    </row>
    <row r="65" spans="1:14" ht="15.75" x14ac:dyDescent="0.25">
      <c r="A65" s="101"/>
      <c r="B65" s="66" t="s">
        <v>61</v>
      </c>
      <c r="C65" s="17" t="s">
        <v>6</v>
      </c>
      <c r="D65" s="9">
        <v>70000</v>
      </c>
      <c r="E65" s="9">
        <v>48000</v>
      </c>
      <c r="F65" s="9">
        <v>48000</v>
      </c>
      <c r="G65" s="9">
        <v>50000</v>
      </c>
      <c r="H65" s="9">
        <v>55000</v>
      </c>
      <c r="I65" s="8">
        <v>57000</v>
      </c>
      <c r="J65" s="72">
        <v>65000</v>
      </c>
      <c r="K65" s="67">
        <f t="shared" si="0"/>
        <v>56142.857142857145</v>
      </c>
      <c r="M65" s="4"/>
      <c r="N65" s="4"/>
    </row>
    <row r="66" spans="1:14" ht="15.75" x14ac:dyDescent="0.25">
      <c r="A66" s="101"/>
      <c r="B66" s="66" t="s">
        <v>62</v>
      </c>
      <c r="C66" s="17" t="s">
        <v>6</v>
      </c>
      <c r="D66" s="9">
        <v>34000</v>
      </c>
      <c r="E66" s="9">
        <v>30000</v>
      </c>
      <c r="F66" s="9">
        <v>34000</v>
      </c>
      <c r="G66" s="9">
        <v>30000</v>
      </c>
      <c r="H66" s="9">
        <v>35000</v>
      </c>
      <c r="I66" s="9">
        <v>30000</v>
      </c>
      <c r="J66" s="72">
        <v>36000</v>
      </c>
      <c r="K66" s="67">
        <f t="shared" si="0"/>
        <v>32714.285714285714</v>
      </c>
      <c r="M66" s="4"/>
      <c r="N66" s="4"/>
    </row>
    <row r="67" spans="1:14" ht="15.75" x14ac:dyDescent="0.25">
      <c r="A67" s="17">
        <v>18</v>
      </c>
      <c r="B67" s="60" t="s">
        <v>63</v>
      </c>
      <c r="C67" s="80"/>
      <c r="D67" s="24"/>
      <c r="E67" s="10"/>
      <c r="F67" s="22"/>
      <c r="G67" s="10"/>
      <c r="H67" s="10" t="s">
        <v>1</v>
      </c>
      <c r="I67" s="10"/>
      <c r="J67" s="77"/>
      <c r="K67" s="71"/>
      <c r="M67" s="4"/>
      <c r="N67" s="4"/>
    </row>
    <row r="68" spans="1:14" ht="15.75" x14ac:dyDescent="0.25">
      <c r="A68" s="17"/>
      <c r="B68" s="66" t="s">
        <v>64</v>
      </c>
      <c r="C68" s="17" t="s">
        <v>65</v>
      </c>
      <c r="D68" s="9">
        <v>20000</v>
      </c>
      <c r="E68" s="9">
        <v>18000</v>
      </c>
      <c r="F68" s="9">
        <v>18000</v>
      </c>
      <c r="G68" s="9">
        <v>18000</v>
      </c>
      <c r="H68" s="10" t="s">
        <v>99</v>
      </c>
      <c r="I68" s="9">
        <v>18000</v>
      </c>
      <c r="J68" s="79">
        <v>18000</v>
      </c>
      <c r="K68" s="67">
        <f t="shared" si="0"/>
        <v>18333.333333333332</v>
      </c>
      <c r="M68" s="4"/>
      <c r="N68" s="4"/>
    </row>
    <row r="69" spans="1:14" ht="15.75" x14ac:dyDescent="0.25">
      <c r="A69" s="101">
        <v>19</v>
      </c>
      <c r="B69" s="60" t="s">
        <v>66</v>
      </c>
      <c r="C69" s="60"/>
      <c r="D69" s="74"/>
      <c r="E69" s="17"/>
      <c r="F69" s="15"/>
      <c r="G69" s="15"/>
      <c r="H69" s="15"/>
      <c r="I69" s="15"/>
      <c r="J69" s="75"/>
      <c r="K69" s="71"/>
      <c r="M69" s="4"/>
      <c r="N69" s="4"/>
    </row>
    <row r="70" spans="1:14" ht="15.75" x14ac:dyDescent="0.25">
      <c r="A70" s="101"/>
      <c r="B70" s="66" t="s">
        <v>67</v>
      </c>
      <c r="C70" s="17" t="s">
        <v>6</v>
      </c>
      <c r="D70" s="9">
        <v>36000</v>
      </c>
      <c r="E70" s="9">
        <v>35000</v>
      </c>
      <c r="F70" s="9">
        <v>36000</v>
      </c>
      <c r="G70" s="9">
        <v>35000</v>
      </c>
      <c r="H70" s="9">
        <v>36000</v>
      </c>
      <c r="I70" s="9">
        <v>40000</v>
      </c>
      <c r="J70" s="72">
        <v>37000</v>
      </c>
      <c r="K70" s="67">
        <f t="shared" si="0"/>
        <v>36428.571428571428</v>
      </c>
      <c r="M70" s="4"/>
      <c r="N70" s="4"/>
    </row>
    <row r="71" spans="1:14" ht="15.75" x14ac:dyDescent="0.25">
      <c r="A71" s="101"/>
      <c r="B71" s="66" t="s">
        <v>68</v>
      </c>
      <c r="C71" s="17" t="s">
        <v>6</v>
      </c>
      <c r="D71" s="9">
        <v>34000</v>
      </c>
      <c r="E71" s="9">
        <v>32000</v>
      </c>
      <c r="F71" s="9">
        <v>34000</v>
      </c>
      <c r="G71" s="9">
        <v>32000</v>
      </c>
      <c r="H71" s="9">
        <v>32000</v>
      </c>
      <c r="I71" s="9">
        <v>35000</v>
      </c>
      <c r="J71" s="72">
        <v>30000</v>
      </c>
      <c r="K71" s="67">
        <f t="shared" si="0"/>
        <v>32714.285714285714</v>
      </c>
      <c r="M71" s="4"/>
      <c r="N71" s="4"/>
    </row>
    <row r="72" spans="1:14" ht="15.75" x14ac:dyDescent="0.25">
      <c r="A72" s="101"/>
      <c r="B72" s="66" t="s">
        <v>69</v>
      </c>
      <c r="C72" s="17" t="s">
        <v>6</v>
      </c>
      <c r="D72" s="9">
        <v>26000</v>
      </c>
      <c r="E72" s="9">
        <v>28000</v>
      </c>
      <c r="F72" s="9">
        <v>24000</v>
      </c>
      <c r="G72" s="9">
        <v>28000</v>
      </c>
      <c r="H72" s="9">
        <v>22000</v>
      </c>
      <c r="I72" s="9">
        <v>25000</v>
      </c>
      <c r="J72" s="72">
        <v>20000</v>
      </c>
      <c r="K72" s="67">
        <f t="shared" si="0"/>
        <v>24714.285714285714</v>
      </c>
      <c r="M72" s="4"/>
      <c r="N72" s="4"/>
    </row>
    <row r="73" spans="1:14" ht="15.75" x14ac:dyDescent="0.25">
      <c r="A73" s="101"/>
      <c r="B73" s="66" t="s">
        <v>70</v>
      </c>
      <c r="C73" s="17" t="s">
        <v>6</v>
      </c>
      <c r="D73" s="9">
        <v>28000</v>
      </c>
      <c r="E73" s="9">
        <v>25000</v>
      </c>
      <c r="F73" s="16">
        <v>28000</v>
      </c>
      <c r="G73" s="8">
        <v>30000</v>
      </c>
      <c r="H73" s="9">
        <v>25000</v>
      </c>
      <c r="I73" s="9">
        <v>25000</v>
      </c>
      <c r="J73" s="72" t="s">
        <v>99</v>
      </c>
      <c r="K73" s="67">
        <f t="shared" si="0"/>
        <v>26833.333333333332</v>
      </c>
      <c r="M73" s="4"/>
      <c r="N73" s="4"/>
    </row>
    <row r="74" spans="1:14" ht="15.75" x14ac:dyDescent="0.25">
      <c r="A74" s="17">
        <v>20</v>
      </c>
      <c r="B74" s="60" t="s">
        <v>71</v>
      </c>
      <c r="C74" s="91"/>
      <c r="D74" s="24"/>
      <c r="E74" s="10"/>
      <c r="F74" s="10"/>
      <c r="G74" s="89"/>
      <c r="H74" s="10"/>
      <c r="I74" s="10"/>
      <c r="J74" s="90"/>
      <c r="K74" s="71"/>
      <c r="M74" s="4"/>
      <c r="N74" s="4"/>
    </row>
    <row r="75" spans="1:14" ht="15.75" x14ac:dyDescent="0.25">
      <c r="A75" s="17"/>
      <c r="B75" s="66" t="s">
        <v>72</v>
      </c>
      <c r="C75" s="86" t="s">
        <v>6</v>
      </c>
      <c r="D75" s="9">
        <v>7000</v>
      </c>
      <c r="E75" s="9">
        <v>7000</v>
      </c>
      <c r="F75" s="9">
        <v>5000</v>
      </c>
      <c r="G75" s="9">
        <v>6000</v>
      </c>
      <c r="H75" s="9">
        <v>5000</v>
      </c>
      <c r="I75" s="9">
        <v>5000</v>
      </c>
      <c r="J75" s="72">
        <v>5000</v>
      </c>
      <c r="K75" s="67">
        <f t="shared" si="0"/>
        <v>5714.2857142857147</v>
      </c>
      <c r="M75" s="4"/>
      <c r="N75" s="4"/>
    </row>
    <row r="76" spans="1:14" ht="15.75" x14ac:dyDescent="0.25">
      <c r="A76" s="17"/>
      <c r="B76" s="66" t="s">
        <v>73</v>
      </c>
      <c r="C76" s="86" t="s">
        <v>6</v>
      </c>
      <c r="D76" s="9">
        <v>7000</v>
      </c>
      <c r="E76" s="9">
        <v>6000</v>
      </c>
      <c r="F76" s="16">
        <v>6000</v>
      </c>
      <c r="G76" s="8">
        <v>6000</v>
      </c>
      <c r="H76" s="9">
        <v>5000</v>
      </c>
      <c r="I76" s="9">
        <v>6000</v>
      </c>
      <c r="J76" s="79">
        <v>6000</v>
      </c>
      <c r="K76" s="67">
        <f t="shared" si="0"/>
        <v>6000</v>
      </c>
      <c r="M76" s="4"/>
      <c r="N76" s="4"/>
    </row>
    <row r="77" spans="1:14" ht="15.75" x14ac:dyDescent="0.25">
      <c r="A77" s="17">
        <v>21</v>
      </c>
      <c r="B77" s="60" t="s">
        <v>74</v>
      </c>
      <c r="C77" s="91"/>
      <c r="D77" s="19"/>
      <c r="E77" s="10"/>
      <c r="F77" s="10"/>
      <c r="G77" s="22"/>
      <c r="H77" s="10"/>
      <c r="I77" s="10"/>
      <c r="J77" s="77"/>
      <c r="K77" s="71"/>
      <c r="M77" s="4"/>
      <c r="N77" s="4"/>
    </row>
    <row r="78" spans="1:14" ht="15.75" x14ac:dyDescent="0.25">
      <c r="A78" s="17"/>
      <c r="B78" s="66" t="s">
        <v>75</v>
      </c>
      <c r="C78" s="86" t="s">
        <v>6</v>
      </c>
      <c r="D78" s="9">
        <v>8000</v>
      </c>
      <c r="E78" s="9">
        <v>8000</v>
      </c>
      <c r="F78" s="9">
        <v>10000</v>
      </c>
      <c r="G78" s="9">
        <v>8000</v>
      </c>
      <c r="H78" s="9">
        <v>6000</v>
      </c>
      <c r="I78" s="16">
        <v>9000</v>
      </c>
      <c r="J78" s="72" t="s">
        <v>99</v>
      </c>
      <c r="K78" s="67">
        <f t="shared" si="0"/>
        <v>8166.666666666667</v>
      </c>
      <c r="M78" s="4"/>
      <c r="N78" s="4"/>
    </row>
    <row r="79" spans="1:14" ht="15.75" x14ac:dyDescent="0.25">
      <c r="A79" s="17"/>
      <c r="B79" s="66" t="s">
        <v>76</v>
      </c>
      <c r="C79" s="86" t="s">
        <v>6</v>
      </c>
      <c r="D79" s="9">
        <v>8000</v>
      </c>
      <c r="E79" s="9">
        <v>10000</v>
      </c>
      <c r="F79" s="9">
        <v>20000</v>
      </c>
      <c r="G79" s="9">
        <v>14000</v>
      </c>
      <c r="H79" s="9">
        <v>6000</v>
      </c>
      <c r="I79" s="16">
        <v>12000</v>
      </c>
      <c r="J79" s="72">
        <v>15000</v>
      </c>
      <c r="K79" s="67">
        <f t="shared" si="0"/>
        <v>12142.857142857143</v>
      </c>
      <c r="M79" s="4"/>
      <c r="N79" s="4"/>
    </row>
    <row r="80" spans="1:14" ht="15.75" x14ac:dyDescent="0.25">
      <c r="A80" s="17"/>
      <c r="B80" s="66" t="s">
        <v>77</v>
      </c>
      <c r="C80" s="86" t="s">
        <v>6</v>
      </c>
      <c r="D80" s="9">
        <v>18000</v>
      </c>
      <c r="E80" s="9">
        <v>16000</v>
      </c>
      <c r="F80" s="9">
        <v>17000</v>
      </c>
      <c r="G80" s="9">
        <v>15000</v>
      </c>
      <c r="H80" s="9">
        <v>15000</v>
      </c>
      <c r="I80" s="9">
        <v>20000</v>
      </c>
      <c r="J80" s="72">
        <v>18000</v>
      </c>
      <c r="K80" s="67">
        <f t="shared" si="0"/>
        <v>17000</v>
      </c>
      <c r="M80" s="4"/>
      <c r="N80" s="4"/>
    </row>
    <row r="81" spans="1:14" ht="15.75" x14ac:dyDescent="0.25">
      <c r="A81" s="17"/>
      <c r="B81" s="66" t="s">
        <v>78</v>
      </c>
      <c r="C81" s="86" t="s">
        <v>6</v>
      </c>
      <c r="D81" s="9">
        <v>22000</v>
      </c>
      <c r="E81" s="9">
        <v>15000</v>
      </c>
      <c r="F81" s="9">
        <v>10000</v>
      </c>
      <c r="G81" s="9">
        <v>10000</v>
      </c>
      <c r="H81" s="9">
        <v>22000</v>
      </c>
      <c r="I81" s="8">
        <v>25000</v>
      </c>
      <c r="J81" s="72">
        <v>20000</v>
      </c>
      <c r="K81" s="67">
        <f t="shared" ref="K81:K88" si="1">AVERAGE(D81:J81)</f>
        <v>17714.285714285714</v>
      </c>
      <c r="M81" s="4"/>
      <c r="N81" s="4"/>
    </row>
    <row r="82" spans="1:14" ht="15.75" x14ac:dyDescent="0.25">
      <c r="A82" s="17"/>
      <c r="B82" s="66" t="s">
        <v>79</v>
      </c>
      <c r="C82" s="86" t="s">
        <v>6</v>
      </c>
      <c r="D82" s="9">
        <v>14000</v>
      </c>
      <c r="E82" s="9">
        <v>12000</v>
      </c>
      <c r="F82" s="9">
        <v>14000</v>
      </c>
      <c r="G82" s="9">
        <v>12000</v>
      </c>
      <c r="H82" s="9">
        <v>10000</v>
      </c>
      <c r="I82" s="9">
        <v>20000</v>
      </c>
      <c r="J82" s="72">
        <v>15000</v>
      </c>
      <c r="K82" s="67">
        <f t="shared" si="1"/>
        <v>13857.142857142857</v>
      </c>
      <c r="M82" s="4"/>
      <c r="N82" s="4"/>
    </row>
    <row r="83" spans="1:14" ht="15.75" x14ac:dyDescent="0.25">
      <c r="A83" s="17"/>
      <c r="B83" s="66" t="s">
        <v>80</v>
      </c>
      <c r="C83" s="86" t="s">
        <v>6</v>
      </c>
      <c r="D83" s="9">
        <v>9000</v>
      </c>
      <c r="E83" s="9">
        <v>8000</v>
      </c>
      <c r="F83" s="16">
        <v>9000</v>
      </c>
      <c r="G83" s="8">
        <v>8000</v>
      </c>
      <c r="H83" s="9">
        <v>10000</v>
      </c>
      <c r="I83" s="16">
        <v>9000</v>
      </c>
      <c r="J83" s="72">
        <v>8000</v>
      </c>
      <c r="K83" s="67">
        <f t="shared" si="1"/>
        <v>8714.2857142857138</v>
      </c>
      <c r="M83" s="4"/>
      <c r="N83" s="4"/>
    </row>
    <row r="84" spans="1:14" ht="15.75" x14ac:dyDescent="0.25">
      <c r="A84" s="17"/>
      <c r="B84" s="66" t="s">
        <v>81</v>
      </c>
      <c r="C84" s="86" t="s">
        <v>82</v>
      </c>
      <c r="D84" s="9">
        <v>2000</v>
      </c>
      <c r="E84" s="9">
        <v>1500</v>
      </c>
      <c r="F84" s="9">
        <v>2000</v>
      </c>
      <c r="G84" s="8">
        <v>2000</v>
      </c>
      <c r="H84" s="9">
        <v>1500</v>
      </c>
      <c r="I84" s="9">
        <v>2000</v>
      </c>
      <c r="J84" s="79">
        <v>1500</v>
      </c>
      <c r="K84" s="67">
        <f t="shared" si="1"/>
        <v>1785.7142857142858</v>
      </c>
      <c r="L84" s="4"/>
      <c r="M84" s="4"/>
      <c r="N84" s="4"/>
    </row>
    <row r="85" spans="1:14" x14ac:dyDescent="0.25">
      <c r="A85" s="17"/>
      <c r="B85" s="66" t="s">
        <v>83</v>
      </c>
      <c r="C85" s="86" t="s">
        <v>82</v>
      </c>
      <c r="D85" s="9">
        <v>1500</v>
      </c>
      <c r="E85" s="9">
        <v>1500</v>
      </c>
      <c r="F85" s="9">
        <v>1500</v>
      </c>
      <c r="G85" s="8">
        <v>2000</v>
      </c>
      <c r="H85" s="9">
        <v>1500</v>
      </c>
      <c r="I85" s="9">
        <v>1500</v>
      </c>
      <c r="J85" s="79">
        <v>1000</v>
      </c>
      <c r="K85" s="67">
        <f t="shared" si="1"/>
        <v>1500</v>
      </c>
    </row>
    <row r="86" spans="1:14" x14ac:dyDescent="0.25">
      <c r="A86" s="17"/>
      <c r="B86" s="66" t="s">
        <v>84</v>
      </c>
      <c r="C86" s="86" t="s">
        <v>82</v>
      </c>
      <c r="D86" s="9" t="s">
        <v>99</v>
      </c>
      <c r="E86" s="9">
        <v>2000</v>
      </c>
      <c r="F86" s="9" t="s">
        <v>99</v>
      </c>
      <c r="G86" s="8" t="s">
        <v>99</v>
      </c>
      <c r="H86" s="9">
        <v>2500</v>
      </c>
      <c r="I86" s="9" t="s">
        <v>99</v>
      </c>
      <c r="J86" s="79">
        <v>2000</v>
      </c>
      <c r="K86" s="67">
        <f t="shared" si="1"/>
        <v>2166.6666666666665</v>
      </c>
    </row>
    <row r="87" spans="1:14" x14ac:dyDescent="0.25">
      <c r="A87" s="17">
        <v>22</v>
      </c>
      <c r="B87" s="60" t="s">
        <v>85</v>
      </c>
      <c r="C87" s="91"/>
      <c r="D87" s="22"/>
      <c r="E87" s="10"/>
      <c r="F87" s="10" t="s">
        <v>102</v>
      </c>
      <c r="G87" s="22"/>
      <c r="H87" s="10"/>
      <c r="I87" s="10"/>
      <c r="J87" s="77"/>
      <c r="K87" s="71"/>
    </row>
    <row r="88" spans="1:14" x14ac:dyDescent="0.25">
      <c r="A88" s="17"/>
      <c r="B88" s="66" t="s">
        <v>86</v>
      </c>
      <c r="C88" s="86" t="s">
        <v>87</v>
      </c>
      <c r="D88" s="9" t="s">
        <v>99</v>
      </c>
      <c r="E88" s="9" t="s">
        <v>99</v>
      </c>
      <c r="F88" s="9">
        <v>18000</v>
      </c>
      <c r="G88" s="8">
        <v>17000</v>
      </c>
      <c r="H88" s="10" t="s">
        <v>99</v>
      </c>
      <c r="I88" s="16">
        <v>18000</v>
      </c>
      <c r="J88" s="79">
        <v>18000</v>
      </c>
      <c r="K88" s="67">
        <f t="shared" si="1"/>
        <v>17750</v>
      </c>
    </row>
  </sheetData>
  <mergeCells count="28">
    <mergeCell ref="A54:A55"/>
    <mergeCell ref="A56:A60"/>
    <mergeCell ref="A63:A66"/>
    <mergeCell ref="A69:A73"/>
    <mergeCell ref="A26:A32"/>
    <mergeCell ref="A33:A35"/>
    <mergeCell ref="A43:A45"/>
    <mergeCell ref="A46:A48"/>
    <mergeCell ref="A52:A53"/>
    <mergeCell ref="A13:A15"/>
    <mergeCell ref="A7:A12"/>
    <mergeCell ref="A16:A17"/>
    <mergeCell ref="A19:A20"/>
    <mergeCell ref="A21:A2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I4:I6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F7700-DCB1-446F-B100-FFCBEC3F0736}">
  <dimension ref="A1:N88"/>
  <sheetViews>
    <sheetView topLeftCell="A19" zoomScale="70" zoomScaleNormal="70" workbookViewId="0">
      <selection activeCell="A4" sqref="A4:A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3.37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3.37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3.37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3.37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3.37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3.37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3.37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3.37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3.37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3.37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3.37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3.37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3.37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3.37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3.37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3.37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3.37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3.37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3.37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3.37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3.37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3.37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3.37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3.37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3.37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3.37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3.37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3.37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3.37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3.37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3.37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3.37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3.37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3.37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3.37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3.37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3.37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3.37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3.37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3.37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3.37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3.37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3.37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3.37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3.37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3.37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3.37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3.37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3.37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3.37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3.37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3.37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3.37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3.37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3.37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3.37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3.37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3.37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3.37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3.37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3.37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3.37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3.37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3.37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02" t="s">
        <v>88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M1" s="4"/>
      <c r="N1" s="4"/>
    </row>
    <row r="2" spans="1:14" ht="27.75" customHeight="1" x14ac:dyDescent="0.25">
      <c r="A2" s="103" t="s">
        <v>89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M2" s="4"/>
      <c r="N2" s="4"/>
    </row>
    <row r="3" spans="1:14" ht="27.75" customHeight="1" thickBot="1" x14ac:dyDescent="0.3">
      <c r="A3" s="104" t="s">
        <v>133</v>
      </c>
      <c r="B3" s="104"/>
      <c r="C3" s="104"/>
      <c r="D3" s="104"/>
      <c r="E3" s="104"/>
      <c r="F3" s="104"/>
      <c r="G3" s="104"/>
      <c r="H3" s="104"/>
      <c r="I3" s="104"/>
      <c r="J3" s="104"/>
      <c r="K3" s="105"/>
      <c r="M3" s="4"/>
      <c r="N3" s="4"/>
    </row>
    <row r="4" spans="1:14" ht="25.5" customHeight="1" x14ac:dyDescent="0.25">
      <c r="A4" s="96" t="s">
        <v>1</v>
      </c>
      <c r="B4" s="99" t="s">
        <v>2</v>
      </c>
      <c r="C4" s="96" t="s">
        <v>90</v>
      </c>
      <c r="D4" s="110" t="s">
        <v>91</v>
      </c>
      <c r="E4" s="113" t="s">
        <v>92</v>
      </c>
      <c r="F4" s="125" t="s">
        <v>93</v>
      </c>
      <c r="G4" s="131" t="s">
        <v>94</v>
      </c>
      <c r="H4" s="116" t="s">
        <v>95</v>
      </c>
      <c r="I4" s="119" t="s">
        <v>96</v>
      </c>
      <c r="J4" s="106" t="s">
        <v>97</v>
      </c>
      <c r="K4" s="122" t="s">
        <v>98</v>
      </c>
      <c r="M4" s="4"/>
      <c r="N4" s="4"/>
    </row>
    <row r="5" spans="1:14" ht="15" customHeight="1" x14ac:dyDescent="0.25">
      <c r="A5" s="97"/>
      <c r="B5" s="100"/>
      <c r="C5" s="97"/>
      <c r="D5" s="111"/>
      <c r="E5" s="114"/>
      <c r="F5" s="126"/>
      <c r="G5" s="132"/>
      <c r="H5" s="117"/>
      <c r="I5" s="120"/>
      <c r="J5" s="107"/>
      <c r="K5" s="123"/>
      <c r="M5" s="4"/>
      <c r="N5" s="4"/>
    </row>
    <row r="6" spans="1:14" ht="16.5" thickBot="1" x14ac:dyDescent="0.3">
      <c r="A6" s="98"/>
      <c r="B6" s="109"/>
      <c r="C6" s="98"/>
      <c r="D6" s="112"/>
      <c r="E6" s="115"/>
      <c r="F6" s="127"/>
      <c r="G6" s="133"/>
      <c r="H6" s="118"/>
      <c r="I6" s="121"/>
      <c r="J6" s="108"/>
      <c r="K6" s="124"/>
      <c r="M6" s="4"/>
      <c r="N6" s="4"/>
    </row>
    <row r="7" spans="1:14" ht="15.75" x14ac:dyDescent="0.25">
      <c r="A7" s="101">
        <v>1</v>
      </c>
      <c r="B7" s="60" t="s">
        <v>4</v>
      </c>
      <c r="C7" s="61"/>
      <c r="D7" s="62"/>
      <c r="E7" s="17" t="s">
        <v>102</v>
      </c>
      <c r="F7" s="17"/>
      <c r="G7" s="63"/>
      <c r="H7" s="63" t="s">
        <v>1</v>
      </c>
      <c r="I7" s="64"/>
      <c r="J7" s="63"/>
      <c r="K7" s="65"/>
      <c r="M7" s="4"/>
      <c r="N7" s="4"/>
    </row>
    <row r="8" spans="1:14" ht="15.75" x14ac:dyDescent="0.25">
      <c r="A8" s="101"/>
      <c r="B8" s="66" t="s">
        <v>107</v>
      </c>
      <c r="C8" s="17" t="s">
        <v>6</v>
      </c>
      <c r="D8" s="9">
        <v>15500</v>
      </c>
      <c r="E8" s="9">
        <v>15500</v>
      </c>
      <c r="F8" s="9">
        <v>15500</v>
      </c>
      <c r="G8" s="9">
        <v>15500</v>
      </c>
      <c r="H8" s="9">
        <v>16000</v>
      </c>
      <c r="I8" s="9">
        <v>16000</v>
      </c>
      <c r="J8" s="16">
        <v>14000</v>
      </c>
      <c r="K8" s="67">
        <f>AVERAGE(D8:J8)</f>
        <v>15428.571428571429</v>
      </c>
      <c r="L8" s="1"/>
      <c r="M8" s="7"/>
      <c r="N8" s="4"/>
    </row>
    <row r="9" spans="1:14" ht="15.75" x14ac:dyDescent="0.25">
      <c r="A9" s="101"/>
      <c r="B9" s="66" t="s">
        <v>115</v>
      </c>
      <c r="C9" s="17" t="s">
        <v>6</v>
      </c>
      <c r="D9" s="9">
        <v>10900</v>
      </c>
      <c r="E9" s="9">
        <v>10900</v>
      </c>
      <c r="F9" s="9">
        <v>10900</v>
      </c>
      <c r="G9" s="8">
        <v>10900</v>
      </c>
      <c r="H9" s="9">
        <v>12000</v>
      </c>
      <c r="I9" s="9">
        <v>10900</v>
      </c>
      <c r="J9" s="16" t="s">
        <v>99</v>
      </c>
      <c r="K9" s="67">
        <f t="shared" ref="K9:K80" si="0">AVERAGE(D9:J9)</f>
        <v>11083.333333333334</v>
      </c>
      <c r="M9" s="4"/>
      <c r="N9" s="4"/>
    </row>
    <row r="10" spans="1:14" ht="15.75" x14ac:dyDescent="0.25">
      <c r="A10" s="101"/>
      <c r="B10" s="66" t="s">
        <v>108</v>
      </c>
      <c r="C10" s="17" t="s">
        <v>6</v>
      </c>
      <c r="D10" s="9" t="s">
        <v>99</v>
      </c>
      <c r="E10" s="9" t="s">
        <v>99</v>
      </c>
      <c r="F10" s="9" t="s">
        <v>99</v>
      </c>
      <c r="G10" s="8" t="s">
        <v>99</v>
      </c>
      <c r="H10" s="9" t="s">
        <v>99</v>
      </c>
      <c r="I10" s="9" t="s">
        <v>99</v>
      </c>
      <c r="J10" s="16" t="s">
        <v>99</v>
      </c>
      <c r="K10" s="67">
        <v>0</v>
      </c>
      <c r="M10" s="4"/>
      <c r="N10" s="4"/>
    </row>
    <row r="11" spans="1:14" ht="15.75" x14ac:dyDescent="0.25">
      <c r="A11" s="101"/>
      <c r="B11" s="66" t="s">
        <v>9</v>
      </c>
      <c r="C11" s="17" t="s">
        <v>6</v>
      </c>
      <c r="D11" s="9" t="s">
        <v>99</v>
      </c>
      <c r="E11" s="9">
        <v>10000</v>
      </c>
      <c r="F11" s="16">
        <v>12000</v>
      </c>
      <c r="G11" s="8">
        <v>10000</v>
      </c>
      <c r="H11" s="9">
        <v>10000</v>
      </c>
      <c r="I11" s="16">
        <v>12000</v>
      </c>
      <c r="J11" s="16">
        <v>10000</v>
      </c>
      <c r="K11" s="67">
        <f>AVERAGE(D11:J11)</f>
        <v>10666.666666666666</v>
      </c>
      <c r="M11" s="4"/>
      <c r="N11" s="4"/>
    </row>
    <row r="12" spans="1:14" ht="15.75" x14ac:dyDescent="0.25">
      <c r="A12" s="101"/>
      <c r="B12" s="66" t="s">
        <v>10</v>
      </c>
      <c r="C12" s="17" t="s">
        <v>6</v>
      </c>
      <c r="D12" s="9" t="s">
        <v>99</v>
      </c>
      <c r="E12" s="9">
        <v>21000</v>
      </c>
      <c r="F12" s="16">
        <v>16000</v>
      </c>
      <c r="G12" s="8">
        <v>18000</v>
      </c>
      <c r="H12" s="9">
        <v>25000</v>
      </c>
      <c r="I12" s="16">
        <v>17000</v>
      </c>
      <c r="J12" s="16">
        <v>17000</v>
      </c>
      <c r="K12" s="67">
        <f t="shared" si="0"/>
        <v>19000</v>
      </c>
      <c r="M12" s="4"/>
      <c r="N12" s="4"/>
    </row>
    <row r="13" spans="1:14" ht="15.75" x14ac:dyDescent="0.25">
      <c r="A13" s="101">
        <v>2</v>
      </c>
      <c r="B13" s="60" t="s">
        <v>11</v>
      </c>
      <c r="C13" s="68"/>
      <c r="D13" s="62"/>
      <c r="E13" s="69"/>
      <c r="F13" s="17"/>
      <c r="G13" s="70"/>
      <c r="H13" s="70"/>
      <c r="I13" s="70"/>
      <c r="J13" s="70"/>
      <c r="K13" s="71"/>
      <c r="M13" s="4"/>
      <c r="N13" s="12"/>
    </row>
    <row r="14" spans="1:14" ht="15.75" x14ac:dyDescent="0.25">
      <c r="A14" s="101"/>
      <c r="B14" s="66" t="s">
        <v>116</v>
      </c>
      <c r="C14" s="17" t="s">
        <v>6</v>
      </c>
      <c r="D14" s="9">
        <v>16000</v>
      </c>
      <c r="E14" s="9">
        <v>16000</v>
      </c>
      <c r="F14" s="9">
        <v>16000</v>
      </c>
      <c r="G14" s="16">
        <v>16000</v>
      </c>
      <c r="H14" s="9">
        <v>16500</v>
      </c>
      <c r="I14" s="9">
        <v>16500</v>
      </c>
      <c r="J14" s="72">
        <v>16500</v>
      </c>
      <c r="K14" s="67">
        <f t="shared" si="0"/>
        <v>16214.285714285714</v>
      </c>
      <c r="M14" s="4"/>
      <c r="N14" s="4"/>
    </row>
    <row r="15" spans="1:14" ht="15.75" x14ac:dyDescent="0.25">
      <c r="A15" s="101"/>
      <c r="B15" s="66" t="s">
        <v>13</v>
      </c>
      <c r="C15" s="17" t="s">
        <v>6</v>
      </c>
      <c r="D15" s="9">
        <v>17000</v>
      </c>
      <c r="E15" s="9">
        <v>16000</v>
      </c>
      <c r="F15" s="16">
        <v>16000</v>
      </c>
      <c r="G15" s="8">
        <v>16000</v>
      </c>
      <c r="H15" s="9">
        <v>17000</v>
      </c>
      <c r="I15" s="9">
        <v>16000</v>
      </c>
      <c r="J15" s="72">
        <v>18000</v>
      </c>
      <c r="K15" s="67">
        <f>AVERAGE(D15:J15)</f>
        <v>16571.428571428572</v>
      </c>
      <c r="M15" s="4"/>
      <c r="N15" s="4"/>
    </row>
    <row r="16" spans="1:14" ht="15.75" x14ac:dyDescent="0.25">
      <c r="A16" s="101">
        <v>3</v>
      </c>
      <c r="B16" s="60" t="s">
        <v>14</v>
      </c>
      <c r="C16" s="73"/>
      <c r="D16" s="74"/>
      <c r="E16" s="15"/>
      <c r="F16" s="15"/>
      <c r="G16" s="15"/>
      <c r="H16" s="15"/>
      <c r="I16" s="15" t="s">
        <v>130</v>
      </c>
      <c r="J16" s="75"/>
      <c r="K16" s="71"/>
      <c r="M16" s="4"/>
      <c r="N16" s="4"/>
    </row>
    <row r="17" spans="1:14" ht="15.75" x14ac:dyDescent="0.25">
      <c r="A17" s="101"/>
      <c r="B17" s="66" t="s">
        <v>15</v>
      </c>
      <c r="C17" s="17" t="s">
        <v>6</v>
      </c>
      <c r="D17" s="9">
        <v>15000</v>
      </c>
      <c r="E17" s="9">
        <v>15000</v>
      </c>
      <c r="F17" s="9">
        <v>14000</v>
      </c>
      <c r="G17" s="9">
        <v>15000</v>
      </c>
      <c r="H17" s="9">
        <v>16000</v>
      </c>
      <c r="I17" s="9">
        <v>16000</v>
      </c>
      <c r="J17" s="72">
        <v>16000</v>
      </c>
      <c r="K17" s="67">
        <f t="shared" si="0"/>
        <v>15285.714285714286</v>
      </c>
      <c r="M17" s="4"/>
      <c r="N17" s="4"/>
    </row>
    <row r="18" spans="1:14" ht="15.75" x14ac:dyDescent="0.25">
      <c r="A18" s="59"/>
      <c r="B18" s="66" t="s">
        <v>109</v>
      </c>
      <c r="C18" s="17" t="s">
        <v>110</v>
      </c>
      <c r="D18" s="9">
        <v>14000</v>
      </c>
      <c r="E18" s="9">
        <v>14000</v>
      </c>
      <c r="F18" s="9">
        <v>14000</v>
      </c>
      <c r="G18" s="9">
        <v>14000</v>
      </c>
      <c r="H18" s="9" t="s">
        <v>99</v>
      </c>
      <c r="I18" s="9">
        <v>14000</v>
      </c>
      <c r="J18" s="72">
        <v>14000</v>
      </c>
      <c r="K18" s="67">
        <f t="shared" si="0"/>
        <v>14000</v>
      </c>
      <c r="M18" s="4"/>
      <c r="N18" s="4"/>
    </row>
    <row r="19" spans="1:14" ht="17.25" customHeight="1" x14ac:dyDescent="0.25">
      <c r="A19" s="101">
        <v>4</v>
      </c>
      <c r="B19" s="60" t="s">
        <v>16</v>
      </c>
      <c r="C19" s="73"/>
      <c r="D19" s="74"/>
      <c r="E19" s="15"/>
      <c r="F19" s="15"/>
      <c r="G19" s="76"/>
      <c r="H19" s="15"/>
      <c r="I19" s="15"/>
      <c r="J19" s="75"/>
      <c r="K19" s="71"/>
      <c r="M19" s="4"/>
      <c r="N19" s="4"/>
    </row>
    <row r="20" spans="1:14" ht="15.75" x14ac:dyDescent="0.25">
      <c r="A20" s="101"/>
      <c r="B20" s="66" t="s">
        <v>17</v>
      </c>
      <c r="C20" s="17" t="s">
        <v>6</v>
      </c>
      <c r="D20" s="9">
        <v>20000</v>
      </c>
      <c r="E20" s="9">
        <v>20000</v>
      </c>
      <c r="F20" s="16">
        <v>20000</v>
      </c>
      <c r="G20" s="8">
        <v>22000</v>
      </c>
      <c r="H20" s="16">
        <v>33000</v>
      </c>
      <c r="I20" s="16">
        <v>20000</v>
      </c>
      <c r="J20" s="77" t="s">
        <v>99</v>
      </c>
      <c r="K20" s="67">
        <f t="shared" si="0"/>
        <v>22500</v>
      </c>
      <c r="M20" s="4"/>
      <c r="N20" s="4"/>
    </row>
    <row r="21" spans="1:14" ht="15.75" x14ac:dyDescent="0.25">
      <c r="A21" s="101">
        <v>5</v>
      </c>
      <c r="B21" s="60" t="s">
        <v>18</v>
      </c>
      <c r="C21" s="73"/>
      <c r="D21" s="74"/>
      <c r="E21" s="17"/>
      <c r="F21" s="15" t="s">
        <v>1</v>
      </c>
      <c r="G21" s="76"/>
      <c r="H21" s="15"/>
      <c r="I21" s="15"/>
      <c r="J21" s="75"/>
      <c r="K21" s="71"/>
      <c r="M21" s="4"/>
      <c r="N21" s="4"/>
    </row>
    <row r="22" spans="1:14" ht="15.75" x14ac:dyDescent="0.25">
      <c r="A22" s="101"/>
      <c r="B22" s="66" t="s">
        <v>19</v>
      </c>
      <c r="C22" s="17" t="s">
        <v>6</v>
      </c>
      <c r="D22" s="9">
        <v>120000</v>
      </c>
      <c r="E22" s="9">
        <v>120000</v>
      </c>
      <c r="F22" s="9">
        <v>120000</v>
      </c>
      <c r="G22" s="9">
        <v>120000</v>
      </c>
      <c r="H22" s="9">
        <v>120000</v>
      </c>
      <c r="I22" s="8">
        <v>120000</v>
      </c>
      <c r="J22" s="72" t="s">
        <v>99</v>
      </c>
      <c r="K22" s="67">
        <f t="shared" si="0"/>
        <v>120000</v>
      </c>
      <c r="M22" s="4"/>
      <c r="N22" s="4"/>
    </row>
    <row r="23" spans="1:14" ht="15.75" x14ac:dyDescent="0.25">
      <c r="A23" s="101"/>
      <c r="B23" s="66" t="s">
        <v>20</v>
      </c>
      <c r="C23" s="17" t="s">
        <v>6</v>
      </c>
      <c r="D23" s="9">
        <v>110000</v>
      </c>
      <c r="E23" s="9">
        <v>110000</v>
      </c>
      <c r="F23" s="9">
        <v>110000</v>
      </c>
      <c r="G23" s="9">
        <v>110000</v>
      </c>
      <c r="H23" s="9">
        <v>115000</v>
      </c>
      <c r="I23" s="9">
        <v>110000</v>
      </c>
      <c r="J23" s="72">
        <v>110000</v>
      </c>
      <c r="K23" s="67">
        <f t="shared" si="0"/>
        <v>110714.28571428571</v>
      </c>
      <c r="M23" s="4"/>
      <c r="N23" s="4"/>
    </row>
    <row r="24" spans="1:14" ht="15.75" x14ac:dyDescent="0.25">
      <c r="A24" s="101"/>
      <c r="B24" s="66" t="s">
        <v>21</v>
      </c>
      <c r="C24" s="17" t="s">
        <v>6</v>
      </c>
      <c r="D24" s="9">
        <v>90000</v>
      </c>
      <c r="E24" s="9">
        <v>90000</v>
      </c>
      <c r="F24" s="9">
        <v>100000</v>
      </c>
      <c r="G24" s="9">
        <v>105000</v>
      </c>
      <c r="H24" s="9">
        <v>110000</v>
      </c>
      <c r="I24" s="8">
        <v>100000</v>
      </c>
      <c r="J24" s="72">
        <v>105000</v>
      </c>
      <c r="K24" s="67">
        <f t="shared" si="0"/>
        <v>100000</v>
      </c>
      <c r="M24" s="4"/>
      <c r="N24" s="4"/>
    </row>
    <row r="25" spans="1:14" ht="15.75" x14ac:dyDescent="0.25">
      <c r="A25" s="101"/>
      <c r="B25" s="66" t="s">
        <v>22</v>
      </c>
      <c r="C25" s="17" t="s">
        <v>6</v>
      </c>
      <c r="D25" s="9">
        <v>34000</v>
      </c>
      <c r="E25" s="9">
        <v>31000</v>
      </c>
      <c r="F25" s="9">
        <v>31000</v>
      </c>
      <c r="G25" s="9">
        <v>31000</v>
      </c>
      <c r="H25" s="72">
        <v>33000</v>
      </c>
      <c r="I25" s="9">
        <v>32000</v>
      </c>
      <c r="J25" s="72">
        <v>33000</v>
      </c>
      <c r="K25" s="67">
        <f t="shared" si="0"/>
        <v>32142.857142857141</v>
      </c>
      <c r="M25" s="4"/>
      <c r="N25" s="4"/>
    </row>
    <row r="26" spans="1:14" ht="15.75" x14ac:dyDescent="0.25">
      <c r="A26" s="101">
        <v>6</v>
      </c>
      <c r="B26" s="60" t="s">
        <v>23</v>
      </c>
      <c r="C26" s="73"/>
      <c r="D26" s="74"/>
      <c r="E26" s="17"/>
      <c r="F26" s="76"/>
      <c r="G26" s="15"/>
      <c r="H26" s="75"/>
      <c r="I26" s="15"/>
      <c r="J26" s="75"/>
      <c r="K26" s="71"/>
      <c r="M26" s="4"/>
      <c r="N26" s="4"/>
    </row>
    <row r="27" spans="1:14" ht="15.75" x14ac:dyDescent="0.25">
      <c r="A27" s="101"/>
      <c r="B27" s="66" t="s">
        <v>24</v>
      </c>
      <c r="C27" s="17" t="s">
        <v>6</v>
      </c>
      <c r="D27" s="9">
        <v>34000</v>
      </c>
      <c r="E27" s="9">
        <v>35000</v>
      </c>
      <c r="F27" s="9" t="s">
        <v>99</v>
      </c>
      <c r="G27" s="9">
        <v>40000</v>
      </c>
      <c r="H27" s="9">
        <v>30000</v>
      </c>
      <c r="I27" s="9" t="s">
        <v>99</v>
      </c>
      <c r="J27" s="72">
        <v>30000</v>
      </c>
      <c r="K27" s="67">
        <f t="shared" si="0"/>
        <v>33800</v>
      </c>
      <c r="L27" t="s">
        <v>100</v>
      </c>
      <c r="M27" s="4"/>
      <c r="N27" s="4"/>
    </row>
    <row r="28" spans="1:14" ht="15.75" x14ac:dyDescent="0.25">
      <c r="A28" s="101"/>
      <c r="B28" s="66" t="s">
        <v>25</v>
      </c>
      <c r="C28" s="17" t="s">
        <v>6</v>
      </c>
      <c r="D28" s="9">
        <v>36000</v>
      </c>
      <c r="E28" s="9">
        <v>28000</v>
      </c>
      <c r="F28" s="9">
        <v>35000</v>
      </c>
      <c r="G28" s="8">
        <v>30000</v>
      </c>
      <c r="H28" s="9">
        <v>20000</v>
      </c>
      <c r="I28" s="9">
        <v>32000</v>
      </c>
      <c r="J28" s="78">
        <v>30000</v>
      </c>
      <c r="K28" s="67">
        <f t="shared" si="0"/>
        <v>30142.857142857141</v>
      </c>
      <c r="M28" s="4"/>
      <c r="N28" s="4"/>
    </row>
    <row r="29" spans="1:14" ht="15.75" x14ac:dyDescent="0.25">
      <c r="A29" s="101"/>
      <c r="B29" s="66" t="s">
        <v>26</v>
      </c>
      <c r="C29" s="17" t="s">
        <v>6</v>
      </c>
      <c r="D29" s="9">
        <v>60000</v>
      </c>
      <c r="E29" s="9">
        <v>60000</v>
      </c>
      <c r="F29" s="16">
        <v>60000</v>
      </c>
      <c r="G29" s="8">
        <v>70000</v>
      </c>
      <c r="H29" s="9">
        <v>63000</v>
      </c>
      <c r="I29" s="9">
        <v>60000</v>
      </c>
      <c r="J29" s="79">
        <v>60000</v>
      </c>
      <c r="K29" s="67">
        <f t="shared" si="0"/>
        <v>61857.142857142855</v>
      </c>
      <c r="M29" s="4"/>
      <c r="N29" s="4"/>
    </row>
    <row r="30" spans="1:14" ht="15.75" x14ac:dyDescent="0.25">
      <c r="A30" s="101"/>
      <c r="B30" s="66" t="s">
        <v>27</v>
      </c>
      <c r="C30" s="17" t="s">
        <v>6</v>
      </c>
      <c r="D30" s="9">
        <v>25000</v>
      </c>
      <c r="E30" s="9" t="s">
        <v>99</v>
      </c>
      <c r="F30" s="10" t="s">
        <v>99</v>
      </c>
      <c r="G30" s="8">
        <v>25000</v>
      </c>
      <c r="H30" s="9">
        <v>23000</v>
      </c>
      <c r="I30" s="9" t="s">
        <v>99</v>
      </c>
      <c r="J30" s="79">
        <v>26000</v>
      </c>
      <c r="K30" s="67">
        <f t="shared" si="0"/>
        <v>24750</v>
      </c>
      <c r="M30" s="4"/>
      <c r="N30" s="4"/>
    </row>
    <row r="31" spans="1:14" ht="15.75" x14ac:dyDescent="0.25">
      <c r="A31" s="101"/>
      <c r="B31" s="66" t="s">
        <v>28</v>
      </c>
      <c r="C31" s="17" t="s">
        <v>6</v>
      </c>
      <c r="D31" s="9">
        <v>35000</v>
      </c>
      <c r="E31" s="9">
        <v>36000</v>
      </c>
      <c r="F31" s="9">
        <v>40000</v>
      </c>
      <c r="G31" s="9">
        <v>40000</v>
      </c>
      <c r="H31" s="9">
        <v>28000</v>
      </c>
      <c r="I31" s="9">
        <v>40000</v>
      </c>
      <c r="J31" s="72">
        <v>35000</v>
      </c>
      <c r="K31" s="67">
        <f t="shared" si="0"/>
        <v>36285.714285714283</v>
      </c>
      <c r="M31" s="4"/>
      <c r="N31" s="4"/>
    </row>
    <row r="32" spans="1:14" ht="15.75" x14ac:dyDescent="0.25">
      <c r="A32" s="101"/>
      <c r="B32" s="66" t="s">
        <v>29</v>
      </c>
      <c r="C32" s="17" t="s">
        <v>6</v>
      </c>
      <c r="D32" s="9" t="s">
        <v>99</v>
      </c>
      <c r="E32" s="9">
        <v>100000</v>
      </c>
      <c r="F32" s="9">
        <v>100000</v>
      </c>
      <c r="G32" s="9" t="s">
        <v>99</v>
      </c>
      <c r="H32" s="9">
        <v>80000</v>
      </c>
      <c r="I32" s="9" t="s">
        <v>99</v>
      </c>
      <c r="J32" s="79">
        <v>70000</v>
      </c>
      <c r="K32" s="67">
        <f t="shared" si="0"/>
        <v>87500</v>
      </c>
      <c r="M32" s="4"/>
      <c r="N32" s="4"/>
    </row>
    <row r="33" spans="1:14" ht="15.75" x14ac:dyDescent="0.25">
      <c r="A33" s="101">
        <v>7</v>
      </c>
      <c r="B33" s="60" t="s">
        <v>30</v>
      </c>
      <c r="C33" s="73"/>
      <c r="D33" s="74"/>
      <c r="E33" s="17"/>
      <c r="F33" s="76"/>
      <c r="G33" s="76"/>
      <c r="H33" s="15"/>
      <c r="I33" s="15"/>
      <c r="J33" s="75"/>
      <c r="K33" s="71"/>
      <c r="M33" s="4"/>
      <c r="N33" s="4"/>
    </row>
    <row r="34" spans="1:14" ht="15.75" x14ac:dyDescent="0.25">
      <c r="A34" s="101"/>
      <c r="B34" s="66" t="s">
        <v>31</v>
      </c>
      <c r="C34" s="17" t="s">
        <v>6</v>
      </c>
      <c r="D34" s="9">
        <v>27000</v>
      </c>
      <c r="E34" s="9">
        <v>26000</v>
      </c>
      <c r="F34" s="9">
        <v>26000</v>
      </c>
      <c r="G34" s="9">
        <v>26000</v>
      </c>
      <c r="H34" s="9">
        <v>26000</v>
      </c>
      <c r="I34" s="9">
        <v>26000</v>
      </c>
      <c r="J34" s="72">
        <v>27000</v>
      </c>
      <c r="K34" s="67">
        <f t="shared" si="0"/>
        <v>26285.714285714286</v>
      </c>
      <c r="M34" s="4"/>
      <c r="N34" s="4"/>
    </row>
    <row r="35" spans="1:14" ht="15.75" x14ac:dyDescent="0.25">
      <c r="A35" s="101"/>
      <c r="B35" s="66" t="s">
        <v>32</v>
      </c>
      <c r="C35" s="17" t="s">
        <v>33</v>
      </c>
      <c r="D35" s="9">
        <v>3000</v>
      </c>
      <c r="E35" s="9">
        <v>2500</v>
      </c>
      <c r="F35" s="9">
        <v>2500</v>
      </c>
      <c r="G35" s="9">
        <v>2800</v>
      </c>
      <c r="H35" s="9">
        <v>2500</v>
      </c>
      <c r="I35" s="9">
        <v>3000</v>
      </c>
      <c r="J35" s="72">
        <v>3000</v>
      </c>
      <c r="K35" s="67">
        <f t="shared" si="0"/>
        <v>2757.1428571428573</v>
      </c>
      <c r="M35" s="4"/>
      <c r="N35" s="4"/>
    </row>
    <row r="36" spans="1:14" ht="15.75" x14ac:dyDescent="0.25">
      <c r="A36" s="59">
        <v>8</v>
      </c>
      <c r="B36" s="73" t="s">
        <v>117</v>
      </c>
      <c r="C36" s="80"/>
      <c r="D36" s="9"/>
      <c r="E36" s="9"/>
      <c r="F36" s="9"/>
      <c r="G36" s="9"/>
      <c r="H36" s="9"/>
      <c r="I36" s="9"/>
      <c r="J36" s="72"/>
      <c r="K36" s="81"/>
      <c r="M36" s="4"/>
      <c r="N36" s="4"/>
    </row>
    <row r="37" spans="1:14" ht="15.75" x14ac:dyDescent="0.25">
      <c r="A37" s="59"/>
      <c r="B37" s="66" t="s">
        <v>118</v>
      </c>
      <c r="C37" s="17" t="s">
        <v>6</v>
      </c>
      <c r="D37" s="9">
        <v>10000</v>
      </c>
      <c r="E37" s="9">
        <v>1250</v>
      </c>
      <c r="F37" s="9">
        <v>9000</v>
      </c>
      <c r="G37" s="9">
        <v>9000</v>
      </c>
      <c r="H37" s="9">
        <v>16000</v>
      </c>
      <c r="I37" s="9">
        <v>9000</v>
      </c>
      <c r="J37" s="72">
        <v>3000</v>
      </c>
      <c r="K37" s="67">
        <f t="shared" si="0"/>
        <v>8178.5714285714284</v>
      </c>
      <c r="M37" s="4"/>
      <c r="N37" s="4"/>
    </row>
    <row r="38" spans="1:14" ht="15.75" x14ac:dyDescent="0.25">
      <c r="A38" s="59"/>
      <c r="B38" s="66" t="s">
        <v>119</v>
      </c>
      <c r="C38" s="17" t="s">
        <v>6</v>
      </c>
      <c r="D38" s="9" t="s">
        <v>99</v>
      </c>
      <c r="E38" s="9">
        <v>10000</v>
      </c>
      <c r="F38" s="9">
        <v>12000</v>
      </c>
      <c r="G38" s="9">
        <v>14000</v>
      </c>
      <c r="H38" s="9" t="s">
        <v>99</v>
      </c>
      <c r="I38" s="9">
        <v>12000</v>
      </c>
      <c r="J38" s="72">
        <v>12000</v>
      </c>
      <c r="K38" s="67">
        <f>AVERAGE(D38:J38)</f>
        <v>12000</v>
      </c>
      <c r="M38" s="4"/>
      <c r="N38" s="4"/>
    </row>
    <row r="39" spans="1:14" ht="15.75" x14ac:dyDescent="0.25">
      <c r="A39" s="59">
        <v>9</v>
      </c>
      <c r="B39" s="82" t="s">
        <v>120</v>
      </c>
      <c r="C39" s="83"/>
      <c r="D39" s="9"/>
      <c r="E39" s="9"/>
      <c r="F39" s="9"/>
      <c r="G39" s="9"/>
      <c r="H39" s="9"/>
      <c r="I39" s="9"/>
      <c r="J39" s="72"/>
      <c r="K39" s="81"/>
      <c r="M39" s="4"/>
      <c r="N39" s="4"/>
    </row>
    <row r="40" spans="1:14" ht="15.75" x14ac:dyDescent="0.25">
      <c r="A40" s="59"/>
      <c r="B40" s="66" t="s">
        <v>121</v>
      </c>
      <c r="C40" s="17" t="s">
        <v>6</v>
      </c>
      <c r="D40" s="9" t="s">
        <v>99</v>
      </c>
      <c r="E40" s="9" t="s">
        <v>99</v>
      </c>
      <c r="F40" s="9" t="s">
        <v>99</v>
      </c>
      <c r="G40" s="9">
        <v>16000</v>
      </c>
      <c r="H40" s="9">
        <v>14000</v>
      </c>
      <c r="I40" s="9" t="s">
        <v>99</v>
      </c>
      <c r="J40" s="72">
        <v>15000</v>
      </c>
      <c r="K40" s="67">
        <f t="shared" si="0"/>
        <v>15000</v>
      </c>
      <c r="M40" s="4"/>
      <c r="N40" s="4"/>
    </row>
    <row r="41" spans="1:14" ht="15.75" x14ac:dyDescent="0.25">
      <c r="A41" s="59"/>
      <c r="B41" s="66" t="s">
        <v>122</v>
      </c>
      <c r="C41" s="17" t="s">
        <v>6</v>
      </c>
      <c r="D41" s="9" t="s">
        <v>99</v>
      </c>
      <c r="E41" s="9" t="s">
        <v>99</v>
      </c>
      <c r="F41" s="9">
        <v>6000</v>
      </c>
      <c r="G41" s="9" t="s">
        <v>99</v>
      </c>
      <c r="H41" s="9" t="s">
        <v>99</v>
      </c>
      <c r="I41" s="9">
        <v>6000</v>
      </c>
      <c r="J41" s="72" t="s">
        <v>99</v>
      </c>
      <c r="K41" s="67">
        <f t="shared" si="0"/>
        <v>6000</v>
      </c>
      <c r="M41" s="4"/>
      <c r="N41" s="4"/>
    </row>
    <row r="42" spans="1:14" ht="15.75" x14ac:dyDescent="0.25">
      <c r="A42" s="59"/>
      <c r="B42" s="66" t="s">
        <v>123</v>
      </c>
      <c r="C42" s="17" t="s">
        <v>6</v>
      </c>
      <c r="D42" s="9" t="s">
        <v>99</v>
      </c>
      <c r="E42" s="9">
        <v>2500</v>
      </c>
      <c r="F42" s="9" t="s">
        <v>99</v>
      </c>
      <c r="G42" s="9" t="s">
        <v>99</v>
      </c>
      <c r="H42" s="9" t="s">
        <v>99</v>
      </c>
      <c r="I42" s="9" t="s">
        <v>99</v>
      </c>
      <c r="J42" s="72" t="s">
        <v>99</v>
      </c>
      <c r="K42" s="67">
        <f t="shared" si="0"/>
        <v>2500</v>
      </c>
      <c r="M42" s="4"/>
      <c r="N42" s="4"/>
    </row>
    <row r="43" spans="1:14" ht="15.75" x14ac:dyDescent="0.25">
      <c r="A43" s="101">
        <v>10</v>
      </c>
      <c r="B43" s="60" t="s">
        <v>34</v>
      </c>
      <c r="C43" s="73"/>
      <c r="D43" s="74"/>
      <c r="E43" s="17"/>
      <c r="F43" s="76"/>
      <c r="G43" s="15"/>
      <c r="H43" s="15"/>
      <c r="I43" s="15"/>
      <c r="J43" s="84"/>
      <c r="K43" s="71"/>
      <c r="M43" s="4"/>
      <c r="N43" s="4"/>
    </row>
    <row r="44" spans="1:14" ht="15.75" x14ac:dyDescent="0.25">
      <c r="A44" s="101"/>
      <c r="B44" s="66" t="s">
        <v>35</v>
      </c>
      <c r="C44" s="17" t="s">
        <v>36</v>
      </c>
      <c r="D44" s="9">
        <v>12000</v>
      </c>
      <c r="E44" s="9">
        <v>12000</v>
      </c>
      <c r="F44" s="9">
        <v>12500</v>
      </c>
      <c r="G44" s="9">
        <v>12500</v>
      </c>
      <c r="H44" s="10" t="s">
        <v>99</v>
      </c>
      <c r="I44" s="16">
        <v>12500</v>
      </c>
      <c r="J44" s="72">
        <v>12500</v>
      </c>
      <c r="K44" s="67">
        <f t="shared" si="0"/>
        <v>12333.333333333334</v>
      </c>
      <c r="M44" s="4"/>
      <c r="N44" s="4"/>
    </row>
    <row r="45" spans="1:14" ht="15.75" x14ac:dyDescent="0.25">
      <c r="A45" s="101"/>
      <c r="B45" s="66" t="s">
        <v>124</v>
      </c>
      <c r="C45" s="17" t="s">
        <v>36</v>
      </c>
      <c r="D45" s="9">
        <v>12000</v>
      </c>
      <c r="E45" s="9">
        <v>13000</v>
      </c>
      <c r="F45" s="16">
        <v>12500</v>
      </c>
      <c r="G45" s="9">
        <v>12500</v>
      </c>
      <c r="H45" s="10" t="s">
        <v>99</v>
      </c>
      <c r="I45" s="16">
        <v>12500</v>
      </c>
      <c r="J45" s="79">
        <v>12500</v>
      </c>
      <c r="K45" s="67">
        <f>AVERAGE(D45:J45)</f>
        <v>12500</v>
      </c>
      <c r="M45" s="4"/>
      <c r="N45" s="4"/>
    </row>
    <row r="46" spans="1:14" ht="15.75" x14ac:dyDescent="0.25">
      <c r="A46" s="101">
        <v>11</v>
      </c>
      <c r="B46" s="60" t="s">
        <v>38</v>
      </c>
      <c r="C46" s="73"/>
      <c r="D46" s="74"/>
      <c r="E46" s="17"/>
      <c r="F46" s="15"/>
      <c r="G46" s="76"/>
      <c r="H46" s="15"/>
      <c r="I46" s="15"/>
      <c r="J46" s="75"/>
      <c r="K46" s="71"/>
      <c r="M46" s="4"/>
      <c r="N46" s="4"/>
    </row>
    <row r="47" spans="1:14" ht="15.75" x14ac:dyDescent="0.25">
      <c r="A47" s="101"/>
      <c r="B47" s="66" t="s">
        <v>39</v>
      </c>
      <c r="C47" s="17" t="s">
        <v>40</v>
      </c>
      <c r="D47" s="9" t="s">
        <v>99</v>
      </c>
      <c r="E47" s="9" t="s">
        <v>99</v>
      </c>
      <c r="F47" s="10" t="s">
        <v>99</v>
      </c>
      <c r="G47" s="8" t="s">
        <v>99</v>
      </c>
      <c r="H47" s="9">
        <v>17500</v>
      </c>
      <c r="I47" s="16" t="s">
        <v>99</v>
      </c>
      <c r="J47" s="79" t="s">
        <v>99</v>
      </c>
      <c r="K47" s="67">
        <f t="shared" si="0"/>
        <v>17500</v>
      </c>
      <c r="M47" s="4"/>
      <c r="N47" s="4"/>
    </row>
    <row r="48" spans="1:14" ht="15.75" x14ac:dyDescent="0.25">
      <c r="A48" s="101"/>
      <c r="B48" s="66" t="s">
        <v>41</v>
      </c>
      <c r="C48" s="17" t="s">
        <v>42</v>
      </c>
      <c r="D48" s="9" t="s">
        <v>99</v>
      </c>
      <c r="E48" s="9" t="s">
        <v>99</v>
      </c>
      <c r="F48" s="10" t="s">
        <v>99</v>
      </c>
      <c r="G48" s="8" t="s">
        <v>99</v>
      </c>
      <c r="H48" s="9">
        <v>2000</v>
      </c>
      <c r="I48" s="16" t="s">
        <v>99</v>
      </c>
      <c r="J48" s="79" t="s">
        <v>99</v>
      </c>
      <c r="K48" s="67">
        <f t="shared" si="0"/>
        <v>2000</v>
      </c>
      <c r="M48" s="4"/>
      <c r="N48" s="4"/>
    </row>
    <row r="49" spans="1:14" ht="15.75" x14ac:dyDescent="0.25">
      <c r="A49" s="59">
        <v>12</v>
      </c>
      <c r="B49" s="85" t="s">
        <v>43</v>
      </c>
      <c r="C49" s="80"/>
      <c r="D49" s="19"/>
      <c r="E49" s="10"/>
      <c r="F49" s="10"/>
      <c r="G49" s="22"/>
      <c r="H49" s="10"/>
      <c r="I49" s="10"/>
      <c r="J49" s="77"/>
      <c r="K49" s="71"/>
      <c r="M49" s="4"/>
      <c r="N49" s="4"/>
    </row>
    <row r="50" spans="1:14" ht="15.75" x14ac:dyDescent="0.25">
      <c r="A50" s="59"/>
      <c r="B50" s="66" t="s">
        <v>44</v>
      </c>
      <c r="C50" s="86" t="s">
        <v>6</v>
      </c>
      <c r="D50" s="9" t="s">
        <v>99</v>
      </c>
      <c r="E50" s="9">
        <v>8000</v>
      </c>
      <c r="F50" s="9">
        <v>10000</v>
      </c>
      <c r="G50" s="9">
        <v>10000</v>
      </c>
      <c r="H50" s="9">
        <v>15000</v>
      </c>
      <c r="I50" s="8">
        <v>15000</v>
      </c>
      <c r="J50" s="72">
        <v>15000</v>
      </c>
      <c r="K50" s="67">
        <f t="shared" si="0"/>
        <v>12166.666666666666</v>
      </c>
      <c r="M50" s="4" t="s">
        <v>101</v>
      </c>
      <c r="N50" s="4"/>
    </row>
    <row r="51" spans="1:14" ht="15.75" x14ac:dyDescent="0.25">
      <c r="A51" s="59"/>
      <c r="B51" s="66" t="s">
        <v>45</v>
      </c>
      <c r="C51" s="86" t="s">
        <v>6</v>
      </c>
      <c r="D51" s="9">
        <v>15000</v>
      </c>
      <c r="E51" s="9">
        <v>10000</v>
      </c>
      <c r="F51" s="8">
        <v>9000</v>
      </c>
      <c r="G51" s="9">
        <v>10000</v>
      </c>
      <c r="H51" s="9">
        <v>12000</v>
      </c>
      <c r="I51" s="9">
        <v>13000</v>
      </c>
      <c r="J51" s="72">
        <v>10000</v>
      </c>
      <c r="K51" s="67">
        <f t="shared" si="0"/>
        <v>11285.714285714286</v>
      </c>
      <c r="M51" s="4"/>
      <c r="N51" s="23"/>
    </row>
    <row r="52" spans="1:14" ht="15.75" x14ac:dyDescent="0.25">
      <c r="A52" s="101">
        <v>13</v>
      </c>
      <c r="B52" s="60" t="s">
        <v>46</v>
      </c>
      <c r="C52" s="73"/>
      <c r="D52" s="74"/>
      <c r="E52" s="17"/>
      <c r="F52" s="76"/>
      <c r="G52" s="76"/>
      <c r="H52" s="15"/>
      <c r="I52" s="15"/>
      <c r="J52" s="84"/>
      <c r="K52" s="71"/>
      <c r="M52" s="4"/>
      <c r="N52" s="4"/>
    </row>
    <row r="53" spans="1:14" ht="15.75" x14ac:dyDescent="0.25">
      <c r="A53" s="101"/>
      <c r="B53" s="66" t="s">
        <v>47</v>
      </c>
      <c r="C53" s="17" t="s">
        <v>125</v>
      </c>
      <c r="D53" s="9">
        <v>3000</v>
      </c>
      <c r="E53" s="9">
        <v>4000</v>
      </c>
      <c r="F53" s="9">
        <v>5000</v>
      </c>
      <c r="G53" s="9">
        <v>5000</v>
      </c>
      <c r="H53" s="9">
        <v>2500</v>
      </c>
      <c r="I53" s="16">
        <v>5000</v>
      </c>
      <c r="J53" s="72">
        <v>2500</v>
      </c>
      <c r="K53" s="67">
        <f t="shared" si="0"/>
        <v>3857.1428571428573</v>
      </c>
      <c r="M53" s="4"/>
      <c r="N53" s="4"/>
    </row>
    <row r="54" spans="1:14" ht="15.75" x14ac:dyDescent="0.25">
      <c r="A54" s="101">
        <v>14</v>
      </c>
      <c r="B54" s="60" t="s">
        <v>49</v>
      </c>
      <c r="C54" s="80"/>
      <c r="D54" s="62"/>
      <c r="E54" s="17"/>
      <c r="F54" s="20"/>
      <c r="G54" s="20"/>
      <c r="H54" s="17"/>
      <c r="I54" s="17"/>
      <c r="J54" s="87"/>
      <c r="K54" s="71"/>
      <c r="M54" s="4"/>
      <c r="N54" s="4"/>
    </row>
    <row r="55" spans="1:14" ht="15.75" x14ac:dyDescent="0.25">
      <c r="A55" s="101"/>
      <c r="B55" s="88" t="s">
        <v>50</v>
      </c>
      <c r="C55" s="86" t="s">
        <v>6</v>
      </c>
      <c r="D55" s="9">
        <v>10000</v>
      </c>
      <c r="E55" s="9">
        <v>10500</v>
      </c>
      <c r="F55" s="9">
        <v>10000</v>
      </c>
      <c r="G55" s="9">
        <v>11000</v>
      </c>
      <c r="H55" s="9">
        <v>12000</v>
      </c>
      <c r="I55" s="9">
        <v>10000</v>
      </c>
      <c r="J55" s="72">
        <v>10000</v>
      </c>
      <c r="K55" s="67">
        <f t="shared" si="0"/>
        <v>10500</v>
      </c>
      <c r="M55" s="4"/>
      <c r="N55" s="4"/>
    </row>
    <row r="56" spans="1:14" ht="15.75" x14ac:dyDescent="0.25">
      <c r="A56" s="101">
        <v>15</v>
      </c>
      <c r="B56" s="60" t="s">
        <v>51</v>
      </c>
      <c r="C56" s="73"/>
      <c r="D56" s="74"/>
      <c r="E56" s="17"/>
      <c r="F56" s="76"/>
      <c r="G56" s="15"/>
      <c r="H56" s="15"/>
      <c r="I56" s="15"/>
      <c r="J56" s="84"/>
      <c r="K56" s="71"/>
      <c r="M56" s="4"/>
      <c r="N56" s="4"/>
    </row>
    <row r="57" spans="1:14" ht="15.75" x14ac:dyDescent="0.25">
      <c r="A57" s="101"/>
      <c r="B57" s="66" t="s">
        <v>52</v>
      </c>
      <c r="C57" s="17" t="s">
        <v>6</v>
      </c>
      <c r="D57" s="9">
        <v>16000</v>
      </c>
      <c r="E57" s="9">
        <v>13000</v>
      </c>
      <c r="F57" s="9">
        <v>14000</v>
      </c>
      <c r="G57" s="9">
        <v>14000</v>
      </c>
      <c r="H57" s="9">
        <v>11500</v>
      </c>
      <c r="I57" s="9">
        <v>17000</v>
      </c>
      <c r="J57" s="72" t="s">
        <v>99</v>
      </c>
      <c r="K57" s="67">
        <f t="shared" si="0"/>
        <v>14250</v>
      </c>
      <c r="M57" s="4"/>
      <c r="N57" s="4"/>
    </row>
    <row r="58" spans="1:14" ht="15.75" x14ac:dyDescent="0.25">
      <c r="A58" s="101"/>
      <c r="B58" s="66" t="s">
        <v>53</v>
      </c>
      <c r="C58" s="17" t="s">
        <v>6</v>
      </c>
      <c r="D58" s="9" t="s">
        <v>99</v>
      </c>
      <c r="E58" s="9" t="s">
        <v>99</v>
      </c>
      <c r="F58" s="16">
        <v>15000</v>
      </c>
      <c r="G58" s="22" t="s">
        <v>99</v>
      </c>
      <c r="H58" s="9">
        <v>13000</v>
      </c>
      <c r="I58" s="8">
        <v>15000</v>
      </c>
      <c r="J58" s="72">
        <v>14000</v>
      </c>
      <c r="K58" s="67">
        <f t="shared" si="0"/>
        <v>14250</v>
      </c>
      <c r="M58" s="4"/>
      <c r="N58" s="4"/>
    </row>
    <row r="59" spans="1:14" ht="15.75" x14ac:dyDescent="0.25">
      <c r="A59" s="101"/>
      <c r="B59" s="66" t="s">
        <v>54</v>
      </c>
      <c r="C59" s="17" t="s">
        <v>6</v>
      </c>
      <c r="D59" s="9">
        <v>22000</v>
      </c>
      <c r="E59" s="9">
        <v>23000</v>
      </c>
      <c r="F59" s="9">
        <v>23000</v>
      </c>
      <c r="G59" s="9">
        <v>23000</v>
      </c>
      <c r="H59" s="9">
        <v>20000</v>
      </c>
      <c r="I59" s="9">
        <v>23000</v>
      </c>
      <c r="J59" s="72">
        <v>24000</v>
      </c>
      <c r="K59" s="67">
        <f t="shared" si="0"/>
        <v>22571.428571428572</v>
      </c>
      <c r="M59" s="4"/>
      <c r="N59" s="4"/>
    </row>
    <row r="60" spans="1:14" ht="15.75" x14ac:dyDescent="0.25">
      <c r="A60" s="101"/>
      <c r="B60" s="66" t="s">
        <v>55</v>
      </c>
      <c r="C60" s="17" t="s">
        <v>6</v>
      </c>
      <c r="D60" s="9">
        <v>30000</v>
      </c>
      <c r="E60" s="9">
        <v>30000</v>
      </c>
      <c r="F60" s="9">
        <v>28000</v>
      </c>
      <c r="G60" s="9">
        <v>30000</v>
      </c>
      <c r="H60" s="9">
        <v>27000</v>
      </c>
      <c r="I60" s="9">
        <v>28000</v>
      </c>
      <c r="J60" s="72">
        <v>28000</v>
      </c>
      <c r="K60" s="67">
        <f t="shared" si="0"/>
        <v>28714.285714285714</v>
      </c>
      <c r="M60" s="4"/>
      <c r="N60" s="4"/>
    </row>
    <row r="61" spans="1:14" ht="15.75" x14ac:dyDescent="0.25">
      <c r="A61" s="17">
        <v>16</v>
      </c>
      <c r="B61" s="60" t="s">
        <v>56</v>
      </c>
      <c r="C61" s="80"/>
      <c r="D61" s="89"/>
      <c r="E61" s="10"/>
      <c r="F61" s="22"/>
      <c r="G61" s="10"/>
      <c r="H61" s="10"/>
      <c r="I61" s="10"/>
      <c r="J61" s="90"/>
      <c r="K61" s="71"/>
      <c r="M61" s="4"/>
      <c r="N61" s="4"/>
    </row>
    <row r="62" spans="1:14" ht="15.75" x14ac:dyDescent="0.25">
      <c r="A62" s="17"/>
      <c r="B62" s="66" t="s">
        <v>57</v>
      </c>
      <c r="C62" s="86" t="s">
        <v>58</v>
      </c>
      <c r="D62" s="9">
        <v>3000</v>
      </c>
      <c r="E62" s="9">
        <v>3200</v>
      </c>
      <c r="F62" s="9">
        <v>3000</v>
      </c>
      <c r="G62" s="9">
        <v>3000</v>
      </c>
      <c r="H62" s="10" t="s">
        <v>99</v>
      </c>
      <c r="I62" s="16">
        <v>3000</v>
      </c>
      <c r="J62" s="72">
        <v>3500</v>
      </c>
      <c r="K62" s="67">
        <f t="shared" si="0"/>
        <v>3116.6666666666665</v>
      </c>
      <c r="M62" s="4"/>
      <c r="N62" s="4"/>
    </row>
    <row r="63" spans="1:14" ht="15.75" x14ac:dyDescent="0.25">
      <c r="A63" s="101">
        <v>17</v>
      </c>
      <c r="B63" s="60" t="s">
        <v>59</v>
      </c>
      <c r="C63" s="73"/>
      <c r="D63" s="74"/>
      <c r="E63" s="17"/>
      <c r="F63" s="76"/>
      <c r="G63" s="76"/>
      <c r="H63" s="15"/>
      <c r="I63" s="15"/>
      <c r="J63" s="84"/>
      <c r="K63" s="71"/>
      <c r="M63" s="4"/>
      <c r="N63" s="4"/>
    </row>
    <row r="64" spans="1:14" ht="15.75" x14ac:dyDescent="0.25">
      <c r="A64" s="101"/>
      <c r="B64" s="66" t="s">
        <v>60</v>
      </c>
      <c r="C64" s="17" t="s">
        <v>6</v>
      </c>
      <c r="D64" s="9">
        <v>70000</v>
      </c>
      <c r="E64" s="9">
        <v>65000</v>
      </c>
      <c r="F64" s="9">
        <v>62000</v>
      </c>
      <c r="G64" s="9">
        <v>60000</v>
      </c>
      <c r="H64" s="9">
        <v>60000</v>
      </c>
      <c r="I64" s="9">
        <v>70000</v>
      </c>
      <c r="J64" s="72">
        <v>65000</v>
      </c>
      <c r="K64" s="67">
        <f t="shared" si="0"/>
        <v>64571.428571428572</v>
      </c>
      <c r="M64" s="4"/>
      <c r="N64" s="4"/>
    </row>
    <row r="65" spans="1:14" ht="15.75" x14ac:dyDescent="0.25">
      <c r="A65" s="101"/>
      <c r="B65" s="66" t="s">
        <v>61</v>
      </c>
      <c r="C65" s="17" t="s">
        <v>6</v>
      </c>
      <c r="D65" s="9">
        <v>70000</v>
      </c>
      <c r="E65" s="9">
        <v>48000</v>
      </c>
      <c r="F65" s="9">
        <v>47000</v>
      </c>
      <c r="G65" s="9">
        <v>50000</v>
      </c>
      <c r="H65" s="9">
        <v>55000</v>
      </c>
      <c r="I65" s="8">
        <v>57000</v>
      </c>
      <c r="J65" s="72">
        <v>65000</v>
      </c>
      <c r="K65" s="67">
        <f t="shared" si="0"/>
        <v>56000</v>
      </c>
      <c r="M65" s="4"/>
      <c r="N65" s="4"/>
    </row>
    <row r="66" spans="1:14" ht="15.75" x14ac:dyDescent="0.25">
      <c r="A66" s="101"/>
      <c r="B66" s="66" t="s">
        <v>62</v>
      </c>
      <c r="C66" s="17" t="s">
        <v>6</v>
      </c>
      <c r="D66" s="9">
        <v>34000</v>
      </c>
      <c r="E66" s="9">
        <v>30000</v>
      </c>
      <c r="F66" s="9">
        <v>37000</v>
      </c>
      <c r="G66" s="9">
        <v>30000</v>
      </c>
      <c r="H66" s="9">
        <v>36000</v>
      </c>
      <c r="I66" s="9">
        <v>30000</v>
      </c>
      <c r="J66" s="72">
        <v>36000</v>
      </c>
      <c r="K66" s="67">
        <f t="shared" si="0"/>
        <v>33285.714285714283</v>
      </c>
      <c r="M66" s="4"/>
      <c r="N66" s="4"/>
    </row>
    <row r="67" spans="1:14" ht="15.75" x14ac:dyDescent="0.25">
      <c r="A67" s="17">
        <v>18</v>
      </c>
      <c r="B67" s="60" t="s">
        <v>63</v>
      </c>
      <c r="C67" s="80"/>
      <c r="D67" s="24"/>
      <c r="E67" s="10"/>
      <c r="F67" s="22"/>
      <c r="G67" s="10"/>
      <c r="H67" s="10" t="s">
        <v>1</v>
      </c>
      <c r="I67" s="10"/>
      <c r="J67" s="77"/>
      <c r="K67" s="71"/>
      <c r="M67" s="4"/>
      <c r="N67" s="4"/>
    </row>
    <row r="68" spans="1:14" ht="15.75" x14ac:dyDescent="0.25">
      <c r="A68" s="17"/>
      <c r="B68" s="66" t="s">
        <v>64</v>
      </c>
      <c r="C68" s="17" t="s">
        <v>65</v>
      </c>
      <c r="D68" s="9">
        <v>20000</v>
      </c>
      <c r="E68" s="9">
        <v>18000</v>
      </c>
      <c r="F68" s="9">
        <v>18000</v>
      </c>
      <c r="G68" s="9">
        <v>18000</v>
      </c>
      <c r="H68" s="10" t="s">
        <v>99</v>
      </c>
      <c r="I68" s="9">
        <v>18000</v>
      </c>
      <c r="J68" s="79">
        <v>18000</v>
      </c>
      <c r="K68" s="67">
        <f t="shared" si="0"/>
        <v>18333.333333333332</v>
      </c>
      <c r="M68" s="4"/>
      <c r="N68" s="4"/>
    </row>
    <row r="69" spans="1:14" ht="15.75" x14ac:dyDescent="0.25">
      <c r="A69" s="101">
        <v>19</v>
      </c>
      <c r="B69" s="60" t="s">
        <v>66</v>
      </c>
      <c r="C69" s="60"/>
      <c r="D69" s="74"/>
      <c r="E69" s="17"/>
      <c r="F69" s="15"/>
      <c r="G69" s="15"/>
      <c r="H69" s="15"/>
      <c r="I69" s="15"/>
      <c r="J69" s="75"/>
      <c r="K69" s="71"/>
      <c r="M69" s="4"/>
      <c r="N69" s="4"/>
    </row>
    <row r="70" spans="1:14" ht="15.75" x14ac:dyDescent="0.25">
      <c r="A70" s="101"/>
      <c r="B70" s="66" t="s">
        <v>67</v>
      </c>
      <c r="C70" s="17" t="s">
        <v>6</v>
      </c>
      <c r="D70" s="9">
        <v>36000</v>
      </c>
      <c r="E70" s="9">
        <v>35000</v>
      </c>
      <c r="F70" s="9">
        <v>36000</v>
      </c>
      <c r="G70" s="9">
        <v>35000</v>
      </c>
      <c r="H70" s="9">
        <v>36000</v>
      </c>
      <c r="I70" s="9">
        <v>40000</v>
      </c>
      <c r="J70" s="72">
        <v>37000</v>
      </c>
      <c r="K70" s="67">
        <f t="shared" si="0"/>
        <v>36428.571428571428</v>
      </c>
      <c r="M70" s="4"/>
      <c r="N70" s="4"/>
    </row>
    <row r="71" spans="1:14" ht="15.75" x14ac:dyDescent="0.25">
      <c r="A71" s="101"/>
      <c r="B71" s="66" t="s">
        <v>68</v>
      </c>
      <c r="C71" s="17" t="s">
        <v>6</v>
      </c>
      <c r="D71" s="9">
        <v>34000</v>
      </c>
      <c r="E71" s="9">
        <v>32000</v>
      </c>
      <c r="F71" s="9">
        <v>34000</v>
      </c>
      <c r="G71" s="9">
        <v>32000</v>
      </c>
      <c r="H71" s="9">
        <v>32000</v>
      </c>
      <c r="I71" s="9">
        <v>35000</v>
      </c>
      <c r="J71" s="72">
        <v>30000</v>
      </c>
      <c r="K71" s="67">
        <f t="shared" si="0"/>
        <v>32714.285714285714</v>
      </c>
      <c r="M71" s="4"/>
      <c r="N71" s="4"/>
    </row>
    <row r="72" spans="1:14" ht="15.75" x14ac:dyDescent="0.25">
      <c r="A72" s="101"/>
      <c r="B72" s="66" t="s">
        <v>69</v>
      </c>
      <c r="C72" s="17" t="s">
        <v>6</v>
      </c>
      <c r="D72" s="9">
        <v>26000</v>
      </c>
      <c r="E72" s="9">
        <v>28000</v>
      </c>
      <c r="F72" s="9">
        <v>24000</v>
      </c>
      <c r="G72" s="9">
        <v>28000</v>
      </c>
      <c r="H72" s="9">
        <v>22000</v>
      </c>
      <c r="I72" s="9">
        <v>25000</v>
      </c>
      <c r="J72" s="72">
        <v>20000</v>
      </c>
      <c r="K72" s="67">
        <f t="shared" si="0"/>
        <v>24714.285714285714</v>
      </c>
      <c r="M72" s="4"/>
      <c r="N72" s="4"/>
    </row>
    <row r="73" spans="1:14" ht="15.75" x14ac:dyDescent="0.25">
      <c r="A73" s="101"/>
      <c r="B73" s="66" t="s">
        <v>70</v>
      </c>
      <c r="C73" s="17" t="s">
        <v>6</v>
      </c>
      <c r="D73" s="9">
        <v>28000</v>
      </c>
      <c r="E73" s="9">
        <v>25000</v>
      </c>
      <c r="F73" s="16">
        <v>28000</v>
      </c>
      <c r="G73" s="8">
        <v>30000</v>
      </c>
      <c r="H73" s="9">
        <v>25000</v>
      </c>
      <c r="I73" s="9">
        <v>25000</v>
      </c>
      <c r="J73" s="72" t="s">
        <v>99</v>
      </c>
      <c r="K73" s="67">
        <f t="shared" si="0"/>
        <v>26833.333333333332</v>
      </c>
      <c r="M73" s="4"/>
      <c r="N73" s="4"/>
    </row>
    <row r="74" spans="1:14" ht="15.75" x14ac:dyDescent="0.25">
      <c r="A74" s="17">
        <v>20</v>
      </c>
      <c r="B74" s="60" t="s">
        <v>71</v>
      </c>
      <c r="C74" s="91"/>
      <c r="D74" s="24"/>
      <c r="E74" s="10"/>
      <c r="F74" s="10"/>
      <c r="G74" s="89"/>
      <c r="H74" s="10"/>
      <c r="I74" s="10"/>
      <c r="J74" s="90"/>
      <c r="K74" s="71"/>
      <c r="M74" s="4"/>
      <c r="N74" s="4"/>
    </row>
    <row r="75" spans="1:14" ht="15.75" x14ac:dyDescent="0.25">
      <c r="A75" s="17"/>
      <c r="B75" s="66" t="s">
        <v>72</v>
      </c>
      <c r="C75" s="86" t="s">
        <v>6</v>
      </c>
      <c r="D75" s="9">
        <v>7000</v>
      </c>
      <c r="E75" s="9">
        <v>7000</v>
      </c>
      <c r="F75" s="9">
        <v>5000</v>
      </c>
      <c r="G75" s="9">
        <v>6000</v>
      </c>
      <c r="H75" s="9">
        <v>5000</v>
      </c>
      <c r="I75" s="9">
        <v>5000</v>
      </c>
      <c r="J75" s="72">
        <v>5000</v>
      </c>
      <c r="K75" s="67">
        <f t="shared" si="0"/>
        <v>5714.2857142857147</v>
      </c>
      <c r="M75" s="4"/>
      <c r="N75" s="4"/>
    </row>
    <row r="76" spans="1:14" ht="15.75" x14ac:dyDescent="0.25">
      <c r="A76" s="17"/>
      <c r="B76" s="66" t="s">
        <v>73</v>
      </c>
      <c r="C76" s="86" t="s">
        <v>6</v>
      </c>
      <c r="D76" s="9">
        <v>7000</v>
      </c>
      <c r="E76" s="9">
        <v>6000</v>
      </c>
      <c r="F76" s="16">
        <v>6000</v>
      </c>
      <c r="G76" s="8">
        <v>6000</v>
      </c>
      <c r="H76" s="9">
        <v>5000</v>
      </c>
      <c r="I76" s="9">
        <v>6000</v>
      </c>
      <c r="J76" s="79">
        <v>6000</v>
      </c>
      <c r="K76" s="67">
        <f t="shared" si="0"/>
        <v>6000</v>
      </c>
      <c r="M76" s="4"/>
      <c r="N76" s="4"/>
    </row>
    <row r="77" spans="1:14" ht="15.75" x14ac:dyDescent="0.25">
      <c r="A77" s="17">
        <v>21</v>
      </c>
      <c r="B77" s="60" t="s">
        <v>74</v>
      </c>
      <c r="C77" s="91"/>
      <c r="D77" s="19"/>
      <c r="E77" s="10"/>
      <c r="F77" s="10"/>
      <c r="G77" s="22"/>
      <c r="H77" s="10"/>
      <c r="I77" s="10"/>
      <c r="J77" s="77"/>
      <c r="K77" s="71"/>
      <c r="M77" s="4"/>
      <c r="N77" s="4"/>
    </row>
    <row r="78" spans="1:14" ht="15.75" x14ac:dyDescent="0.25">
      <c r="A78" s="17"/>
      <c r="B78" s="66" t="s">
        <v>75</v>
      </c>
      <c r="C78" s="86" t="s">
        <v>6</v>
      </c>
      <c r="D78" s="9">
        <v>8000</v>
      </c>
      <c r="E78" s="9">
        <v>8000</v>
      </c>
      <c r="F78" s="9">
        <v>10000</v>
      </c>
      <c r="G78" s="9">
        <v>8000</v>
      </c>
      <c r="H78" s="9">
        <v>6000</v>
      </c>
      <c r="I78" s="16">
        <v>9000</v>
      </c>
      <c r="J78" s="72" t="s">
        <v>99</v>
      </c>
      <c r="K78" s="67">
        <f t="shared" si="0"/>
        <v>8166.666666666667</v>
      </c>
      <c r="M78" s="4"/>
      <c r="N78" s="4"/>
    </row>
    <row r="79" spans="1:14" ht="15.75" x14ac:dyDescent="0.25">
      <c r="A79" s="17"/>
      <c r="B79" s="66" t="s">
        <v>76</v>
      </c>
      <c r="C79" s="86" t="s">
        <v>6</v>
      </c>
      <c r="D79" s="9">
        <v>8000</v>
      </c>
      <c r="E79" s="9">
        <v>10000</v>
      </c>
      <c r="F79" s="9">
        <v>20000</v>
      </c>
      <c r="G79" s="9">
        <v>14000</v>
      </c>
      <c r="H79" s="9">
        <v>6000</v>
      </c>
      <c r="I79" s="16">
        <v>12000</v>
      </c>
      <c r="J79" s="72">
        <v>15000</v>
      </c>
      <c r="K79" s="67">
        <f t="shared" si="0"/>
        <v>12142.857142857143</v>
      </c>
      <c r="M79" s="4"/>
      <c r="N79" s="4"/>
    </row>
    <row r="80" spans="1:14" ht="15.75" x14ac:dyDescent="0.25">
      <c r="A80" s="17"/>
      <c r="B80" s="66" t="s">
        <v>77</v>
      </c>
      <c r="C80" s="86" t="s">
        <v>6</v>
      </c>
      <c r="D80" s="9">
        <v>18000</v>
      </c>
      <c r="E80" s="9">
        <v>16000</v>
      </c>
      <c r="F80" s="9">
        <v>17000</v>
      </c>
      <c r="G80" s="9">
        <v>15000</v>
      </c>
      <c r="H80" s="9">
        <v>15000</v>
      </c>
      <c r="I80" s="9">
        <v>20000</v>
      </c>
      <c r="J80" s="72">
        <v>18000</v>
      </c>
      <c r="K80" s="67">
        <f t="shared" si="0"/>
        <v>17000</v>
      </c>
      <c r="M80" s="4"/>
      <c r="N80" s="4"/>
    </row>
    <row r="81" spans="1:14" ht="15.75" x14ac:dyDescent="0.25">
      <c r="A81" s="17"/>
      <c r="B81" s="66" t="s">
        <v>78</v>
      </c>
      <c r="C81" s="86" t="s">
        <v>6</v>
      </c>
      <c r="D81" s="9">
        <v>22000</v>
      </c>
      <c r="E81" s="9">
        <v>15000</v>
      </c>
      <c r="F81" s="9">
        <v>10000</v>
      </c>
      <c r="G81" s="9">
        <v>10000</v>
      </c>
      <c r="H81" s="9">
        <v>20000</v>
      </c>
      <c r="I81" s="8">
        <v>25000</v>
      </c>
      <c r="J81" s="72">
        <v>20000</v>
      </c>
      <c r="K81" s="67">
        <f t="shared" ref="K81:K88" si="1">AVERAGE(D81:J81)</f>
        <v>17428.571428571428</v>
      </c>
      <c r="M81" s="4"/>
      <c r="N81" s="4"/>
    </row>
    <row r="82" spans="1:14" ht="15.75" x14ac:dyDescent="0.25">
      <c r="A82" s="17"/>
      <c r="B82" s="66" t="s">
        <v>79</v>
      </c>
      <c r="C82" s="86" t="s">
        <v>6</v>
      </c>
      <c r="D82" s="9">
        <v>14000</v>
      </c>
      <c r="E82" s="9">
        <v>12000</v>
      </c>
      <c r="F82" s="9">
        <v>14000</v>
      </c>
      <c r="G82" s="9">
        <v>12000</v>
      </c>
      <c r="H82" s="9">
        <v>10000</v>
      </c>
      <c r="I82" s="9">
        <v>20000</v>
      </c>
      <c r="J82" s="72">
        <v>15000</v>
      </c>
      <c r="K82" s="67">
        <f t="shared" si="1"/>
        <v>13857.142857142857</v>
      </c>
      <c r="M82" s="4"/>
      <c r="N82" s="4"/>
    </row>
    <row r="83" spans="1:14" ht="15.75" x14ac:dyDescent="0.25">
      <c r="A83" s="17"/>
      <c r="B83" s="66" t="s">
        <v>80</v>
      </c>
      <c r="C83" s="86" t="s">
        <v>6</v>
      </c>
      <c r="D83" s="9">
        <v>9000</v>
      </c>
      <c r="E83" s="9">
        <v>8000</v>
      </c>
      <c r="F83" s="16">
        <v>9000</v>
      </c>
      <c r="G83" s="8">
        <v>8000</v>
      </c>
      <c r="H83" s="9">
        <v>10000</v>
      </c>
      <c r="I83" s="16">
        <v>9000</v>
      </c>
      <c r="J83" s="72">
        <v>8000</v>
      </c>
      <c r="K83" s="67">
        <f t="shared" si="1"/>
        <v>8714.2857142857138</v>
      </c>
      <c r="M83" s="4"/>
      <c r="N83" s="4"/>
    </row>
    <row r="84" spans="1:14" ht="15.75" x14ac:dyDescent="0.25">
      <c r="A84" s="17"/>
      <c r="B84" s="66" t="s">
        <v>81</v>
      </c>
      <c r="C84" s="86" t="s">
        <v>82</v>
      </c>
      <c r="D84" s="9">
        <v>2000</v>
      </c>
      <c r="E84" s="9">
        <v>1500</v>
      </c>
      <c r="F84" s="9">
        <v>2000</v>
      </c>
      <c r="G84" s="8">
        <v>2000</v>
      </c>
      <c r="H84" s="9">
        <v>1500</v>
      </c>
      <c r="I84" s="9">
        <v>2000</v>
      </c>
      <c r="J84" s="79">
        <v>1500</v>
      </c>
      <c r="K84" s="67">
        <f t="shared" si="1"/>
        <v>1785.7142857142858</v>
      </c>
      <c r="L84" s="4"/>
      <c r="M84" s="4"/>
      <c r="N84" s="4"/>
    </row>
    <row r="85" spans="1:14" x14ac:dyDescent="0.25">
      <c r="A85" s="17"/>
      <c r="B85" s="66" t="s">
        <v>83</v>
      </c>
      <c r="C85" s="86" t="s">
        <v>82</v>
      </c>
      <c r="D85" s="9">
        <v>1500</v>
      </c>
      <c r="E85" s="9">
        <v>1500</v>
      </c>
      <c r="F85" s="9">
        <v>1500</v>
      </c>
      <c r="G85" s="8">
        <v>2000</v>
      </c>
      <c r="H85" s="9">
        <v>1500</v>
      </c>
      <c r="I85" s="9">
        <v>1500</v>
      </c>
      <c r="J85" s="79">
        <v>1000</v>
      </c>
      <c r="K85" s="67">
        <f t="shared" si="1"/>
        <v>1500</v>
      </c>
    </row>
    <row r="86" spans="1:14" x14ac:dyDescent="0.25">
      <c r="A86" s="17"/>
      <c r="B86" s="66" t="s">
        <v>84</v>
      </c>
      <c r="C86" s="86" t="s">
        <v>82</v>
      </c>
      <c r="D86" s="9" t="s">
        <v>99</v>
      </c>
      <c r="E86" s="9">
        <v>2000</v>
      </c>
      <c r="F86" s="9" t="s">
        <v>99</v>
      </c>
      <c r="G86" s="8" t="s">
        <v>99</v>
      </c>
      <c r="H86" s="9">
        <v>2500</v>
      </c>
      <c r="I86" s="9" t="s">
        <v>99</v>
      </c>
      <c r="J86" s="79">
        <v>2000</v>
      </c>
      <c r="K86" s="67">
        <f t="shared" si="1"/>
        <v>2166.6666666666665</v>
      </c>
    </row>
    <row r="87" spans="1:14" x14ac:dyDescent="0.25">
      <c r="A87" s="17">
        <v>22</v>
      </c>
      <c r="B87" s="60" t="s">
        <v>85</v>
      </c>
      <c r="C87" s="91"/>
      <c r="D87" s="22"/>
      <c r="E87" s="10"/>
      <c r="F87" s="10" t="s">
        <v>102</v>
      </c>
      <c r="G87" s="22"/>
      <c r="H87" s="10"/>
      <c r="I87" s="10"/>
      <c r="J87" s="77"/>
      <c r="K87" s="71"/>
    </row>
    <row r="88" spans="1:14" x14ac:dyDescent="0.25">
      <c r="A88" s="17"/>
      <c r="B88" s="66" t="s">
        <v>86</v>
      </c>
      <c r="C88" s="86" t="s">
        <v>87</v>
      </c>
      <c r="D88" s="9" t="s">
        <v>99</v>
      </c>
      <c r="E88" s="9" t="s">
        <v>99</v>
      </c>
      <c r="F88" s="9">
        <v>18000</v>
      </c>
      <c r="G88" s="8">
        <v>17000</v>
      </c>
      <c r="H88" s="10" t="s">
        <v>99</v>
      </c>
      <c r="I88" s="16">
        <v>18000</v>
      </c>
      <c r="J88" s="79">
        <v>18000</v>
      </c>
      <c r="K88" s="67">
        <f t="shared" si="1"/>
        <v>17750</v>
      </c>
    </row>
  </sheetData>
  <mergeCells count="28">
    <mergeCell ref="A63:A66"/>
    <mergeCell ref="A69:A73"/>
    <mergeCell ref="A43:A45"/>
    <mergeCell ref="A46:A48"/>
    <mergeCell ref="A52:A53"/>
    <mergeCell ref="A54:A55"/>
    <mergeCell ref="A56:A60"/>
    <mergeCell ref="A16:A17"/>
    <mergeCell ref="A19:A20"/>
    <mergeCell ref="A21:A25"/>
    <mergeCell ref="A26:A32"/>
    <mergeCell ref="A33:A35"/>
    <mergeCell ref="I4:I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9A9BC-81BF-4A4E-B8BB-61EB36C863E8}">
  <dimension ref="A1:N88"/>
  <sheetViews>
    <sheetView zoomScale="70" zoomScaleNormal="70" workbookViewId="0">
      <selection activeCell="A7" sqref="A7:K88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3.37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3.37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3.37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3.37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3.37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3.37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3.37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3.37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3.37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3.37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3.37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3.37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3.37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3.37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3.37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3.37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3.37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3.37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3.37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3.37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3.37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3.37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3.37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3.37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3.37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3.37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3.37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3.37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3.37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3.37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3.37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3.37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3.37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3.37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3.37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3.37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3.37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3.37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3.37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3.37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3.37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3.37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3.37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3.37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3.37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3.37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3.37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3.37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3.37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3.37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3.37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3.37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3.37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3.37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3.37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3.37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3.37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3.37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3.37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3.37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3.37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3.37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3.37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3.37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02" t="s">
        <v>88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M1" s="4"/>
      <c r="N1" s="4"/>
    </row>
    <row r="2" spans="1:14" ht="27.75" customHeight="1" x14ac:dyDescent="0.25">
      <c r="A2" s="103" t="s">
        <v>89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M2" s="4"/>
      <c r="N2" s="4"/>
    </row>
    <row r="3" spans="1:14" ht="27.75" customHeight="1" thickBot="1" x14ac:dyDescent="0.3">
      <c r="A3" s="104" t="s">
        <v>134</v>
      </c>
      <c r="B3" s="104"/>
      <c r="C3" s="104"/>
      <c r="D3" s="104"/>
      <c r="E3" s="104"/>
      <c r="F3" s="104"/>
      <c r="G3" s="104"/>
      <c r="H3" s="104"/>
      <c r="I3" s="104"/>
      <c r="J3" s="104"/>
      <c r="K3" s="105"/>
      <c r="M3" s="4"/>
      <c r="N3" s="4"/>
    </row>
    <row r="4" spans="1:14" ht="25.5" customHeight="1" x14ac:dyDescent="0.25">
      <c r="A4" s="96" t="s">
        <v>1</v>
      </c>
      <c r="B4" s="99" t="s">
        <v>2</v>
      </c>
      <c r="C4" s="96" t="s">
        <v>90</v>
      </c>
      <c r="D4" s="110" t="s">
        <v>91</v>
      </c>
      <c r="E4" s="113" t="s">
        <v>92</v>
      </c>
      <c r="F4" s="125" t="s">
        <v>93</v>
      </c>
      <c r="G4" s="131" t="s">
        <v>94</v>
      </c>
      <c r="H4" s="116" t="s">
        <v>95</v>
      </c>
      <c r="I4" s="119" t="s">
        <v>96</v>
      </c>
      <c r="J4" s="106" t="s">
        <v>97</v>
      </c>
      <c r="K4" s="122" t="s">
        <v>98</v>
      </c>
      <c r="M4" s="4"/>
      <c r="N4" s="4"/>
    </row>
    <row r="5" spans="1:14" ht="15" customHeight="1" x14ac:dyDescent="0.25">
      <c r="A5" s="97"/>
      <c r="B5" s="100"/>
      <c r="C5" s="97"/>
      <c r="D5" s="111"/>
      <c r="E5" s="114"/>
      <c r="F5" s="126"/>
      <c r="G5" s="132"/>
      <c r="H5" s="117"/>
      <c r="I5" s="120"/>
      <c r="J5" s="107"/>
      <c r="K5" s="123"/>
      <c r="M5" s="4"/>
      <c r="N5" s="4"/>
    </row>
    <row r="6" spans="1:14" ht="16.5" thickBot="1" x14ac:dyDescent="0.3">
      <c r="A6" s="98"/>
      <c r="B6" s="109"/>
      <c r="C6" s="98"/>
      <c r="D6" s="112"/>
      <c r="E6" s="115"/>
      <c r="F6" s="127"/>
      <c r="G6" s="133"/>
      <c r="H6" s="118"/>
      <c r="I6" s="121"/>
      <c r="J6" s="108"/>
      <c r="K6" s="124"/>
      <c r="M6" s="4"/>
      <c r="N6" s="4"/>
    </row>
    <row r="7" spans="1:14" ht="15.75" x14ac:dyDescent="0.25">
      <c r="A7" s="138">
        <v>1</v>
      </c>
      <c r="B7" s="60" t="s">
        <v>4</v>
      </c>
      <c r="C7" s="61"/>
      <c r="D7" s="62"/>
      <c r="E7" s="17" t="s">
        <v>102</v>
      </c>
      <c r="F7" s="17"/>
      <c r="G7" s="63"/>
      <c r="H7" s="63" t="s">
        <v>1</v>
      </c>
      <c r="I7" s="64"/>
      <c r="J7" s="63"/>
      <c r="K7" s="65"/>
      <c r="M7" s="4"/>
      <c r="N7" s="4"/>
    </row>
    <row r="8" spans="1:14" ht="15.75" x14ac:dyDescent="0.25">
      <c r="A8" s="136"/>
      <c r="B8" s="66" t="s">
        <v>107</v>
      </c>
      <c r="C8" s="17" t="s">
        <v>6</v>
      </c>
      <c r="D8" s="9">
        <v>15500</v>
      </c>
      <c r="E8" s="9">
        <v>15500</v>
      </c>
      <c r="F8" s="9">
        <v>15500</v>
      </c>
      <c r="G8" s="9">
        <v>15500</v>
      </c>
      <c r="H8" s="9">
        <v>16000</v>
      </c>
      <c r="I8" s="9">
        <v>14000</v>
      </c>
      <c r="J8" s="16">
        <v>14000</v>
      </c>
      <c r="K8" s="67">
        <f>AVERAGE(D8:J8)</f>
        <v>15142.857142857143</v>
      </c>
      <c r="L8" s="1"/>
      <c r="M8" s="7"/>
      <c r="N8" s="4"/>
    </row>
    <row r="9" spans="1:14" ht="15.75" x14ac:dyDescent="0.25">
      <c r="A9" s="136"/>
      <c r="B9" s="66" t="s">
        <v>115</v>
      </c>
      <c r="C9" s="17" t="s">
        <v>6</v>
      </c>
      <c r="D9" s="9">
        <v>10900</v>
      </c>
      <c r="E9" s="9">
        <v>10900</v>
      </c>
      <c r="F9" s="9">
        <v>10900</v>
      </c>
      <c r="G9" s="8">
        <v>10900</v>
      </c>
      <c r="H9" s="9">
        <v>12000</v>
      </c>
      <c r="I9" s="9">
        <v>10900</v>
      </c>
      <c r="J9" s="16" t="s">
        <v>99</v>
      </c>
      <c r="K9" s="67">
        <f t="shared" ref="K9:K80" si="0">AVERAGE(D9:J9)</f>
        <v>11083.333333333334</v>
      </c>
      <c r="M9" s="4"/>
      <c r="N9" s="4"/>
    </row>
    <row r="10" spans="1:14" ht="15.75" x14ac:dyDescent="0.25">
      <c r="A10" s="136"/>
      <c r="B10" s="66" t="s">
        <v>108</v>
      </c>
      <c r="C10" s="17" t="s">
        <v>6</v>
      </c>
      <c r="D10" s="9" t="s">
        <v>99</v>
      </c>
      <c r="E10" s="9" t="s">
        <v>99</v>
      </c>
      <c r="F10" s="9" t="s">
        <v>99</v>
      </c>
      <c r="G10" s="8" t="s">
        <v>99</v>
      </c>
      <c r="H10" s="9" t="s">
        <v>99</v>
      </c>
      <c r="I10" s="9" t="s">
        <v>99</v>
      </c>
      <c r="J10" s="16" t="s">
        <v>99</v>
      </c>
      <c r="K10" s="67">
        <v>0</v>
      </c>
      <c r="M10" s="4"/>
      <c r="N10" s="4"/>
    </row>
    <row r="11" spans="1:14" ht="15.75" x14ac:dyDescent="0.25">
      <c r="A11" s="136"/>
      <c r="B11" s="66" t="s">
        <v>9</v>
      </c>
      <c r="C11" s="17" t="s">
        <v>6</v>
      </c>
      <c r="D11" s="9" t="s">
        <v>99</v>
      </c>
      <c r="E11" s="9">
        <v>10000</v>
      </c>
      <c r="F11" s="16">
        <v>12000</v>
      </c>
      <c r="G11" s="8">
        <v>10000</v>
      </c>
      <c r="H11" s="9">
        <v>10000</v>
      </c>
      <c r="I11" s="16">
        <v>12000</v>
      </c>
      <c r="J11" s="16">
        <v>10000</v>
      </c>
      <c r="K11" s="67">
        <f>AVERAGE(D11:J11)</f>
        <v>10666.666666666666</v>
      </c>
      <c r="M11" s="4"/>
      <c r="N11" s="4"/>
    </row>
    <row r="12" spans="1:14" ht="15.75" x14ac:dyDescent="0.25">
      <c r="A12" s="137"/>
      <c r="B12" s="66" t="s">
        <v>10</v>
      </c>
      <c r="C12" s="17" t="s">
        <v>6</v>
      </c>
      <c r="D12" s="9" t="s">
        <v>99</v>
      </c>
      <c r="E12" s="9">
        <v>21000</v>
      </c>
      <c r="F12" s="16">
        <v>16000</v>
      </c>
      <c r="G12" s="8">
        <v>18000</v>
      </c>
      <c r="H12" s="9">
        <v>25000</v>
      </c>
      <c r="I12" s="16">
        <v>17000</v>
      </c>
      <c r="J12" s="16">
        <v>17000</v>
      </c>
      <c r="K12" s="67">
        <f t="shared" si="0"/>
        <v>19000</v>
      </c>
      <c r="M12" s="4"/>
      <c r="N12" s="4"/>
    </row>
    <row r="13" spans="1:14" ht="15.75" x14ac:dyDescent="0.25">
      <c r="A13" s="135">
        <v>2</v>
      </c>
      <c r="B13" s="60" t="s">
        <v>11</v>
      </c>
      <c r="C13" s="68"/>
      <c r="D13" s="62"/>
      <c r="E13" s="92"/>
      <c r="F13" s="17"/>
      <c r="G13" s="70"/>
      <c r="H13" s="70"/>
      <c r="I13" s="70"/>
      <c r="J13" s="70"/>
      <c r="K13" s="71"/>
      <c r="M13" s="4"/>
      <c r="N13" s="12"/>
    </row>
    <row r="14" spans="1:14" ht="15.75" x14ac:dyDescent="0.25">
      <c r="A14" s="136"/>
      <c r="B14" s="66" t="s">
        <v>116</v>
      </c>
      <c r="C14" s="17" t="s">
        <v>6</v>
      </c>
      <c r="D14" s="9">
        <v>16000</v>
      </c>
      <c r="E14" s="9">
        <v>16000</v>
      </c>
      <c r="F14" s="9">
        <v>16000</v>
      </c>
      <c r="G14" s="16">
        <v>16000</v>
      </c>
      <c r="H14" s="9">
        <v>16500</v>
      </c>
      <c r="I14" s="9">
        <v>16500</v>
      </c>
      <c r="J14" s="72">
        <v>16500</v>
      </c>
      <c r="K14" s="67">
        <f t="shared" si="0"/>
        <v>16214.285714285714</v>
      </c>
      <c r="M14" s="4"/>
      <c r="N14" s="4"/>
    </row>
    <row r="15" spans="1:14" ht="15.75" x14ac:dyDescent="0.25">
      <c r="A15" s="137"/>
      <c r="B15" s="66" t="s">
        <v>13</v>
      </c>
      <c r="C15" s="17" t="s">
        <v>6</v>
      </c>
      <c r="D15" s="9">
        <v>17000</v>
      </c>
      <c r="E15" s="9">
        <v>16000</v>
      </c>
      <c r="F15" s="16">
        <v>16000</v>
      </c>
      <c r="G15" s="8">
        <v>16000</v>
      </c>
      <c r="H15" s="9">
        <v>17000</v>
      </c>
      <c r="I15" s="9">
        <v>16000</v>
      </c>
      <c r="J15" s="72">
        <v>18000</v>
      </c>
      <c r="K15" s="67">
        <f>AVERAGE(D15:J15)</f>
        <v>16571.428571428572</v>
      </c>
      <c r="M15" s="4"/>
      <c r="N15" s="4"/>
    </row>
    <row r="16" spans="1:14" ht="15.75" x14ac:dyDescent="0.25">
      <c r="A16" s="135">
        <v>3</v>
      </c>
      <c r="B16" s="60" t="s">
        <v>14</v>
      </c>
      <c r="C16" s="73"/>
      <c r="D16" s="74"/>
      <c r="E16" s="15"/>
      <c r="F16" s="15"/>
      <c r="G16" s="15"/>
      <c r="H16" s="15"/>
      <c r="I16" s="15" t="s">
        <v>130</v>
      </c>
      <c r="J16" s="75"/>
      <c r="K16" s="71"/>
      <c r="M16" s="4"/>
      <c r="N16" s="4"/>
    </row>
    <row r="17" spans="1:14" ht="15.75" x14ac:dyDescent="0.25">
      <c r="A17" s="137"/>
      <c r="B17" s="66" t="s">
        <v>15</v>
      </c>
      <c r="C17" s="17" t="s">
        <v>6</v>
      </c>
      <c r="D17" s="9">
        <v>15000</v>
      </c>
      <c r="E17" s="9">
        <v>15000</v>
      </c>
      <c r="F17" s="9">
        <v>14000</v>
      </c>
      <c r="G17" s="9">
        <v>15000</v>
      </c>
      <c r="H17" s="9">
        <v>16000</v>
      </c>
      <c r="I17" s="9">
        <v>16000</v>
      </c>
      <c r="J17" s="72">
        <v>16000</v>
      </c>
      <c r="K17" s="67">
        <f t="shared" si="0"/>
        <v>15285.714285714286</v>
      </c>
      <c r="M17" s="4"/>
      <c r="N17" s="4"/>
    </row>
    <row r="18" spans="1:14" ht="15.75" x14ac:dyDescent="0.25">
      <c r="A18" s="59"/>
      <c r="B18" s="66" t="s">
        <v>109</v>
      </c>
      <c r="C18" s="17" t="s">
        <v>110</v>
      </c>
      <c r="D18" s="9">
        <v>14000</v>
      </c>
      <c r="E18" s="9">
        <v>14000</v>
      </c>
      <c r="F18" s="9">
        <v>14000</v>
      </c>
      <c r="G18" s="9">
        <v>14000</v>
      </c>
      <c r="H18" s="9" t="s">
        <v>99</v>
      </c>
      <c r="I18" s="9">
        <v>14000</v>
      </c>
      <c r="J18" s="72">
        <v>14000</v>
      </c>
      <c r="K18" s="67">
        <f t="shared" si="0"/>
        <v>14000</v>
      </c>
      <c r="M18" s="4"/>
      <c r="N18" s="4"/>
    </row>
    <row r="19" spans="1:14" ht="17.25" customHeight="1" x14ac:dyDescent="0.25">
      <c r="A19" s="135">
        <v>4</v>
      </c>
      <c r="B19" s="60" t="s">
        <v>16</v>
      </c>
      <c r="C19" s="73"/>
      <c r="D19" s="74"/>
      <c r="E19" s="15"/>
      <c r="F19" s="15"/>
      <c r="G19" s="76"/>
      <c r="H19" s="15"/>
      <c r="I19" s="15"/>
      <c r="J19" s="75"/>
      <c r="K19" s="71"/>
      <c r="M19" s="4"/>
      <c r="N19" s="4"/>
    </row>
    <row r="20" spans="1:14" ht="15.75" x14ac:dyDescent="0.25">
      <c r="A20" s="137"/>
      <c r="B20" s="66" t="s">
        <v>17</v>
      </c>
      <c r="C20" s="17" t="s">
        <v>6</v>
      </c>
      <c r="D20" s="9">
        <v>20000</v>
      </c>
      <c r="E20" s="9">
        <v>20000</v>
      </c>
      <c r="F20" s="16">
        <v>20000</v>
      </c>
      <c r="G20" s="8">
        <v>22000</v>
      </c>
      <c r="H20" s="16">
        <v>33000</v>
      </c>
      <c r="I20" s="16">
        <v>20000</v>
      </c>
      <c r="J20" s="77" t="s">
        <v>99</v>
      </c>
      <c r="K20" s="67">
        <f t="shared" si="0"/>
        <v>22500</v>
      </c>
      <c r="M20" s="4"/>
      <c r="N20" s="4"/>
    </row>
    <row r="21" spans="1:14" ht="15.75" x14ac:dyDescent="0.25">
      <c r="A21" s="135">
        <v>5</v>
      </c>
      <c r="B21" s="60" t="s">
        <v>18</v>
      </c>
      <c r="C21" s="73"/>
      <c r="D21" s="74"/>
      <c r="E21" s="17"/>
      <c r="F21" s="15" t="s">
        <v>1</v>
      </c>
      <c r="G21" s="76"/>
      <c r="H21" s="15"/>
      <c r="I21" s="15"/>
      <c r="J21" s="75"/>
      <c r="K21" s="71"/>
      <c r="M21" s="4"/>
      <c r="N21" s="4"/>
    </row>
    <row r="22" spans="1:14" ht="15.75" x14ac:dyDescent="0.25">
      <c r="A22" s="136"/>
      <c r="B22" s="66" t="s">
        <v>19</v>
      </c>
      <c r="C22" s="17" t="s">
        <v>6</v>
      </c>
      <c r="D22" s="9">
        <v>120000</v>
      </c>
      <c r="E22" s="9">
        <v>120000</v>
      </c>
      <c r="F22" s="9">
        <v>120000</v>
      </c>
      <c r="G22" s="9">
        <v>120000</v>
      </c>
      <c r="H22" s="9">
        <v>120000</v>
      </c>
      <c r="I22" s="8">
        <v>120000</v>
      </c>
      <c r="J22" s="72" t="s">
        <v>99</v>
      </c>
      <c r="K22" s="67">
        <f t="shared" si="0"/>
        <v>120000</v>
      </c>
      <c r="M22" s="4"/>
      <c r="N22" s="4"/>
    </row>
    <row r="23" spans="1:14" ht="15.75" x14ac:dyDescent="0.25">
      <c r="A23" s="136"/>
      <c r="B23" s="66" t="s">
        <v>20</v>
      </c>
      <c r="C23" s="17" t="s">
        <v>6</v>
      </c>
      <c r="D23" s="9">
        <v>110000</v>
      </c>
      <c r="E23" s="9">
        <v>110000</v>
      </c>
      <c r="F23" s="9">
        <v>110000</v>
      </c>
      <c r="G23" s="9">
        <v>110000</v>
      </c>
      <c r="H23" s="9">
        <v>115000</v>
      </c>
      <c r="I23" s="9">
        <v>110000</v>
      </c>
      <c r="J23" s="72">
        <v>110000</v>
      </c>
      <c r="K23" s="67">
        <f t="shared" si="0"/>
        <v>110714.28571428571</v>
      </c>
      <c r="M23" s="4"/>
      <c r="N23" s="4"/>
    </row>
    <row r="24" spans="1:14" ht="15.75" x14ac:dyDescent="0.25">
      <c r="A24" s="136"/>
      <c r="B24" s="66" t="s">
        <v>21</v>
      </c>
      <c r="C24" s="17" t="s">
        <v>6</v>
      </c>
      <c r="D24" s="9">
        <v>90000</v>
      </c>
      <c r="E24" s="9">
        <v>90000</v>
      </c>
      <c r="F24" s="9">
        <v>100000</v>
      </c>
      <c r="G24" s="9">
        <v>105000</v>
      </c>
      <c r="H24" s="9">
        <v>110000</v>
      </c>
      <c r="I24" s="8">
        <v>100000</v>
      </c>
      <c r="J24" s="72">
        <v>105000</v>
      </c>
      <c r="K24" s="67">
        <f t="shared" si="0"/>
        <v>100000</v>
      </c>
      <c r="M24" s="4"/>
      <c r="N24" s="4"/>
    </row>
    <row r="25" spans="1:14" ht="15.75" x14ac:dyDescent="0.25">
      <c r="A25" s="137"/>
      <c r="B25" s="66" t="s">
        <v>22</v>
      </c>
      <c r="C25" s="17" t="s">
        <v>6</v>
      </c>
      <c r="D25" s="9">
        <v>34000</v>
      </c>
      <c r="E25" s="9">
        <v>31000</v>
      </c>
      <c r="F25" s="9">
        <v>32000</v>
      </c>
      <c r="G25" s="9">
        <v>31000</v>
      </c>
      <c r="H25" s="72">
        <v>33000</v>
      </c>
      <c r="I25" s="9">
        <v>32000</v>
      </c>
      <c r="J25" s="72">
        <v>33000</v>
      </c>
      <c r="K25" s="67">
        <f t="shared" si="0"/>
        <v>32285.714285714286</v>
      </c>
      <c r="M25" s="4"/>
      <c r="N25" s="4"/>
    </row>
    <row r="26" spans="1:14" ht="15.75" x14ac:dyDescent="0.25">
      <c r="A26" s="135">
        <v>6</v>
      </c>
      <c r="B26" s="60" t="s">
        <v>23</v>
      </c>
      <c r="C26" s="73"/>
      <c r="D26" s="74"/>
      <c r="E26" s="17"/>
      <c r="F26" s="76"/>
      <c r="G26" s="15"/>
      <c r="H26" s="75"/>
      <c r="I26" s="15"/>
      <c r="J26" s="75"/>
      <c r="K26" s="71"/>
      <c r="M26" s="4"/>
      <c r="N26" s="4"/>
    </row>
    <row r="27" spans="1:14" ht="15.75" x14ac:dyDescent="0.25">
      <c r="A27" s="136"/>
      <c r="B27" s="66" t="s">
        <v>24</v>
      </c>
      <c r="C27" s="17" t="s">
        <v>6</v>
      </c>
      <c r="D27" s="9">
        <v>34000</v>
      </c>
      <c r="E27" s="9">
        <v>35000</v>
      </c>
      <c r="F27" s="9" t="s">
        <v>99</v>
      </c>
      <c r="G27" s="9">
        <v>40000</v>
      </c>
      <c r="H27" s="9">
        <v>30000</v>
      </c>
      <c r="I27" s="9" t="s">
        <v>99</v>
      </c>
      <c r="J27" s="72">
        <v>30000</v>
      </c>
      <c r="K27" s="67">
        <f t="shared" si="0"/>
        <v>33800</v>
      </c>
      <c r="L27" t="s">
        <v>100</v>
      </c>
      <c r="M27" s="4"/>
      <c r="N27" s="4"/>
    </row>
    <row r="28" spans="1:14" ht="15.75" x14ac:dyDescent="0.25">
      <c r="A28" s="136"/>
      <c r="B28" s="66" t="s">
        <v>25</v>
      </c>
      <c r="C28" s="17" t="s">
        <v>6</v>
      </c>
      <c r="D28" s="9">
        <v>36000</v>
      </c>
      <c r="E28" s="9">
        <v>28000</v>
      </c>
      <c r="F28" s="9">
        <v>35000</v>
      </c>
      <c r="G28" s="8">
        <v>30000</v>
      </c>
      <c r="H28" s="9">
        <v>20000</v>
      </c>
      <c r="I28" s="9">
        <v>32000</v>
      </c>
      <c r="J28" s="78">
        <v>30000</v>
      </c>
      <c r="K28" s="67">
        <f t="shared" si="0"/>
        <v>30142.857142857141</v>
      </c>
      <c r="M28" s="4"/>
      <c r="N28" s="4"/>
    </row>
    <row r="29" spans="1:14" ht="15.75" x14ac:dyDescent="0.25">
      <c r="A29" s="136"/>
      <c r="B29" s="66" t="s">
        <v>26</v>
      </c>
      <c r="C29" s="17" t="s">
        <v>6</v>
      </c>
      <c r="D29" s="9">
        <v>60000</v>
      </c>
      <c r="E29" s="9">
        <v>60000</v>
      </c>
      <c r="F29" s="16">
        <v>60000</v>
      </c>
      <c r="G29" s="8">
        <v>70000</v>
      </c>
      <c r="H29" s="9">
        <v>62000</v>
      </c>
      <c r="I29" s="9">
        <v>60000</v>
      </c>
      <c r="J29" s="79">
        <v>60000</v>
      </c>
      <c r="K29" s="67">
        <f t="shared" si="0"/>
        <v>61714.285714285717</v>
      </c>
      <c r="M29" s="4"/>
      <c r="N29" s="4"/>
    </row>
    <row r="30" spans="1:14" ht="15.75" x14ac:dyDescent="0.25">
      <c r="A30" s="136"/>
      <c r="B30" s="66" t="s">
        <v>27</v>
      </c>
      <c r="C30" s="17" t="s">
        <v>6</v>
      </c>
      <c r="D30" s="9">
        <v>25000</v>
      </c>
      <c r="E30" s="9" t="s">
        <v>99</v>
      </c>
      <c r="F30" s="10" t="s">
        <v>99</v>
      </c>
      <c r="G30" s="8">
        <v>25000</v>
      </c>
      <c r="H30" s="9">
        <v>23000</v>
      </c>
      <c r="I30" s="9" t="s">
        <v>99</v>
      </c>
      <c r="J30" s="79">
        <v>26000</v>
      </c>
      <c r="K30" s="67">
        <f t="shared" si="0"/>
        <v>24750</v>
      </c>
      <c r="M30" s="4"/>
      <c r="N30" s="4"/>
    </row>
    <row r="31" spans="1:14" ht="15.75" x14ac:dyDescent="0.25">
      <c r="A31" s="136"/>
      <c r="B31" s="66" t="s">
        <v>28</v>
      </c>
      <c r="C31" s="17" t="s">
        <v>6</v>
      </c>
      <c r="D31" s="9">
        <v>35000</v>
      </c>
      <c r="E31" s="9">
        <v>36000</v>
      </c>
      <c r="F31" s="9">
        <v>40000</v>
      </c>
      <c r="G31" s="9">
        <v>40000</v>
      </c>
      <c r="H31" s="9">
        <v>28000</v>
      </c>
      <c r="I31" s="9">
        <v>40000</v>
      </c>
      <c r="J31" s="72">
        <v>30000</v>
      </c>
      <c r="K31" s="67">
        <f t="shared" si="0"/>
        <v>35571.428571428572</v>
      </c>
      <c r="M31" s="4"/>
      <c r="N31" s="4"/>
    </row>
    <row r="32" spans="1:14" ht="15.75" x14ac:dyDescent="0.25">
      <c r="A32" s="137"/>
      <c r="B32" s="66" t="s">
        <v>29</v>
      </c>
      <c r="C32" s="17" t="s">
        <v>6</v>
      </c>
      <c r="D32" s="9" t="s">
        <v>99</v>
      </c>
      <c r="E32" s="9">
        <v>100000</v>
      </c>
      <c r="F32" s="9">
        <v>100000</v>
      </c>
      <c r="G32" s="9" t="s">
        <v>99</v>
      </c>
      <c r="H32" s="9">
        <v>80000</v>
      </c>
      <c r="I32" s="9" t="s">
        <v>99</v>
      </c>
      <c r="J32" s="79">
        <v>70000</v>
      </c>
      <c r="K32" s="67">
        <f t="shared" si="0"/>
        <v>87500</v>
      </c>
      <c r="M32" s="4"/>
      <c r="N32" s="4"/>
    </row>
    <row r="33" spans="1:14" ht="15.75" x14ac:dyDescent="0.25">
      <c r="A33" s="135">
        <v>7</v>
      </c>
      <c r="B33" s="60" t="s">
        <v>30</v>
      </c>
      <c r="C33" s="73"/>
      <c r="D33" s="74"/>
      <c r="E33" s="17"/>
      <c r="F33" s="76"/>
      <c r="G33" s="76"/>
      <c r="H33" s="15"/>
      <c r="I33" s="15"/>
      <c r="J33" s="75"/>
      <c r="K33" s="71"/>
      <c r="M33" s="4"/>
      <c r="N33" s="4"/>
    </row>
    <row r="34" spans="1:14" ht="15.75" x14ac:dyDescent="0.25">
      <c r="A34" s="136"/>
      <c r="B34" s="66" t="s">
        <v>31</v>
      </c>
      <c r="C34" s="17" t="s">
        <v>6</v>
      </c>
      <c r="D34" s="9">
        <v>27000</v>
      </c>
      <c r="E34" s="9">
        <v>26000</v>
      </c>
      <c r="F34" s="9">
        <v>26000</v>
      </c>
      <c r="G34" s="9">
        <v>26000</v>
      </c>
      <c r="H34" s="9">
        <v>26000</v>
      </c>
      <c r="I34" s="9">
        <v>26000</v>
      </c>
      <c r="J34" s="72">
        <v>27500</v>
      </c>
      <c r="K34" s="67">
        <f t="shared" si="0"/>
        <v>26357.142857142859</v>
      </c>
      <c r="M34" s="4"/>
      <c r="N34" s="4"/>
    </row>
    <row r="35" spans="1:14" ht="15.75" x14ac:dyDescent="0.25">
      <c r="A35" s="137"/>
      <c r="B35" s="66" t="s">
        <v>32</v>
      </c>
      <c r="C35" s="17" t="s">
        <v>33</v>
      </c>
      <c r="D35" s="9">
        <v>3000</v>
      </c>
      <c r="E35" s="9">
        <v>2500</v>
      </c>
      <c r="F35" s="9">
        <v>2500</v>
      </c>
      <c r="G35" s="9">
        <v>2800</v>
      </c>
      <c r="H35" s="9">
        <v>2500</v>
      </c>
      <c r="I35" s="9">
        <v>3000</v>
      </c>
      <c r="J35" s="72">
        <v>3000</v>
      </c>
      <c r="K35" s="67">
        <f t="shared" si="0"/>
        <v>2757.1428571428573</v>
      </c>
      <c r="M35" s="4"/>
      <c r="N35" s="4"/>
    </row>
    <row r="36" spans="1:14" ht="15.75" x14ac:dyDescent="0.25">
      <c r="A36" s="59">
        <v>8</v>
      </c>
      <c r="B36" s="73" t="s">
        <v>117</v>
      </c>
      <c r="C36" s="80"/>
      <c r="D36" s="9"/>
      <c r="E36" s="9"/>
      <c r="F36" s="9"/>
      <c r="G36" s="9"/>
      <c r="H36" s="9"/>
      <c r="I36" s="9"/>
      <c r="J36" s="72"/>
      <c r="K36" s="81"/>
      <c r="M36" s="4"/>
      <c r="N36" s="4"/>
    </row>
    <row r="37" spans="1:14" ht="15.75" x14ac:dyDescent="0.25">
      <c r="A37" s="59"/>
      <c r="B37" s="66" t="s">
        <v>118</v>
      </c>
      <c r="C37" s="17" t="s">
        <v>6</v>
      </c>
      <c r="D37" s="9">
        <v>10000</v>
      </c>
      <c r="E37" s="9">
        <v>1250</v>
      </c>
      <c r="F37" s="9">
        <v>9000</v>
      </c>
      <c r="G37" s="9">
        <v>9000</v>
      </c>
      <c r="H37" s="9">
        <v>16000</v>
      </c>
      <c r="I37" s="9">
        <v>9000</v>
      </c>
      <c r="J37" s="72">
        <v>3000</v>
      </c>
      <c r="K37" s="67">
        <f t="shared" si="0"/>
        <v>8178.5714285714284</v>
      </c>
      <c r="M37" s="4"/>
      <c r="N37" s="4"/>
    </row>
    <row r="38" spans="1:14" ht="15.75" x14ac:dyDescent="0.25">
      <c r="A38" s="59"/>
      <c r="B38" s="66" t="s">
        <v>119</v>
      </c>
      <c r="C38" s="17" t="s">
        <v>6</v>
      </c>
      <c r="D38" s="9" t="s">
        <v>99</v>
      </c>
      <c r="E38" s="9">
        <v>10000</v>
      </c>
      <c r="F38" s="9">
        <v>12000</v>
      </c>
      <c r="G38" s="9">
        <v>14000</v>
      </c>
      <c r="H38" s="9" t="s">
        <v>99</v>
      </c>
      <c r="I38" s="9">
        <v>12000</v>
      </c>
      <c r="J38" s="72">
        <v>12000</v>
      </c>
      <c r="K38" s="67">
        <f>AVERAGE(D38:J38)</f>
        <v>12000</v>
      </c>
      <c r="M38" s="4"/>
      <c r="N38" s="4"/>
    </row>
    <row r="39" spans="1:14" ht="15.75" x14ac:dyDescent="0.25">
      <c r="A39" s="59">
        <v>9</v>
      </c>
      <c r="B39" s="82" t="s">
        <v>120</v>
      </c>
      <c r="C39" s="83"/>
      <c r="D39" s="9"/>
      <c r="E39" s="9"/>
      <c r="F39" s="9"/>
      <c r="G39" s="9"/>
      <c r="H39" s="9"/>
      <c r="I39" s="9"/>
      <c r="J39" s="72"/>
      <c r="K39" s="81"/>
      <c r="M39" s="4"/>
      <c r="N39" s="4"/>
    </row>
    <row r="40" spans="1:14" ht="15.75" x14ac:dyDescent="0.25">
      <c r="A40" s="59"/>
      <c r="B40" s="66" t="s">
        <v>121</v>
      </c>
      <c r="C40" s="17" t="s">
        <v>6</v>
      </c>
      <c r="D40" s="9" t="s">
        <v>99</v>
      </c>
      <c r="E40" s="9" t="s">
        <v>99</v>
      </c>
      <c r="F40" s="9" t="s">
        <v>99</v>
      </c>
      <c r="G40" s="9">
        <v>16000</v>
      </c>
      <c r="H40" s="9">
        <v>14000</v>
      </c>
      <c r="I40" s="9" t="s">
        <v>99</v>
      </c>
      <c r="J40" s="72">
        <v>15000</v>
      </c>
      <c r="K40" s="67">
        <f t="shared" si="0"/>
        <v>15000</v>
      </c>
      <c r="M40" s="4"/>
      <c r="N40" s="4"/>
    </row>
    <row r="41" spans="1:14" ht="15.75" x14ac:dyDescent="0.25">
      <c r="A41" s="59"/>
      <c r="B41" s="66" t="s">
        <v>122</v>
      </c>
      <c r="C41" s="17" t="s">
        <v>6</v>
      </c>
      <c r="D41" s="9" t="s">
        <v>99</v>
      </c>
      <c r="E41" s="9" t="s">
        <v>99</v>
      </c>
      <c r="F41" s="9">
        <v>6000</v>
      </c>
      <c r="G41" s="9" t="s">
        <v>99</v>
      </c>
      <c r="H41" s="9" t="s">
        <v>99</v>
      </c>
      <c r="I41" s="9">
        <v>6000</v>
      </c>
      <c r="J41" s="72" t="s">
        <v>99</v>
      </c>
      <c r="K41" s="67">
        <f t="shared" si="0"/>
        <v>6000</v>
      </c>
      <c r="M41" s="4"/>
      <c r="N41" s="4"/>
    </row>
    <row r="42" spans="1:14" ht="15.75" x14ac:dyDescent="0.25">
      <c r="A42" s="59"/>
      <c r="B42" s="66" t="s">
        <v>123</v>
      </c>
      <c r="C42" s="17" t="s">
        <v>6</v>
      </c>
      <c r="D42" s="9" t="s">
        <v>99</v>
      </c>
      <c r="E42" s="9">
        <v>2500</v>
      </c>
      <c r="F42" s="9" t="s">
        <v>99</v>
      </c>
      <c r="G42" s="9" t="s">
        <v>99</v>
      </c>
      <c r="H42" s="9" t="s">
        <v>99</v>
      </c>
      <c r="I42" s="9" t="s">
        <v>99</v>
      </c>
      <c r="J42" s="72" t="s">
        <v>99</v>
      </c>
      <c r="K42" s="67">
        <f t="shared" si="0"/>
        <v>2500</v>
      </c>
      <c r="M42" s="4"/>
      <c r="N42" s="4"/>
    </row>
    <row r="43" spans="1:14" ht="15.75" x14ac:dyDescent="0.25">
      <c r="A43" s="135">
        <v>10</v>
      </c>
      <c r="B43" s="60" t="s">
        <v>34</v>
      </c>
      <c r="C43" s="73"/>
      <c r="D43" s="74"/>
      <c r="E43" s="17"/>
      <c r="F43" s="76"/>
      <c r="G43" s="15"/>
      <c r="H43" s="15"/>
      <c r="I43" s="15"/>
      <c r="J43" s="84"/>
      <c r="K43" s="71"/>
      <c r="M43" s="4"/>
      <c r="N43" s="4"/>
    </row>
    <row r="44" spans="1:14" ht="15.75" x14ac:dyDescent="0.25">
      <c r="A44" s="136"/>
      <c r="B44" s="66" t="s">
        <v>35</v>
      </c>
      <c r="C44" s="17" t="s">
        <v>36</v>
      </c>
      <c r="D44" s="9">
        <v>12000</v>
      </c>
      <c r="E44" s="9">
        <v>12000</v>
      </c>
      <c r="F44" s="9">
        <v>12500</v>
      </c>
      <c r="G44" s="9">
        <v>12500</v>
      </c>
      <c r="H44" s="10" t="s">
        <v>99</v>
      </c>
      <c r="I44" s="16">
        <v>12500</v>
      </c>
      <c r="J44" s="72">
        <v>12500</v>
      </c>
      <c r="K44" s="67">
        <f t="shared" si="0"/>
        <v>12333.333333333334</v>
      </c>
      <c r="M44" s="4"/>
      <c r="N44" s="4"/>
    </row>
    <row r="45" spans="1:14" ht="15.75" x14ac:dyDescent="0.25">
      <c r="A45" s="137"/>
      <c r="B45" s="66" t="s">
        <v>124</v>
      </c>
      <c r="C45" s="17" t="s">
        <v>36</v>
      </c>
      <c r="D45" s="9">
        <v>12000</v>
      </c>
      <c r="E45" s="9">
        <v>13000</v>
      </c>
      <c r="F45" s="16">
        <v>12500</v>
      </c>
      <c r="G45" s="9">
        <v>12500</v>
      </c>
      <c r="H45" s="10" t="s">
        <v>99</v>
      </c>
      <c r="I45" s="16">
        <v>12500</v>
      </c>
      <c r="J45" s="79">
        <v>12500</v>
      </c>
      <c r="K45" s="67">
        <f>AVERAGE(D45:J45)</f>
        <v>12500</v>
      </c>
      <c r="M45" s="4"/>
      <c r="N45" s="4"/>
    </row>
    <row r="46" spans="1:14" ht="15.75" x14ac:dyDescent="0.25">
      <c r="A46" s="135">
        <v>11</v>
      </c>
      <c r="B46" s="60" t="s">
        <v>38</v>
      </c>
      <c r="C46" s="73"/>
      <c r="D46" s="74"/>
      <c r="E46" s="17"/>
      <c r="F46" s="15"/>
      <c r="G46" s="76"/>
      <c r="H46" s="15"/>
      <c r="I46" s="15"/>
      <c r="J46" s="75"/>
      <c r="K46" s="71"/>
      <c r="M46" s="4"/>
      <c r="N46" s="4"/>
    </row>
    <row r="47" spans="1:14" ht="15.75" x14ac:dyDescent="0.25">
      <c r="A47" s="136"/>
      <c r="B47" s="66" t="s">
        <v>39</v>
      </c>
      <c r="C47" s="17" t="s">
        <v>40</v>
      </c>
      <c r="D47" s="9" t="s">
        <v>99</v>
      </c>
      <c r="E47" s="9" t="s">
        <v>99</v>
      </c>
      <c r="F47" s="10" t="s">
        <v>99</v>
      </c>
      <c r="G47" s="8" t="s">
        <v>99</v>
      </c>
      <c r="H47" s="9">
        <v>17500</v>
      </c>
      <c r="I47" s="16" t="s">
        <v>99</v>
      </c>
      <c r="J47" s="79" t="s">
        <v>99</v>
      </c>
      <c r="K47" s="67">
        <f t="shared" si="0"/>
        <v>17500</v>
      </c>
      <c r="M47" s="4"/>
      <c r="N47" s="4"/>
    </row>
    <row r="48" spans="1:14" ht="15.75" x14ac:dyDescent="0.25">
      <c r="A48" s="137"/>
      <c r="B48" s="66" t="s">
        <v>41</v>
      </c>
      <c r="C48" s="17" t="s">
        <v>42</v>
      </c>
      <c r="D48" s="9" t="s">
        <v>99</v>
      </c>
      <c r="E48" s="9" t="s">
        <v>99</v>
      </c>
      <c r="F48" s="10" t="s">
        <v>99</v>
      </c>
      <c r="G48" s="8" t="s">
        <v>99</v>
      </c>
      <c r="H48" s="9">
        <v>2000</v>
      </c>
      <c r="I48" s="16" t="s">
        <v>99</v>
      </c>
      <c r="J48" s="79" t="s">
        <v>99</v>
      </c>
      <c r="K48" s="67">
        <f t="shared" si="0"/>
        <v>2000</v>
      </c>
      <c r="M48" s="4"/>
      <c r="N48" s="4"/>
    </row>
    <row r="49" spans="1:14" ht="15.75" x14ac:dyDescent="0.25">
      <c r="A49" s="59">
        <v>12</v>
      </c>
      <c r="B49" s="85" t="s">
        <v>43</v>
      </c>
      <c r="C49" s="80"/>
      <c r="D49" s="19"/>
      <c r="E49" s="10"/>
      <c r="F49" s="10"/>
      <c r="G49" s="22"/>
      <c r="H49" s="10"/>
      <c r="I49" s="10"/>
      <c r="J49" s="77"/>
      <c r="K49" s="71"/>
      <c r="M49" s="4"/>
      <c r="N49" s="4"/>
    </row>
    <row r="50" spans="1:14" ht="15.75" x14ac:dyDescent="0.25">
      <c r="A50" s="59"/>
      <c r="B50" s="66" t="s">
        <v>44</v>
      </c>
      <c r="C50" s="86" t="s">
        <v>6</v>
      </c>
      <c r="D50" s="9" t="s">
        <v>99</v>
      </c>
      <c r="E50" s="9">
        <v>8000</v>
      </c>
      <c r="F50" s="9">
        <v>10000</v>
      </c>
      <c r="G50" s="9">
        <v>10000</v>
      </c>
      <c r="H50" s="9">
        <v>15000</v>
      </c>
      <c r="I50" s="8">
        <v>15000</v>
      </c>
      <c r="J50" s="72">
        <v>15000</v>
      </c>
      <c r="K50" s="67">
        <f t="shared" si="0"/>
        <v>12166.666666666666</v>
      </c>
      <c r="M50" s="4" t="s">
        <v>101</v>
      </c>
      <c r="N50" s="4"/>
    </row>
    <row r="51" spans="1:14" ht="15.75" x14ac:dyDescent="0.25">
      <c r="A51" s="59"/>
      <c r="B51" s="66" t="s">
        <v>45</v>
      </c>
      <c r="C51" s="86" t="s">
        <v>6</v>
      </c>
      <c r="D51" s="9">
        <v>15000</v>
      </c>
      <c r="E51" s="9">
        <v>10000</v>
      </c>
      <c r="F51" s="8">
        <v>9000</v>
      </c>
      <c r="G51" s="9">
        <v>10000</v>
      </c>
      <c r="H51" s="9">
        <v>12000</v>
      </c>
      <c r="I51" s="9">
        <v>13000</v>
      </c>
      <c r="J51" s="72">
        <v>10000</v>
      </c>
      <c r="K51" s="67">
        <f t="shared" si="0"/>
        <v>11285.714285714286</v>
      </c>
      <c r="M51" s="4"/>
      <c r="N51" s="23"/>
    </row>
    <row r="52" spans="1:14" ht="15.75" x14ac:dyDescent="0.25">
      <c r="A52" s="135">
        <v>13</v>
      </c>
      <c r="B52" s="60" t="s">
        <v>46</v>
      </c>
      <c r="C52" s="73"/>
      <c r="D52" s="74"/>
      <c r="E52" s="17"/>
      <c r="F52" s="76"/>
      <c r="G52" s="76"/>
      <c r="H52" s="15"/>
      <c r="I52" s="15"/>
      <c r="J52" s="84"/>
      <c r="K52" s="71"/>
      <c r="M52" s="4"/>
      <c r="N52" s="4"/>
    </row>
    <row r="53" spans="1:14" ht="15.75" x14ac:dyDescent="0.25">
      <c r="A53" s="137"/>
      <c r="B53" s="66" t="s">
        <v>47</v>
      </c>
      <c r="C53" s="17" t="s">
        <v>125</v>
      </c>
      <c r="D53" s="9">
        <v>3000</v>
      </c>
      <c r="E53" s="9">
        <v>4000</v>
      </c>
      <c r="F53" s="9">
        <v>5000</v>
      </c>
      <c r="G53" s="9">
        <v>5000</v>
      </c>
      <c r="H53" s="9">
        <v>2500</v>
      </c>
      <c r="I53" s="16">
        <v>5000</v>
      </c>
      <c r="J53" s="72">
        <v>2500</v>
      </c>
      <c r="K53" s="67">
        <f t="shared" si="0"/>
        <v>3857.1428571428573</v>
      </c>
      <c r="M53" s="4"/>
      <c r="N53" s="4"/>
    </row>
    <row r="54" spans="1:14" ht="15.75" x14ac:dyDescent="0.25">
      <c r="A54" s="135">
        <v>14</v>
      </c>
      <c r="B54" s="60" t="s">
        <v>49</v>
      </c>
      <c r="C54" s="80"/>
      <c r="D54" s="62"/>
      <c r="E54" s="17"/>
      <c r="F54" s="20"/>
      <c r="G54" s="20"/>
      <c r="H54" s="17"/>
      <c r="I54" s="17"/>
      <c r="J54" s="87"/>
      <c r="K54" s="71"/>
      <c r="M54" s="4"/>
      <c r="N54" s="4"/>
    </row>
    <row r="55" spans="1:14" ht="15.75" x14ac:dyDescent="0.25">
      <c r="A55" s="137"/>
      <c r="B55" s="88" t="s">
        <v>50</v>
      </c>
      <c r="C55" s="86" t="s">
        <v>6</v>
      </c>
      <c r="D55" s="9">
        <v>10000</v>
      </c>
      <c r="E55" s="9">
        <v>10500</v>
      </c>
      <c r="F55" s="9">
        <v>10000</v>
      </c>
      <c r="G55" s="9">
        <v>11000</v>
      </c>
      <c r="H55" s="9">
        <v>12000</v>
      </c>
      <c r="I55" s="9">
        <v>10000</v>
      </c>
      <c r="J55" s="72">
        <v>10000</v>
      </c>
      <c r="K55" s="67">
        <f t="shared" si="0"/>
        <v>10500</v>
      </c>
      <c r="M55" s="4"/>
      <c r="N55" s="4"/>
    </row>
    <row r="56" spans="1:14" ht="15.75" x14ac:dyDescent="0.25">
      <c r="A56" s="135">
        <v>15</v>
      </c>
      <c r="B56" s="60" t="s">
        <v>51</v>
      </c>
      <c r="C56" s="73"/>
      <c r="D56" s="74"/>
      <c r="E56" s="17"/>
      <c r="F56" s="76"/>
      <c r="G56" s="15"/>
      <c r="H56" s="15"/>
      <c r="I56" s="15"/>
      <c r="J56" s="84"/>
      <c r="K56" s="71"/>
      <c r="M56" s="4"/>
      <c r="N56" s="4"/>
    </row>
    <row r="57" spans="1:14" ht="15.75" x14ac:dyDescent="0.25">
      <c r="A57" s="136"/>
      <c r="B57" s="66" t="s">
        <v>52</v>
      </c>
      <c r="C57" s="17" t="s">
        <v>6</v>
      </c>
      <c r="D57" s="9">
        <v>16000</v>
      </c>
      <c r="E57" s="9">
        <v>13000</v>
      </c>
      <c r="F57" s="9">
        <v>14000</v>
      </c>
      <c r="G57" s="9">
        <v>14000</v>
      </c>
      <c r="H57" s="9">
        <v>11500</v>
      </c>
      <c r="I57" s="9">
        <v>17000</v>
      </c>
      <c r="J57" s="72" t="s">
        <v>99</v>
      </c>
      <c r="K57" s="67">
        <f t="shared" si="0"/>
        <v>14250</v>
      </c>
      <c r="M57" s="4"/>
      <c r="N57" s="4"/>
    </row>
    <row r="58" spans="1:14" ht="15.75" x14ac:dyDescent="0.25">
      <c r="A58" s="136"/>
      <c r="B58" s="66" t="s">
        <v>53</v>
      </c>
      <c r="C58" s="17" t="s">
        <v>6</v>
      </c>
      <c r="D58" s="9" t="s">
        <v>99</v>
      </c>
      <c r="E58" s="9" t="s">
        <v>99</v>
      </c>
      <c r="F58" s="16">
        <v>15000</v>
      </c>
      <c r="G58" s="22" t="s">
        <v>99</v>
      </c>
      <c r="H58" s="9">
        <v>13000</v>
      </c>
      <c r="I58" s="8">
        <v>15000</v>
      </c>
      <c r="J58" s="72">
        <v>14000</v>
      </c>
      <c r="K58" s="67">
        <f t="shared" si="0"/>
        <v>14250</v>
      </c>
      <c r="M58" s="4"/>
      <c r="N58" s="4"/>
    </row>
    <row r="59" spans="1:14" ht="15.75" x14ac:dyDescent="0.25">
      <c r="A59" s="136"/>
      <c r="B59" s="66" t="s">
        <v>54</v>
      </c>
      <c r="C59" s="17" t="s">
        <v>6</v>
      </c>
      <c r="D59" s="9">
        <v>22000</v>
      </c>
      <c r="E59" s="9">
        <v>23000</v>
      </c>
      <c r="F59" s="9">
        <v>23000</v>
      </c>
      <c r="G59" s="9">
        <v>23000</v>
      </c>
      <c r="H59" s="9">
        <v>20000</v>
      </c>
      <c r="I59" s="9">
        <v>23000</v>
      </c>
      <c r="J59" s="72">
        <v>24000</v>
      </c>
      <c r="K59" s="67">
        <f t="shared" si="0"/>
        <v>22571.428571428572</v>
      </c>
      <c r="M59" s="4"/>
      <c r="N59" s="4"/>
    </row>
    <row r="60" spans="1:14" ht="15.75" x14ac:dyDescent="0.25">
      <c r="A60" s="137"/>
      <c r="B60" s="66" t="s">
        <v>55</v>
      </c>
      <c r="C60" s="17" t="s">
        <v>6</v>
      </c>
      <c r="D60" s="9">
        <v>30000</v>
      </c>
      <c r="E60" s="9">
        <v>30000</v>
      </c>
      <c r="F60" s="9">
        <v>28000</v>
      </c>
      <c r="G60" s="9">
        <v>30000</v>
      </c>
      <c r="H60" s="9">
        <v>27000</v>
      </c>
      <c r="I60" s="9">
        <v>28000</v>
      </c>
      <c r="J60" s="72">
        <v>28000</v>
      </c>
      <c r="K60" s="67">
        <f t="shared" si="0"/>
        <v>28714.285714285714</v>
      </c>
      <c r="M60" s="4"/>
      <c r="N60" s="4"/>
    </row>
    <row r="61" spans="1:14" ht="15.75" x14ac:dyDescent="0.25">
      <c r="A61" s="17">
        <v>16</v>
      </c>
      <c r="B61" s="60" t="s">
        <v>56</v>
      </c>
      <c r="C61" s="80"/>
      <c r="D61" s="89"/>
      <c r="E61" s="10"/>
      <c r="F61" s="22"/>
      <c r="G61" s="10"/>
      <c r="H61" s="10"/>
      <c r="I61" s="10"/>
      <c r="J61" s="90"/>
      <c r="K61" s="71"/>
      <c r="M61" s="4"/>
      <c r="N61" s="4"/>
    </row>
    <row r="62" spans="1:14" ht="15.75" x14ac:dyDescent="0.25">
      <c r="A62" s="17"/>
      <c r="B62" s="66" t="s">
        <v>57</v>
      </c>
      <c r="C62" s="86" t="s">
        <v>58</v>
      </c>
      <c r="D62" s="9">
        <v>3000</v>
      </c>
      <c r="E62" s="9">
        <v>3200</v>
      </c>
      <c r="F62" s="9">
        <v>3000</v>
      </c>
      <c r="G62" s="9">
        <v>3000</v>
      </c>
      <c r="H62" s="10" t="s">
        <v>99</v>
      </c>
      <c r="I62" s="16">
        <v>3000</v>
      </c>
      <c r="J62" s="72">
        <v>3500</v>
      </c>
      <c r="K62" s="67">
        <f t="shared" si="0"/>
        <v>3116.6666666666665</v>
      </c>
      <c r="M62" s="4"/>
      <c r="N62" s="4"/>
    </row>
    <row r="63" spans="1:14" ht="15.75" x14ac:dyDescent="0.25">
      <c r="A63" s="135">
        <v>17</v>
      </c>
      <c r="B63" s="60" t="s">
        <v>59</v>
      </c>
      <c r="C63" s="73"/>
      <c r="D63" s="74"/>
      <c r="E63" s="17"/>
      <c r="F63" s="76"/>
      <c r="G63" s="76"/>
      <c r="H63" s="15"/>
      <c r="I63" s="15"/>
      <c r="J63" s="84"/>
      <c r="K63" s="71"/>
      <c r="M63" s="4"/>
      <c r="N63" s="4"/>
    </row>
    <row r="64" spans="1:14" ht="15.75" x14ac:dyDescent="0.25">
      <c r="A64" s="136"/>
      <c r="B64" s="66" t="s">
        <v>60</v>
      </c>
      <c r="C64" s="17" t="s">
        <v>6</v>
      </c>
      <c r="D64" s="9">
        <v>70000</v>
      </c>
      <c r="E64" s="9">
        <v>65000</v>
      </c>
      <c r="F64" s="9">
        <v>55000</v>
      </c>
      <c r="G64" s="9">
        <v>60000</v>
      </c>
      <c r="H64" s="9">
        <v>55000</v>
      </c>
      <c r="I64" s="9">
        <v>70000</v>
      </c>
      <c r="J64" s="72">
        <v>65000</v>
      </c>
      <c r="K64" s="67">
        <f t="shared" si="0"/>
        <v>62857.142857142855</v>
      </c>
      <c r="M64" s="4"/>
      <c r="N64" s="4"/>
    </row>
    <row r="65" spans="1:14" ht="15.75" x14ac:dyDescent="0.25">
      <c r="A65" s="136"/>
      <c r="B65" s="66" t="s">
        <v>61</v>
      </c>
      <c r="C65" s="17" t="s">
        <v>6</v>
      </c>
      <c r="D65" s="9">
        <v>70000</v>
      </c>
      <c r="E65" s="9">
        <v>48000</v>
      </c>
      <c r="F65" s="9">
        <v>50000</v>
      </c>
      <c r="G65" s="9">
        <v>50000</v>
      </c>
      <c r="H65" s="9">
        <v>50000</v>
      </c>
      <c r="I65" s="8">
        <v>57000</v>
      </c>
      <c r="J65" s="72">
        <v>65000</v>
      </c>
      <c r="K65" s="67">
        <f t="shared" si="0"/>
        <v>55714.285714285717</v>
      </c>
      <c r="M65" s="4"/>
      <c r="N65" s="4"/>
    </row>
    <row r="66" spans="1:14" ht="15.75" x14ac:dyDescent="0.25">
      <c r="A66" s="137"/>
      <c r="B66" s="66" t="s">
        <v>62</v>
      </c>
      <c r="C66" s="17" t="s">
        <v>6</v>
      </c>
      <c r="D66" s="9">
        <v>34000</v>
      </c>
      <c r="E66" s="9">
        <v>30000</v>
      </c>
      <c r="F66" s="9">
        <v>40000</v>
      </c>
      <c r="G66" s="9">
        <v>30000</v>
      </c>
      <c r="H66" s="9">
        <v>45000</v>
      </c>
      <c r="I66" s="9">
        <v>30000</v>
      </c>
      <c r="J66" s="72">
        <v>40000</v>
      </c>
      <c r="K66" s="67">
        <f t="shared" si="0"/>
        <v>35571.428571428572</v>
      </c>
      <c r="M66" s="4"/>
      <c r="N66" s="4"/>
    </row>
    <row r="67" spans="1:14" ht="15.75" x14ac:dyDescent="0.25">
      <c r="A67" s="17">
        <v>18</v>
      </c>
      <c r="B67" s="60" t="s">
        <v>63</v>
      </c>
      <c r="C67" s="80"/>
      <c r="D67" s="24"/>
      <c r="E67" s="10"/>
      <c r="F67" s="22"/>
      <c r="G67" s="10"/>
      <c r="H67" s="10" t="s">
        <v>1</v>
      </c>
      <c r="I67" s="10"/>
      <c r="J67" s="77"/>
      <c r="K67" s="71"/>
      <c r="M67" s="4"/>
      <c r="N67" s="4"/>
    </row>
    <row r="68" spans="1:14" ht="15.75" x14ac:dyDescent="0.25">
      <c r="A68" s="17"/>
      <c r="B68" s="66" t="s">
        <v>64</v>
      </c>
      <c r="C68" s="17" t="s">
        <v>65</v>
      </c>
      <c r="D68" s="9">
        <v>20000</v>
      </c>
      <c r="E68" s="9">
        <v>18000</v>
      </c>
      <c r="F68" s="9">
        <v>18000</v>
      </c>
      <c r="G68" s="9">
        <v>18000</v>
      </c>
      <c r="H68" s="10" t="s">
        <v>99</v>
      </c>
      <c r="I68" s="9">
        <v>18000</v>
      </c>
      <c r="J68" s="79">
        <v>18000</v>
      </c>
      <c r="K68" s="67">
        <f t="shared" si="0"/>
        <v>18333.333333333332</v>
      </c>
      <c r="M68" s="4"/>
      <c r="N68" s="4"/>
    </row>
    <row r="69" spans="1:14" ht="15.75" x14ac:dyDescent="0.25">
      <c r="A69" s="135">
        <v>19</v>
      </c>
      <c r="B69" s="60" t="s">
        <v>66</v>
      </c>
      <c r="C69" s="60"/>
      <c r="D69" s="74"/>
      <c r="E69" s="17"/>
      <c r="F69" s="15"/>
      <c r="G69" s="15"/>
      <c r="H69" s="15"/>
      <c r="I69" s="15"/>
      <c r="J69" s="75"/>
      <c r="K69" s="71"/>
      <c r="M69" s="4"/>
      <c r="N69" s="4"/>
    </row>
    <row r="70" spans="1:14" ht="15.75" x14ac:dyDescent="0.25">
      <c r="A70" s="136"/>
      <c r="B70" s="66" t="s">
        <v>67</v>
      </c>
      <c r="C70" s="17" t="s">
        <v>6</v>
      </c>
      <c r="D70" s="9">
        <v>36000</v>
      </c>
      <c r="E70" s="9">
        <v>35000</v>
      </c>
      <c r="F70" s="9">
        <v>36000</v>
      </c>
      <c r="G70" s="9">
        <v>35000</v>
      </c>
      <c r="H70" s="9">
        <v>36000</v>
      </c>
      <c r="I70" s="9">
        <v>40000</v>
      </c>
      <c r="J70" s="72">
        <v>40000</v>
      </c>
      <c r="K70" s="67">
        <f t="shared" si="0"/>
        <v>36857.142857142855</v>
      </c>
      <c r="M70" s="4"/>
      <c r="N70" s="4"/>
    </row>
    <row r="71" spans="1:14" ht="15.75" x14ac:dyDescent="0.25">
      <c r="A71" s="136"/>
      <c r="B71" s="66" t="s">
        <v>68</v>
      </c>
      <c r="C71" s="17" t="s">
        <v>6</v>
      </c>
      <c r="D71" s="9">
        <v>34000</v>
      </c>
      <c r="E71" s="9">
        <v>32000</v>
      </c>
      <c r="F71" s="9">
        <v>34000</v>
      </c>
      <c r="G71" s="9">
        <v>32000</v>
      </c>
      <c r="H71" s="9">
        <v>32000</v>
      </c>
      <c r="I71" s="9">
        <v>35000</v>
      </c>
      <c r="J71" s="72">
        <v>33000</v>
      </c>
      <c r="K71" s="67">
        <f t="shared" si="0"/>
        <v>33142.857142857145</v>
      </c>
      <c r="M71" s="4"/>
      <c r="N71" s="4"/>
    </row>
    <row r="72" spans="1:14" ht="15.75" x14ac:dyDescent="0.25">
      <c r="A72" s="136"/>
      <c r="B72" s="66" t="s">
        <v>69</v>
      </c>
      <c r="C72" s="17" t="s">
        <v>6</v>
      </c>
      <c r="D72" s="9">
        <v>26000</v>
      </c>
      <c r="E72" s="9">
        <v>28000</v>
      </c>
      <c r="F72" s="9">
        <v>24000</v>
      </c>
      <c r="G72" s="9">
        <v>24000</v>
      </c>
      <c r="H72" s="9">
        <v>22000</v>
      </c>
      <c r="I72" s="9">
        <v>25000</v>
      </c>
      <c r="J72" s="72">
        <v>20000</v>
      </c>
      <c r="K72" s="67">
        <f t="shared" si="0"/>
        <v>24142.857142857141</v>
      </c>
      <c r="M72" s="4"/>
      <c r="N72" s="4"/>
    </row>
    <row r="73" spans="1:14" ht="15.75" x14ac:dyDescent="0.25">
      <c r="A73" s="137"/>
      <c r="B73" s="66" t="s">
        <v>70</v>
      </c>
      <c r="C73" s="17" t="s">
        <v>6</v>
      </c>
      <c r="D73" s="9">
        <v>28000</v>
      </c>
      <c r="E73" s="9">
        <v>25000</v>
      </c>
      <c r="F73" s="16">
        <v>28000</v>
      </c>
      <c r="G73" s="8">
        <v>30000</v>
      </c>
      <c r="H73" s="9">
        <v>25000</v>
      </c>
      <c r="I73" s="9">
        <v>25000</v>
      </c>
      <c r="J73" s="72">
        <v>30000</v>
      </c>
      <c r="K73" s="67">
        <f t="shared" si="0"/>
        <v>27285.714285714286</v>
      </c>
      <c r="M73" s="4"/>
      <c r="N73" s="4"/>
    </row>
    <row r="74" spans="1:14" ht="15.75" x14ac:dyDescent="0.25">
      <c r="A74" s="17">
        <v>20</v>
      </c>
      <c r="B74" s="60" t="s">
        <v>71</v>
      </c>
      <c r="C74" s="91"/>
      <c r="D74" s="24"/>
      <c r="E74" s="10"/>
      <c r="F74" s="10"/>
      <c r="G74" s="89"/>
      <c r="H74" s="10"/>
      <c r="I74" s="10"/>
      <c r="J74" s="90"/>
      <c r="K74" s="71"/>
      <c r="M74" s="4"/>
      <c r="N74" s="4"/>
    </row>
    <row r="75" spans="1:14" ht="15.75" x14ac:dyDescent="0.25">
      <c r="A75" s="17"/>
      <c r="B75" s="66" t="s">
        <v>72</v>
      </c>
      <c r="C75" s="86" t="s">
        <v>6</v>
      </c>
      <c r="D75" s="9">
        <v>7000</v>
      </c>
      <c r="E75" s="9">
        <v>7000</v>
      </c>
      <c r="F75" s="9">
        <v>5000</v>
      </c>
      <c r="G75" s="9">
        <v>6000</v>
      </c>
      <c r="H75" s="9">
        <v>5000</v>
      </c>
      <c r="I75" s="9">
        <v>5000</v>
      </c>
      <c r="J75" s="72">
        <v>5000</v>
      </c>
      <c r="K75" s="67">
        <f t="shared" si="0"/>
        <v>5714.2857142857147</v>
      </c>
      <c r="M75" s="4"/>
      <c r="N75" s="4"/>
    </row>
    <row r="76" spans="1:14" ht="15.75" x14ac:dyDescent="0.25">
      <c r="A76" s="17"/>
      <c r="B76" s="66" t="s">
        <v>73</v>
      </c>
      <c r="C76" s="86" t="s">
        <v>6</v>
      </c>
      <c r="D76" s="9">
        <v>7000</v>
      </c>
      <c r="E76" s="9">
        <v>6000</v>
      </c>
      <c r="F76" s="16">
        <v>6000</v>
      </c>
      <c r="G76" s="8">
        <v>6000</v>
      </c>
      <c r="H76" s="9">
        <v>5000</v>
      </c>
      <c r="I76" s="9">
        <v>6000</v>
      </c>
      <c r="J76" s="79">
        <v>6000</v>
      </c>
      <c r="K76" s="67">
        <f t="shared" si="0"/>
        <v>6000</v>
      </c>
      <c r="M76" s="4"/>
      <c r="N76" s="4"/>
    </row>
    <row r="77" spans="1:14" ht="15.75" x14ac:dyDescent="0.25">
      <c r="A77" s="17">
        <v>21</v>
      </c>
      <c r="B77" s="60" t="s">
        <v>74</v>
      </c>
      <c r="C77" s="91"/>
      <c r="D77" s="19"/>
      <c r="E77" s="10"/>
      <c r="F77" s="10"/>
      <c r="G77" s="22"/>
      <c r="H77" s="10"/>
      <c r="I77" s="10"/>
      <c r="J77" s="77"/>
      <c r="K77" s="71"/>
      <c r="M77" s="4"/>
      <c r="N77" s="4"/>
    </row>
    <row r="78" spans="1:14" ht="15.75" x14ac:dyDescent="0.25">
      <c r="A78" s="17"/>
      <c r="B78" s="66" t="s">
        <v>75</v>
      </c>
      <c r="C78" s="86" t="s">
        <v>6</v>
      </c>
      <c r="D78" s="9">
        <v>8000</v>
      </c>
      <c r="E78" s="9">
        <v>8000</v>
      </c>
      <c r="F78" s="9">
        <v>10000</v>
      </c>
      <c r="G78" s="9">
        <v>8000</v>
      </c>
      <c r="H78" s="9">
        <v>6000</v>
      </c>
      <c r="I78" s="16">
        <v>9000</v>
      </c>
      <c r="J78" s="72" t="s">
        <v>99</v>
      </c>
      <c r="K78" s="67">
        <f t="shared" si="0"/>
        <v>8166.666666666667</v>
      </c>
      <c r="M78" s="4"/>
      <c r="N78" s="4"/>
    </row>
    <row r="79" spans="1:14" ht="15.75" x14ac:dyDescent="0.25">
      <c r="A79" s="17"/>
      <c r="B79" s="66" t="s">
        <v>76</v>
      </c>
      <c r="C79" s="86" t="s">
        <v>6</v>
      </c>
      <c r="D79" s="9">
        <v>8000</v>
      </c>
      <c r="E79" s="9">
        <v>10000</v>
      </c>
      <c r="F79" s="9">
        <v>20000</v>
      </c>
      <c r="G79" s="9">
        <v>12000</v>
      </c>
      <c r="H79" s="9">
        <v>6000</v>
      </c>
      <c r="I79" s="16">
        <v>12000</v>
      </c>
      <c r="J79" s="72">
        <v>15000</v>
      </c>
      <c r="K79" s="67">
        <f t="shared" si="0"/>
        <v>11857.142857142857</v>
      </c>
      <c r="M79" s="4"/>
      <c r="N79" s="4"/>
    </row>
    <row r="80" spans="1:14" ht="15.75" x14ac:dyDescent="0.25">
      <c r="A80" s="17"/>
      <c r="B80" s="66" t="s">
        <v>77</v>
      </c>
      <c r="C80" s="86" t="s">
        <v>6</v>
      </c>
      <c r="D80" s="9">
        <v>18000</v>
      </c>
      <c r="E80" s="9">
        <v>16000</v>
      </c>
      <c r="F80" s="9">
        <v>17000</v>
      </c>
      <c r="G80" s="9">
        <v>15000</v>
      </c>
      <c r="H80" s="9">
        <v>15000</v>
      </c>
      <c r="I80" s="9">
        <v>20000</v>
      </c>
      <c r="J80" s="72">
        <v>18000</v>
      </c>
      <c r="K80" s="67">
        <f t="shared" si="0"/>
        <v>17000</v>
      </c>
      <c r="M80" s="4"/>
      <c r="N80" s="4"/>
    </row>
    <row r="81" spans="1:14" ht="15.75" x14ac:dyDescent="0.25">
      <c r="A81" s="17"/>
      <c r="B81" s="66" t="s">
        <v>78</v>
      </c>
      <c r="C81" s="86" t="s">
        <v>6</v>
      </c>
      <c r="D81" s="9">
        <v>22000</v>
      </c>
      <c r="E81" s="9">
        <v>15000</v>
      </c>
      <c r="F81" s="9">
        <v>10000</v>
      </c>
      <c r="G81" s="9">
        <v>10000</v>
      </c>
      <c r="H81" s="9">
        <v>20000</v>
      </c>
      <c r="I81" s="8">
        <v>25000</v>
      </c>
      <c r="J81" s="72">
        <v>20000</v>
      </c>
      <c r="K81" s="67">
        <f t="shared" ref="K81:K88" si="1">AVERAGE(D81:J81)</f>
        <v>17428.571428571428</v>
      </c>
      <c r="M81" s="4"/>
      <c r="N81" s="4"/>
    </row>
    <row r="82" spans="1:14" ht="15.75" x14ac:dyDescent="0.25">
      <c r="A82" s="17"/>
      <c r="B82" s="66" t="s">
        <v>79</v>
      </c>
      <c r="C82" s="86" t="s">
        <v>6</v>
      </c>
      <c r="D82" s="9">
        <v>14000</v>
      </c>
      <c r="E82" s="9">
        <v>12000</v>
      </c>
      <c r="F82" s="9">
        <v>14000</v>
      </c>
      <c r="G82" s="9">
        <v>12000</v>
      </c>
      <c r="H82" s="9">
        <v>10000</v>
      </c>
      <c r="I82" s="9">
        <v>20000</v>
      </c>
      <c r="J82" s="72">
        <v>15000</v>
      </c>
      <c r="K82" s="67">
        <f t="shared" si="1"/>
        <v>13857.142857142857</v>
      </c>
      <c r="M82" s="4"/>
      <c r="N82" s="4"/>
    </row>
    <row r="83" spans="1:14" ht="15.75" x14ac:dyDescent="0.25">
      <c r="A83" s="17"/>
      <c r="B83" s="66" t="s">
        <v>80</v>
      </c>
      <c r="C83" s="86" t="s">
        <v>6</v>
      </c>
      <c r="D83" s="9">
        <v>9000</v>
      </c>
      <c r="E83" s="9">
        <v>8000</v>
      </c>
      <c r="F83" s="16">
        <v>9000</v>
      </c>
      <c r="G83" s="8">
        <v>8000</v>
      </c>
      <c r="H83" s="9">
        <v>7000</v>
      </c>
      <c r="I83" s="16">
        <v>9000</v>
      </c>
      <c r="J83" s="72">
        <v>8000</v>
      </c>
      <c r="K83" s="67">
        <f t="shared" si="1"/>
        <v>8285.7142857142862</v>
      </c>
      <c r="M83" s="4"/>
      <c r="N83" s="4"/>
    </row>
    <row r="84" spans="1:14" ht="15.75" x14ac:dyDescent="0.25">
      <c r="A84" s="17"/>
      <c r="B84" s="66" t="s">
        <v>81</v>
      </c>
      <c r="C84" s="86" t="s">
        <v>82</v>
      </c>
      <c r="D84" s="9">
        <v>2000</v>
      </c>
      <c r="E84" s="9">
        <v>1500</v>
      </c>
      <c r="F84" s="9">
        <v>2000</v>
      </c>
      <c r="G84" s="8">
        <v>2000</v>
      </c>
      <c r="H84" s="9">
        <v>1500</v>
      </c>
      <c r="I84" s="9">
        <v>2000</v>
      </c>
      <c r="J84" s="79">
        <v>1500</v>
      </c>
      <c r="K84" s="67">
        <f t="shared" si="1"/>
        <v>1785.7142857142858</v>
      </c>
      <c r="L84" s="4"/>
      <c r="M84" s="4"/>
      <c r="N84" s="4"/>
    </row>
    <row r="85" spans="1:14" x14ac:dyDescent="0.25">
      <c r="A85" s="17"/>
      <c r="B85" s="66" t="s">
        <v>83</v>
      </c>
      <c r="C85" s="86" t="s">
        <v>82</v>
      </c>
      <c r="D85" s="9">
        <v>1500</v>
      </c>
      <c r="E85" s="9">
        <v>1500</v>
      </c>
      <c r="F85" s="9">
        <v>1500</v>
      </c>
      <c r="G85" s="8">
        <v>2000</v>
      </c>
      <c r="H85" s="9">
        <v>1500</v>
      </c>
      <c r="I85" s="9">
        <v>1500</v>
      </c>
      <c r="J85" s="79">
        <v>1000</v>
      </c>
      <c r="K85" s="67">
        <f t="shared" si="1"/>
        <v>1500</v>
      </c>
    </row>
    <row r="86" spans="1:14" x14ac:dyDescent="0.25">
      <c r="A86" s="17"/>
      <c r="B86" s="66" t="s">
        <v>84</v>
      </c>
      <c r="C86" s="86" t="s">
        <v>82</v>
      </c>
      <c r="D86" s="9" t="s">
        <v>99</v>
      </c>
      <c r="E86" s="9">
        <v>2000</v>
      </c>
      <c r="F86" s="9" t="s">
        <v>99</v>
      </c>
      <c r="G86" s="8" t="s">
        <v>99</v>
      </c>
      <c r="H86" s="9">
        <v>2500</v>
      </c>
      <c r="I86" s="9" t="s">
        <v>99</v>
      </c>
      <c r="J86" s="79">
        <v>2000</v>
      </c>
      <c r="K86" s="67">
        <f t="shared" si="1"/>
        <v>2166.6666666666665</v>
      </c>
    </row>
    <row r="87" spans="1:14" x14ac:dyDescent="0.25">
      <c r="A87" s="17">
        <v>22</v>
      </c>
      <c r="B87" s="60" t="s">
        <v>85</v>
      </c>
      <c r="C87" s="91"/>
      <c r="D87" s="22"/>
      <c r="E87" s="10"/>
      <c r="F87" s="10" t="s">
        <v>102</v>
      </c>
      <c r="G87" s="22"/>
      <c r="H87" s="10"/>
      <c r="I87" s="10"/>
      <c r="J87" s="77"/>
      <c r="K87" s="71"/>
    </row>
    <row r="88" spans="1:14" x14ac:dyDescent="0.25">
      <c r="A88" s="17"/>
      <c r="B88" s="66" t="s">
        <v>86</v>
      </c>
      <c r="C88" s="86" t="s">
        <v>87</v>
      </c>
      <c r="D88" s="9" t="s">
        <v>99</v>
      </c>
      <c r="E88" s="9" t="s">
        <v>99</v>
      </c>
      <c r="F88" s="9">
        <v>18000</v>
      </c>
      <c r="G88" s="8">
        <v>17000</v>
      </c>
      <c r="H88" s="10" t="s">
        <v>99</v>
      </c>
      <c r="I88" s="16">
        <v>18000</v>
      </c>
      <c r="J88" s="79">
        <v>18000</v>
      </c>
      <c r="K88" s="67">
        <f t="shared" si="1"/>
        <v>17750</v>
      </c>
    </row>
  </sheetData>
  <mergeCells count="28">
    <mergeCell ref="A54:A55"/>
    <mergeCell ref="A56:A60"/>
    <mergeCell ref="A63:A66"/>
    <mergeCell ref="A69:A73"/>
    <mergeCell ref="A26:A32"/>
    <mergeCell ref="A33:A35"/>
    <mergeCell ref="A43:A45"/>
    <mergeCell ref="A46:A48"/>
    <mergeCell ref="A52:A53"/>
    <mergeCell ref="A13:A15"/>
    <mergeCell ref="A7:A12"/>
    <mergeCell ref="A16:A17"/>
    <mergeCell ref="A19:A20"/>
    <mergeCell ref="A21:A2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I4:I6"/>
  </mergeCells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DB74-AE00-4B7B-B18E-5BF94EFB264B}">
  <dimension ref="A1:N88"/>
  <sheetViews>
    <sheetView workbookViewId="0">
      <selection activeCell="A4" sqref="A4:A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3.37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3.37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3.37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3.37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3.37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3.37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3.37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3.37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3.37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3.37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3.37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3.37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3.37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3.37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3.37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3.37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3.37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3.37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3.37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3.37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3.37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3.37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3.37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3.37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3.37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3.37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3.37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3.37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3.37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3.37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3.37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3.37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3.37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3.37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3.37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3.37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3.37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3.37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3.37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3.37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3.37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3.37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3.37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3.37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3.37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3.37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3.37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3.37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3.37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3.37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3.37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3.37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3.37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3.37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3.37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3.37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3.37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3.37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3.37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3.37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3.37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3.37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3.37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3.37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02" t="s">
        <v>88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M1" s="4"/>
      <c r="N1" s="4"/>
    </row>
    <row r="2" spans="1:14" ht="27.75" customHeight="1" x14ac:dyDescent="0.25">
      <c r="A2" s="103" t="s">
        <v>89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M2" s="4"/>
      <c r="N2" s="4"/>
    </row>
    <row r="3" spans="1:14" ht="27.75" customHeight="1" thickBot="1" x14ac:dyDescent="0.3">
      <c r="A3" s="104" t="s">
        <v>135</v>
      </c>
      <c r="B3" s="104"/>
      <c r="C3" s="104"/>
      <c r="D3" s="104"/>
      <c r="E3" s="104"/>
      <c r="F3" s="104"/>
      <c r="G3" s="104"/>
      <c r="H3" s="104"/>
      <c r="I3" s="104"/>
      <c r="J3" s="104"/>
      <c r="K3" s="105"/>
      <c r="M3" s="4"/>
      <c r="N3" s="4"/>
    </row>
    <row r="4" spans="1:14" ht="25.5" customHeight="1" x14ac:dyDescent="0.25">
      <c r="A4" s="96" t="s">
        <v>1</v>
      </c>
      <c r="B4" s="99" t="s">
        <v>2</v>
      </c>
      <c r="C4" s="96" t="s">
        <v>90</v>
      </c>
      <c r="D4" s="110" t="s">
        <v>91</v>
      </c>
      <c r="E4" s="113" t="s">
        <v>92</v>
      </c>
      <c r="F4" s="125" t="s">
        <v>93</v>
      </c>
      <c r="G4" s="139" t="s">
        <v>94</v>
      </c>
      <c r="H4" s="116" t="s">
        <v>95</v>
      </c>
      <c r="I4" s="119" t="s">
        <v>96</v>
      </c>
      <c r="J4" s="106" t="s">
        <v>97</v>
      </c>
      <c r="K4" s="122" t="s">
        <v>98</v>
      </c>
      <c r="M4" s="4"/>
      <c r="N4" s="4"/>
    </row>
    <row r="5" spans="1:14" ht="15" customHeight="1" x14ac:dyDescent="0.25">
      <c r="A5" s="97"/>
      <c r="B5" s="100"/>
      <c r="C5" s="97"/>
      <c r="D5" s="111"/>
      <c r="E5" s="114"/>
      <c r="F5" s="126"/>
      <c r="G5" s="140"/>
      <c r="H5" s="117"/>
      <c r="I5" s="120"/>
      <c r="J5" s="107"/>
      <c r="K5" s="123"/>
      <c r="M5" s="4"/>
      <c r="N5" s="4"/>
    </row>
    <row r="6" spans="1:14" ht="16.5" thickBot="1" x14ac:dyDescent="0.3">
      <c r="A6" s="98"/>
      <c r="B6" s="109"/>
      <c r="C6" s="98"/>
      <c r="D6" s="112"/>
      <c r="E6" s="115"/>
      <c r="F6" s="127"/>
      <c r="G6" s="141"/>
      <c r="H6" s="118"/>
      <c r="I6" s="121"/>
      <c r="J6" s="108"/>
      <c r="K6" s="124"/>
      <c r="M6" s="4"/>
      <c r="N6" s="4"/>
    </row>
    <row r="7" spans="1:14" ht="15.75" x14ac:dyDescent="0.25">
      <c r="A7" s="101">
        <v>1</v>
      </c>
      <c r="B7" s="60" t="s">
        <v>4</v>
      </c>
      <c r="C7" s="61"/>
      <c r="D7" s="62"/>
      <c r="E7" s="17" t="s">
        <v>102</v>
      </c>
      <c r="F7" s="17"/>
      <c r="G7" s="63"/>
      <c r="H7" s="63" t="s">
        <v>1</v>
      </c>
      <c r="I7" s="64"/>
      <c r="J7" s="63"/>
      <c r="K7" s="65"/>
      <c r="M7" s="4"/>
      <c r="N7" s="4"/>
    </row>
    <row r="8" spans="1:14" ht="15.75" x14ac:dyDescent="0.25">
      <c r="A8" s="101"/>
      <c r="B8" s="66" t="s">
        <v>107</v>
      </c>
      <c r="C8" s="17" t="s">
        <v>6</v>
      </c>
      <c r="D8" s="9">
        <v>15500</v>
      </c>
      <c r="E8" s="9">
        <v>15500</v>
      </c>
      <c r="F8" s="9">
        <v>15500</v>
      </c>
      <c r="G8" s="9">
        <v>15500</v>
      </c>
      <c r="H8" s="9">
        <v>17000</v>
      </c>
      <c r="I8" s="9">
        <v>15500</v>
      </c>
      <c r="J8" s="16">
        <v>14000</v>
      </c>
      <c r="K8" s="67">
        <f>AVERAGE(D8:J8)</f>
        <v>15500</v>
      </c>
      <c r="L8" s="1"/>
      <c r="M8" s="7"/>
      <c r="N8" s="4"/>
    </row>
    <row r="9" spans="1:14" ht="15.75" x14ac:dyDescent="0.25">
      <c r="A9" s="101"/>
      <c r="B9" s="66" t="s">
        <v>115</v>
      </c>
      <c r="C9" s="17" t="s">
        <v>6</v>
      </c>
      <c r="D9" s="9">
        <v>10900</v>
      </c>
      <c r="E9" s="9">
        <v>10900</v>
      </c>
      <c r="F9" s="9">
        <v>10900</v>
      </c>
      <c r="G9" s="8">
        <v>10900</v>
      </c>
      <c r="H9" s="9">
        <v>12000</v>
      </c>
      <c r="I9" s="9">
        <v>10900</v>
      </c>
      <c r="J9" s="16" t="s">
        <v>99</v>
      </c>
      <c r="K9" s="67">
        <f t="shared" ref="K9:K80" si="0">AVERAGE(D9:J9)</f>
        <v>11083.333333333334</v>
      </c>
      <c r="M9" s="4"/>
      <c r="N9" s="4"/>
    </row>
    <row r="10" spans="1:14" ht="15.75" x14ac:dyDescent="0.25">
      <c r="A10" s="101"/>
      <c r="B10" s="66" t="s">
        <v>108</v>
      </c>
      <c r="C10" s="17" t="s">
        <v>6</v>
      </c>
      <c r="D10" s="9" t="s">
        <v>99</v>
      </c>
      <c r="E10" s="9" t="s">
        <v>99</v>
      </c>
      <c r="F10" s="9" t="s">
        <v>99</v>
      </c>
      <c r="G10" s="8" t="s">
        <v>99</v>
      </c>
      <c r="H10" s="9" t="s">
        <v>99</v>
      </c>
      <c r="I10" s="9" t="s">
        <v>99</v>
      </c>
      <c r="J10" s="16" t="s">
        <v>99</v>
      </c>
      <c r="K10" s="67">
        <v>0</v>
      </c>
      <c r="M10" s="4"/>
      <c r="N10" s="4"/>
    </row>
    <row r="11" spans="1:14" ht="15.75" x14ac:dyDescent="0.25">
      <c r="A11" s="101"/>
      <c r="B11" s="66" t="s">
        <v>9</v>
      </c>
      <c r="C11" s="17" t="s">
        <v>6</v>
      </c>
      <c r="D11" s="9" t="s">
        <v>99</v>
      </c>
      <c r="E11" s="9">
        <v>10000</v>
      </c>
      <c r="F11" s="16">
        <v>12000</v>
      </c>
      <c r="G11" s="8">
        <v>10000</v>
      </c>
      <c r="H11" s="9">
        <v>10000</v>
      </c>
      <c r="I11" s="16">
        <v>12000</v>
      </c>
      <c r="J11" s="16">
        <v>10000</v>
      </c>
      <c r="K11" s="67">
        <f>AVERAGE(D11:J11)</f>
        <v>10666.666666666666</v>
      </c>
      <c r="M11" s="4"/>
      <c r="N11" s="4"/>
    </row>
    <row r="12" spans="1:14" ht="15.75" x14ac:dyDescent="0.25">
      <c r="A12" s="101"/>
      <c r="B12" s="66" t="s">
        <v>10</v>
      </c>
      <c r="C12" s="17" t="s">
        <v>6</v>
      </c>
      <c r="D12" s="9" t="s">
        <v>99</v>
      </c>
      <c r="E12" s="9">
        <v>21000</v>
      </c>
      <c r="F12" s="16">
        <v>16000</v>
      </c>
      <c r="G12" s="8">
        <v>18000</v>
      </c>
      <c r="H12" s="9">
        <v>25000</v>
      </c>
      <c r="I12" s="16">
        <v>17000</v>
      </c>
      <c r="J12" s="16">
        <v>17000</v>
      </c>
      <c r="K12" s="67">
        <f t="shared" si="0"/>
        <v>19000</v>
      </c>
      <c r="M12" s="4"/>
      <c r="N12" s="4"/>
    </row>
    <row r="13" spans="1:14" ht="15.75" x14ac:dyDescent="0.25">
      <c r="A13" s="101">
        <v>2</v>
      </c>
      <c r="B13" s="60" t="s">
        <v>11</v>
      </c>
      <c r="C13" s="68"/>
      <c r="D13" s="62"/>
      <c r="E13" s="92"/>
      <c r="F13" s="17"/>
      <c r="G13" s="70"/>
      <c r="H13" s="70"/>
      <c r="I13" s="70"/>
      <c r="J13" s="70"/>
      <c r="K13" s="71"/>
      <c r="M13" s="4"/>
      <c r="N13" s="12"/>
    </row>
    <row r="14" spans="1:14" ht="15.75" x14ac:dyDescent="0.25">
      <c r="A14" s="101"/>
      <c r="B14" s="66" t="s">
        <v>116</v>
      </c>
      <c r="C14" s="17" t="s">
        <v>6</v>
      </c>
      <c r="D14" s="9">
        <v>16000</v>
      </c>
      <c r="E14" s="9">
        <v>16000</v>
      </c>
      <c r="F14" s="9">
        <v>16000</v>
      </c>
      <c r="G14" s="16">
        <v>16000</v>
      </c>
      <c r="H14" s="9">
        <v>16500</v>
      </c>
      <c r="I14" s="9">
        <v>16500</v>
      </c>
      <c r="J14" s="72">
        <v>16500</v>
      </c>
      <c r="K14" s="67">
        <f t="shared" si="0"/>
        <v>16214.285714285714</v>
      </c>
      <c r="M14" s="4"/>
      <c r="N14" s="4"/>
    </row>
    <row r="15" spans="1:14" ht="15.75" x14ac:dyDescent="0.25">
      <c r="A15" s="101"/>
      <c r="B15" s="66" t="s">
        <v>13</v>
      </c>
      <c r="C15" s="17" t="s">
        <v>6</v>
      </c>
      <c r="D15" s="9">
        <v>17000</v>
      </c>
      <c r="E15" s="9">
        <v>16000</v>
      </c>
      <c r="F15" s="16">
        <v>16000</v>
      </c>
      <c r="G15" s="8">
        <v>16000</v>
      </c>
      <c r="H15" s="9">
        <v>17000</v>
      </c>
      <c r="I15" s="9">
        <v>16000</v>
      </c>
      <c r="J15" s="72">
        <v>18000</v>
      </c>
      <c r="K15" s="67">
        <f>AVERAGE(D15:J15)</f>
        <v>16571.428571428572</v>
      </c>
      <c r="M15" s="4"/>
      <c r="N15" s="4"/>
    </row>
    <row r="16" spans="1:14" ht="15.75" x14ac:dyDescent="0.25">
      <c r="A16" s="101">
        <v>3</v>
      </c>
      <c r="B16" s="60" t="s">
        <v>14</v>
      </c>
      <c r="C16" s="73"/>
      <c r="D16" s="74"/>
      <c r="E16" s="15"/>
      <c r="F16" s="15"/>
      <c r="G16" s="15"/>
      <c r="H16" s="15"/>
      <c r="I16" s="15" t="s">
        <v>130</v>
      </c>
      <c r="J16" s="75"/>
      <c r="K16" s="71"/>
      <c r="M16" s="4"/>
      <c r="N16" s="4"/>
    </row>
    <row r="17" spans="1:14" ht="15.75" x14ac:dyDescent="0.25">
      <c r="A17" s="101"/>
      <c r="B17" s="66" t="s">
        <v>15</v>
      </c>
      <c r="C17" s="17" t="s">
        <v>6</v>
      </c>
      <c r="D17" s="9">
        <v>15000</v>
      </c>
      <c r="E17" s="9">
        <v>15000</v>
      </c>
      <c r="F17" s="9">
        <v>14000</v>
      </c>
      <c r="G17" s="9">
        <v>15000</v>
      </c>
      <c r="H17" s="9">
        <v>16000</v>
      </c>
      <c r="I17" s="9">
        <v>16000</v>
      </c>
      <c r="J17" s="72">
        <v>16000</v>
      </c>
      <c r="K17" s="67">
        <f t="shared" si="0"/>
        <v>15285.714285714286</v>
      </c>
      <c r="M17" s="4"/>
      <c r="N17" s="4"/>
    </row>
    <row r="18" spans="1:14" ht="15.75" x14ac:dyDescent="0.25">
      <c r="A18" s="59"/>
      <c r="B18" s="66" t="s">
        <v>109</v>
      </c>
      <c r="C18" s="17" t="s">
        <v>110</v>
      </c>
      <c r="D18" s="9">
        <v>14000</v>
      </c>
      <c r="E18" s="9">
        <v>14000</v>
      </c>
      <c r="F18" s="9">
        <v>14000</v>
      </c>
      <c r="G18" s="9">
        <v>14000</v>
      </c>
      <c r="H18" s="9" t="s">
        <v>99</v>
      </c>
      <c r="I18" s="9">
        <v>14000</v>
      </c>
      <c r="J18" s="72">
        <v>14000</v>
      </c>
      <c r="K18" s="67">
        <f t="shared" si="0"/>
        <v>14000</v>
      </c>
      <c r="M18" s="4"/>
      <c r="N18" s="4"/>
    </row>
    <row r="19" spans="1:14" ht="17.25" customHeight="1" x14ac:dyDescent="0.25">
      <c r="A19" s="101">
        <v>4</v>
      </c>
      <c r="B19" s="60" t="s">
        <v>16</v>
      </c>
      <c r="C19" s="73"/>
      <c r="D19" s="74"/>
      <c r="E19" s="15"/>
      <c r="F19" s="15"/>
      <c r="G19" s="76"/>
      <c r="H19" s="15"/>
      <c r="I19" s="15"/>
      <c r="J19" s="75"/>
      <c r="K19" s="71"/>
      <c r="M19" s="4"/>
      <c r="N19" s="4"/>
    </row>
    <row r="20" spans="1:14" ht="15.75" x14ac:dyDescent="0.25">
      <c r="A20" s="101"/>
      <c r="B20" s="66" t="s">
        <v>17</v>
      </c>
      <c r="C20" s="17" t="s">
        <v>6</v>
      </c>
      <c r="D20" s="9">
        <v>20000</v>
      </c>
      <c r="E20" s="9">
        <v>20000</v>
      </c>
      <c r="F20" s="16">
        <v>20000</v>
      </c>
      <c r="G20" s="8">
        <v>22000</v>
      </c>
      <c r="H20" s="16">
        <v>33000</v>
      </c>
      <c r="I20" s="16">
        <v>20000</v>
      </c>
      <c r="J20" s="77" t="s">
        <v>99</v>
      </c>
      <c r="K20" s="67">
        <f t="shared" si="0"/>
        <v>22500</v>
      </c>
      <c r="M20" s="4"/>
      <c r="N20" s="4"/>
    </row>
    <row r="21" spans="1:14" ht="15.75" x14ac:dyDescent="0.25">
      <c r="A21" s="101">
        <v>5</v>
      </c>
      <c r="B21" s="60" t="s">
        <v>18</v>
      </c>
      <c r="C21" s="73"/>
      <c r="D21" s="74"/>
      <c r="E21" s="17"/>
      <c r="F21" s="15" t="s">
        <v>1</v>
      </c>
      <c r="G21" s="76"/>
      <c r="H21" s="15"/>
      <c r="I21" s="15"/>
      <c r="J21" s="75"/>
      <c r="K21" s="71"/>
      <c r="M21" s="4"/>
      <c r="N21" s="4"/>
    </row>
    <row r="22" spans="1:14" ht="15.75" x14ac:dyDescent="0.25">
      <c r="A22" s="101"/>
      <c r="B22" s="66" t="s">
        <v>19</v>
      </c>
      <c r="C22" s="17" t="s">
        <v>6</v>
      </c>
      <c r="D22" s="9">
        <v>120000</v>
      </c>
      <c r="E22" s="9">
        <v>120000</v>
      </c>
      <c r="F22" s="9">
        <v>120000</v>
      </c>
      <c r="G22" s="9">
        <v>120000</v>
      </c>
      <c r="H22" s="9">
        <v>120000</v>
      </c>
      <c r="I22" s="8">
        <v>120000</v>
      </c>
      <c r="J22" s="72" t="s">
        <v>99</v>
      </c>
      <c r="K22" s="67">
        <f t="shared" si="0"/>
        <v>120000</v>
      </c>
      <c r="M22" s="4"/>
      <c r="N22" s="4"/>
    </row>
    <row r="23" spans="1:14" ht="15.75" x14ac:dyDescent="0.25">
      <c r="A23" s="101"/>
      <c r="B23" s="66" t="s">
        <v>20</v>
      </c>
      <c r="C23" s="17" t="s">
        <v>6</v>
      </c>
      <c r="D23" s="9">
        <v>110000</v>
      </c>
      <c r="E23" s="9">
        <v>110000</v>
      </c>
      <c r="F23" s="9">
        <v>110000</v>
      </c>
      <c r="G23" s="9">
        <v>110000</v>
      </c>
      <c r="H23" s="9">
        <v>115000</v>
      </c>
      <c r="I23" s="9">
        <v>110000</v>
      </c>
      <c r="J23" s="72">
        <v>110000</v>
      </c>
      <c r="K23" s="67">
        <f t="shared" si="0"/>
        <v>110714.28571428571</v>
      </c>
      <c r="M23" s="4"/>
      <c r="N23" s="4"/>
    </row>
    <row r="24" spans="1:14" ht="15.75" x14ac:dyDescent="0.25">
      <c r="A24" s="101"/>
      <c r="B24" s="66" t="s">
        <v>21</v>
      </c>
      <c r="C24" s="17" t="s">
        <v>6</v>
      </c>
      <c r="D24" s="9">
        <v>90000</v>
      </c>
      <c r="E24" s="9">
        <v>90000</v>
      </c>
      <c r="F24" s="9">
        <v>100000</v>
      </c>
      <c r="G24" s="9">
        <v>105000</v>
      </c>
      <c r="H24" s="9">
        <v>110000</v>
      </c>
      <c r="I24" s="8">
        <v>100000</v>
      </c>
      <c r="J24" s="72">
        <v>105000</v>
      </c>
      <c r="K24" s="67">
        <f t="shared" si="0"/>
        <v>100000</v>
      </c>
      <c r="M24" s="4"/>
      <c r="N24" s="4"/>
    </row>
    <row r="25" spans="1:14" ht="15.75" x14ac:dyDescent="0.25">
      <c r="A25" s="101"/>
      <c r="B25" s="66" t="s">
        <v>22</v>
      </c>
      <c r="C25" s="17" t="s">
        <v>6</v>
      </c>
      <c r="D25" s="9">
        <v>34000</v>
      </c>
      <c r="E25" s="9">
        <v>31000</v>
      </c>
      <c r="F25" s="9">
        <v>32000</v>
      </c>
      <c r="G25" s="9">
        <v>31000</v>
      </c>
      <c r="H25" s="72">
        <v>33000</v>
      </c>
      <c r="I25" s="9">
        <v>33000</v>
      </c>
      <c r="J25" s="72">
        <v>35000</v>
      </c>
      <c r="K25" s="67">
        <f t="shared" si="0"/>
        <v>32714.285714285714</v>
      </c>
      <c r="M25" s="4"/>
      <c r="N25" s="4"/>
    </row>
    <row r="26" spans="1:14" ht="15.75" x14ac:dyDescent="0.25">
      <c r="A26" s="101">
        <v>6</v>
      </c>
      <c r="B26" s="60" t="s">
        <v>23</v>
      </c>
      <c r="C26" s="73"/>
      <c r="D26" s="74"/>
      <c r="E26" s="17"/>
      <c r="F26" s="76"/>
      <c r="G26" s="15"/>
      <c r="H26" s="75"/>
      <c r="I26" s="15"/>
      <c r="J26" s="75"/>
      <c r="K26" s="71"/>
      <c r="M26" s="4"/>
      <c r="N26" s="4"/>
    </row>
    <row r="27" spans="1:14" ht="15.75" x14ac:dyDescent="0.25">
      <c r="A27" s="101"/>
      <c r="B27" s="66" t="s">
        <v>24</v>
      </c>
      <c r="C27" s="17" t="s">
        <v>6</v>
      </c>
      <c r="D27" s="9">
        <v>34000</v>
      </c>
      <c r="E27" s="9">
        <v>35000</v>
      </c>
      <c r="F27" s="9" t="s">
        <v>99</v>
      </c>
      <c r="G27" s="9">
        <v>40000</v>
      </c>
      <c r="H27" s="9">
        <v>30000</v>
      </c>
      <c r="I27" s="9" t="s">
        <v>99</v>
      </c>
      <c r="J27" s="72">
        <v>30000</v>
      </c>
      <c r="K27" s="67">
        <f t="shared" si="0"/>
        <v>33800</v>
      </c>
      <c r="L27" t="s">
        <v>100</v>
      </c>
      <c r="M27" s="4"/>
      <c r="N27" s="4"/>
    </row>
    <row r="28" spans="1:14" ht="15.75" x14ac:dyDescent="0.25">
      <c r="A28" s="101"/>
      <c r="B28" s="66" t="s">
        <v>25</v>
      </c>
      <c r="C28" s="17" t="s">
        <v>6</v>
      </c>
      <c r="D28" s="9">
        <v>36000</v>
      </c>
      <c r="E28" s="9">
        <v>28000</v>
      </c>
      <c r="F28" s="9">
        <v>35000</v>
      </c>
      <c r="G28" s="8">
        <v>30000</v>
      </c>
      <c r="H28" s="9">
        <v>22000</v>
      </c>
      <c r="I28" s="9">
        <v>32000</v>
      </c>
      <c r="J28" s="78">
        <v>30000</v>
      </c>
      <c r="K28" s="67">
        <f t="shared" si="0"/>
        <v>30428.571428571428</v>
      </c>
      <c r="M28" s="4"/>
      <c r="N28" s="4"/>
    </row>
    <row r="29" spans="1:14" ht="15.75" x14ac:dyDescent="0.25">
      <c r="A29" s="101"/>
      <c r="B29" s="66" t="s">
        <v>26</v>
      </c>
      <c r="C29" s="17" t="s">
        <v>6</v>
      </c>
      <c r="D29" s="9">
        <v>60000</v>
      </c>
      <c r="E29" s="9">
        <v>60000</v>
      </c>
      <c r="F29" s="16">
        <v>60000</v>
      </c>
      <c r="G29" s="8">
        <v>70000</v>
      </c>
      <c r="H29" s="9">
        <v>63000</v>
      </c>
      <c r="I29" s="9">
        <v>60000</v>
      </c>
      <c r="J29" s="79">
        <v>60000</v>
      </c>
      <c r="K29" s="67">
        <f t="shared" si="0"/>
        <v>61857.142857142855</v>
      </c>
      <c r="M29" s="4"/>
      <c r="N29" s="4"/>
    </row>
    <row r="30" spans="1:14" ht="15.75" x14ac:dyDescent="0.25">
      <c r="A30" s="101"/>
      <c r="B30" s="66" t="s">
        <v>27</v>
      </c>
      <c r="C30" s="17" t="s">
        <v>6</v>
      </c>
      <c r="D30" s="9">
        <v>25000</v>
      </c>
      <c r="E30" s="9" t="s">
        <v>99</v>
      </c>
      <c r="F30" s="10" t="s">
        <v>99</v>
      </c>
      <c r="G30" s="8">
        <v>25000</v>
      </c>
      <c r="H30" s="9">
        <v>23000</v>
      </c>
      <c r="I30" s="9" t="s">
        <v>99</v>
      </c>
      <c r="J30" s="79">
        <v>26000</v>
      </c>
      <c r="K30" s="67">
        <f t="shared" si="0"/>
        <v>24750</v>
      </c>
      <c r="M30" s="4"/>
      <c r="N30" s="4"/>
    </row>
    <row r="31" spans="1:14" ht="15.75" x14ac:dyDescent="0.25">
      <c r="A31" s="101"/>
      <c r="B31" s="66" t="s">
        <v>28</v>
      </c>
      <c r="C31" s="17" t="s">
        <v>6</v>
      </c>
      <c r="D31" s="9">
        <v>35000</v>
      </c>
      <c r="E31" s="9">
        <v>36000</v>
      </c>
      <c r="F31" s="9">
        <v>40000</v>
      </c>
      <c r="G31" s="9">
        <v>40000</v>
      </c>
      <c r="H31" s="9">
        <v>28000</v>
      </c>
      <c r="I31" s="9">
        <v>36000</v>
      </c>
      <c r="J31" s="72">
        <v>30000</v>
      </c>
      <c r="K31" s="67">
        <f t="shared" si="0"/>
        <v>35000</v>
      </c>
      <c r="M31" s="4"/>
      <c r="N31" s="4"/>
    </row>
    <row r="32" spans="1:14" ht="15.75" x14ac:dyDescent="0.25">
      <c r="A32" s="101"/>
      <c r="B32" s="66" t="s">
        <v>29</v>
      </c>
      <c r="C32" s="17" t="s">
        <v>6</v>
      </c>
      <c r="D32" s="9" t="s">
        <v>99</v>
      </c>
      <c r="E32" s="9">
        <v>100000</v>
      </c>
      <c r="F32" s="9">
        <v>100000</v>
      </c>
      <c r="G32" s="9" t="s">
        <v>99</v>
      </c>
      <c r="H32" s="9">
        <v>80000</v>
      </c>
      <c r="I32" s="9" t="s">
        <v>99</v>
      </c>
      <c r="J32" s="79">
        <v>70000</v>
      </c>
      <c r="K32" s="67">
        <f t="shared" si="0"/>
        <v>87500</v>
      </c>
      <c r="M32" s="4"/>
      <c r="N32" s="4"/>
    </row>
    <row r="33" spans="1:14" ht="15.75" x14ac:dyDescent="0.25">
      <c r="A33" s="101">
        <v>7</v>
      </c>
      <c r="B33" s="60" t="s">
        <v>30</v>
      </c>
      <c r="C33" s="73"/>
      <c r="D33" s="74"/>
      <c r="E33" s="17"/>
      <c r="F33" s="76"/>
      <c r="G33" s="76"/>
      <c r="H33" s="15"/>
      <c r="I33" s="15"/>
      <c r="J33" s="75"/>
      <c r="K33" s="71"/>
      <c r="M33" s="4"/>
      <c r="N33" s="4"/>
    </row>
    <row r="34" spans="1:14" ht="15.75" x14ac:dyDescent="0.25">
      <c r="A34" s="101"/>
      <c r="B34" s="66" t="s">
        <v>31</v>
      </c>
      <c r="C34" s="17" t="s">
        <v>6</v>
      </c>
      <c r="D34" s="9">
        <v>27000</v>
      </c>
      <c r="E34" s="9">
        <v>26500</v>
      </c>
      <c r="F34" s="9">
        <v>27000</v>
      </c>
      <c r="G34" s="9">
        <v>26000</v>
      </c>
      <c r="H34" s="9">
        <v>26000</v>
      </c>
      <c r="I34" s="9">
        <v>26000</v>
      </c>
      <c r="J34" s="72">
        <v>27500</v>
      </c>
      <c r="K34" s="67">
        <f t="shared" si="0"/>
        <v>26571.428571428572</v>
      </c>
      <c r="M34" s="4"/>
      <c r="N34" s="4"/>
    </row>
    <row r="35" spans="1:14" ht="15.75" x14ac:dyDescent="0.25">
      <c r="A35" s="101"/>
      <c r="B35" s="66" t="s">
        <v>32</v>
      </c>
      <c r="C35" s="17" t="s">
        <v>33</v>
      </c>
      <c r="D35" s="9">
        <v>3000</v>
      </c>
      <c r="E35" s="9">
        <v>2500</v>
      </c>
      <c r="F35" s="9">
        <v>2500</v>
      </c>
      <c r="G35" s="9">
        <v>2800</v>
      </c>
      <c r="H35" s="9">
        <v>2500</v>
      </c>
      <c r="I35" s="9">
        <v>3000</v>
      </c>
      <c r="J35" s="72">
        <v>3000</v>
      </c>
      <c r="K35" s="67">
        <f t="shared" si="0"/>
        <v>2757.1428571428573</v>
      </c>
      <c r="M35" s="4"/>
      <c r="N35" s="4"/>
    </row>
    <row r="36" spans="1:14" ht="15.75" x14ac:dyDescent="0.25">
      <c r="A36" s="59">
        <v>8</v>
      </c>
      <c r="B36" s="73" t="s">
        <v>117</v>
      </c>
      <c r="C36" s="80"/>
      <c r="D36" s="9"/>
      <c r="E36" s="9"/>
      <c r="F36" s="9"/>
      <c r="G36" s="9"/>
      <c r="H36" s="9"/>
      <c r="I36" s="9"/>
      <c r="J36" s="72"/>
      <c r="K36" s="81"/>
      <c r="M36" s="4"/>
      <c r="N36" s="4"/>
    </row>
    <row r="37" spans="1:14" ht="15.75" x14ac:dyDescent="0.25">
      <c r="A37" s="59"/>
      <c r="B37" s="66" t="s">
        <v>118</v>
      </c>
      <c r="C37" s="17" t="s">
        <v>6</v>
      </c>
      <c r="D37" s="9">
        <v>10000</v>
      </c>
      <c r="E37" s="9">
        <v>1250</v>
      </c>
      <c r="F37" s="9">
        <v>9000</v>
      </c>
      <c r="G37" s="9">
        <v>9000</v>
      </c>
      <c r="H37" s="9">
        <v>16000</v>
      </c>
      <c r="I37" s="9">
        <v>9000</v>
      </c>
      <c r="J37" s="72">
        <v>3000</v>
      </c>
      <c r="K37" s="67">
        <f t="shared" si="0"/>
        <v>8178.5714285714284</v>
      </c>
      <c r="M37" s="4"/>
      <c r="N37" s="4"/>
    </row>
    <row r="38" spans="1:14" ht="15.75" x14ac:dyDescent="0.25">
      <c r="A38" s="59"/>
      <c r="B38" s="66" t="s">
        <v>119</v>
      </c>
      <c r="C38" s="17" t="s">
        <v>6</v>
      </c>
      <c r="D38" s="9" t="s">
        <v>99</v>
      </c>
      <c r="E38" s="9">
        <v>10000</v>
      </c>
      <c r="F38" s="9">
        <v>12000</v>
      </c>
      <c r="G38" s="9">
        <v>14000</v>
      </c>
      <c r="H38" s="9" t="s">
        <v>99</v>
      </c>
      <c r="I38" s="9">
        <v>12000</v>
      </c>
      <c r="J38" s="72">
        <v>12000</v>
      </c>
      <c r="K38" s="67">
        <f>AVERAGE(D38:J38)</f>
        <v>12000</v>
      </c>
      <c r="M38" s="4"/>
      <c r="N38" s="4"/>
    </row>
    <row r="39" spans="1:14" ht="15.75" x14ac:dyDescent="0.25">
      <c r="A39" s="59">
        <v>9</v>
      </c>
      <c r="B39" s="82" t="s">
        <v>120</v>
      </c>
      <c r="C39" s="83"/>
      <c r="D39" s="9"/>
      <c r="E39" s="9"/>
      <c r="F39" s="9"/>
      <c r="G39" s="9"/>
      <c r="H39" s="9"/>
      <c r="I39" s="9"/>
      <c r="J39" s="72"/>
      <c r="K39" s="81"/>
      <c r="M39" s="4"/>
      <c r="N39" s="4"/>
    </row>
    <row r="40" spans="1:14" ht="15.75" x14ac:dyDescent="0.25">
      <c r="A40" s="59"/>
      <c r="B40" s="66" t="s">
        <v>121</v>
      </c>
      <c r="C40" s="17" t="s">
        <v>6</v>
      </c>
      <c r="D40" s="9" t="s">
        <v>99</v>
      </c>
      <c r="E40" s="9" t="s">
        <v>99</v>
      </c>
      <c r="F40" s="9" t="s">
        <v>99</v>
      </c>
      <c r="G40" s="9">
        <v>16000</v>
      </c>
      <c r="H40" s="9">
        <v>14000</v>
      </c>
      <c r="I40" s="9" t="s">
        <v>99</v>
      </c>
      <c r="J40" s="72">
        <v>15000</v>
      </c>
      <c r="K40" s="67">
        <f t="shared" si="0"/>
        <v>15000</v>
      </c>
      <c r="M40" s="4"/>
      <c r="N40" s="4"/>
    </row>
    <row r="41" spans="1:14" ht="15.75" x14ac:dyDescent="0.25">
      <c r="A41" s="59"/>
      <c r="B41" s="66" t="s">
        <v>122</v>
      </c>
      <c r="C41" s="17" t="s">
        <v>6</v>
      </c>
      <c r="D41" s="9" t="s">
        <v>99</v>
      </c>
      <c r="E41" s="9" t="s">
        <v>99</v>
      </c>
      <c r="F41" s="9">
        <v>6000</v>
      </c>
      <c r="G41" s="9" t="s">
        <v>99</v>
      </c>
      <c r="H41" s="9" t="s">
        <v>99</v>
      </c>
      <c r="I41" s="9">
        <v>6000</v>
      </c>
      <c r="J41" s="72" t="s">
        <v>99</v>
      </c>
      <c r="K41" s="67">
        <f t="shared" si="0"/>
        <v>6000</v>
      </c>
      <c r="M41" s="4"/>
      <c r="N41" s="4"/>
    </row>
    <row r="42" spans="1:14" ht="15.75" x14ac:dyDescent="0.25">
      <c r="A42" s="59"/>
      <c r="B42" s="66" t="s">
        <v>123</v>
      </c>
      <c r="C42" s="17" t="s">
        <v>6</v>
      </c>
      <c r="D42" s="9" t="s">
        <v>99</v>
      </c>
      <c r="E42" s="9">
        <v>2500</v>
      </c>
      <c r="F42" s="9" t="s">
        <v>99</v>
      </c>
      <c r="G42" s="9" t="s">
        <v>99</v>
      </c>
      <c r="H42" s="9" t="s">
        <v>99</v>
      </c>
      <c r="I42" s="9" t="s">
        <v>99</v>
      </c>
      <c r="J42" s="72" t="s">
        <v>99</v>
      </c>
      <c r="K42" s="67">
        <f t="shared" si="0"/>
        <v>2500</v>
      </c>
      <c r="M42" s="4"/>
      <c r="N42" s="4"/>
    </row>
    <row r="43" spans="1:14" ht="15.75" x14ac:dyDescent="0.25">
      <c r="A43" s="101">
        <v>10</v>
      </c>
      <c r="B43" s="60" t="s">
        <v>34</v>
      </c>
      <c r="C43" s="73"/>
      <c r="D43" s="74"/>
      <c r="E43" s="17"/>
      <c r="F43" s="76"/>
      <c r="G43" s="15"/>
      <c r="H43" s="15"/>
      <c r="I43" s="15"/>
      <c r="J43" s="84"/>
      <c r="K43" s="71"/>
      <c r="M43" s="4"/>
      <c r="N43" s="4"/>
    </row>
    <row r="44" spans="1:14" ht="15.75" x14ac:dyDescent="0.25">
      <c r="A44" s="101"/>
      <c r="B44" s="66" t="s">
        <v>35</v>
      </c>
      <c r="C44" s="17" t="s">
        <v>36</v>
      </c>
      <c r="D44" s="9">
        <v>12000</v>
      </c>
      <c r="E44" s="9">
        <v>12000</v>
      </c>
      <c r="F44" s="9">
        <v>12500</v>
      </c>
      <c r="G44" s="9">
        <v>12500</v>
      </c>
      <c r="H44" s="10" t="s">
        <v>99</v>
      </c>
      <c r="I44" s="16">
        <v>12500</v>
      </c>
      <c r="J44" s="72">
        <v>12500</v>
      </c>
      <c r="K44" s="67">
        <f t="shared" si="0"/>
        <v>12333.333333333334</v>
      </c>
      <c r="M44" s="4"/>
      <c r="N44" s="4"/>
    </row>
    <row r="45" spans="1:14" ht="15.75" x14ac:dyDescent="0.25">
      <c r="A45" s="101"/>
      <c r="B45" s="66" t="s">
        <v>124</v>
      </c>
      <c r="C45" s="17" t="s">
        <v>36</v>
      </c>
      <c r="D45" s="9">
        <v>12000</v>
      </c>
      <c r="E45" s="9">
        <v>13000</v>
      </c>
      <c r="F45" s="16">
        <v>12500</v>
      </c>
      <c r="G45" s="9">
        <v>12500</v>
      </c>
      <c r="H45" s="10" t="s">
        <v>99</v>
      </c>
      <c r="I45" s="16">
        <v>12500</v>
      </c>
      <c r="J45" s="79">
        <v>12500</v>
      </c>
      <c r="K45" s="67">
        <f>AVERAGE(D45:J45)</f>
        <v>12500</v>
      </c>
      <c r="M45" s="4"/>
      <c r="N45" s="4"/>
    </row>
    <row r="46" spans="1:14" ht="15.75" x14ac:dyDescent="0.25">
      <c r="A46" s="101">
        <v>11</v>
      </c>
      <c r="B46" s="60" t="s">
        <v>38</v>
      </c>
      <c r="C46" s="73"/>
      <c r="D46" s="74"/>
      <c r="E46" s="17"/>
      <c r="F46" s="15"/>
      <c r="G46" s="76"/>
      <c r="H46" s="15"/>
      <c r="I46" s="15"/>
      <c r="J46" s="75"/>
      <c r="K46" s="71"/>
      <c r="M46" s="4"/>
      <c r="N46" s="4"/>
    </row>
    <row r="47" spans="1:14" ht="15.75" x14ac:dyDescent="0.25">
      <c r="A47" s="101"/>
      <c r="B47" s="66" t="s">
        <v>39</v>
      </c>
      <c r="C47" s="17" t="s">
        <v>40</v>
      </c>
      <c r="D47" s="9" t="s">
        <v>99</v>
      </c>
      <c r="E47" s="9" t="s">
        <v>99</v>
      </c>
      <c r="F47" s="10" t="s">
        <v>99</v>
      </c>
      <c r="G47" s="8" t="s">
        <v>99</v>
      </c>
      <c r="H47" s="9">
        <v>17500</v>
      </c>
      <c r="I47" s="16" t="s">
        <v>99</v>
      </c>
      <c r="J47" s="79" t="s">
        <v>99</v>
      </c>
      <c r="K47" s="67">
        <f t="shared" si="0"/>
        <v>17500</v>
      </c>
      <c r="M47" s="4"/>
      <c r="N47" s="4"/>
    </row>
    <row r="48" spans="1:14" ht="15.75" x14ac:dyDescent="0.25">
      <c r="A48" s="101"/>
      <c r="B48" s="66" t="s">
        <v>41</v>
      </c>
      <c r="C48" s="17" t="s">
        <v>42</v>
      </c>
      <c r="D48" s="9" t="s">
        <v>99</v>
      </c>
      <c r="E48" s="9" t="s">
        <v>99</v>
      </c>
      <c r="F48" s="10" t="s">
        <v>99</v>
      </c>
      <c r="G48" s="8" t="s">
        <v>99</v>
      </c>
      <c r="H48" s="9">
        <v>2000</v>
      </c>
      <c r="I48" s="16" t="s">
        <v>99</v>
      </c>
      <c r="J48" s="79" t="s">
        <v>99</v>
      </c>
      <c r="K48" s="67">
        <f t="shared" si="0"/>
        <v>2000</v>
      </c>
      <c r="M48" s="4"/>
      <c r="N48" s="4"/>
    </row>
    <row r="49" spans="1:14" ht="15.75" x14ac:dyDescent="0.25">
      <c r="A49" s="59">
        <v>12</v>
      </c>
      <c r="B49" s="85" t="s">
        <v>43</v>
      </c>
      <c r="C49" s="80"/>
      <c r="D49" s="19"/>
      <c r="E49" s="10"/>
      <c r="F49" s="10"/>
      <c r="G49" s="22"/>
      <c r="H49" s="10"/>
      <c r="I49" s="10"/>
      <c r="J49" s="77"/>
      <c r="K49" s="71"/>
      <c r="M49" s="4"/>
      <c r="N49" s="4"/>
    </row>
    <row r="50" spans="1:14" ht="15.75" x14ac:dyDescent="0.25">
      <c r="A50" s="59"/>
      <c r="B50" s="66" t="s">
        <v>44</v>
      </c>
      <c r="C50" s="86" t="s">
        <v>6</v>
      </c>
      <c r="D50" s="9" t="s">
        <v>99</v>
      </c>
      <c r="E50" s="9">
        <v>8000</v>
      </c>
      <c r="F50" s="9">
        <v>10000</v>
      </c>
      <c r="G50" s="9">
        <v>10000</v>
      </c>
      <c r="H50" s="9">
        <v>15000</v>
      </c>
      <c r="I50" s="8">
        <v>15000</v>
      </c>
      <c r="J50" s="72">
        <v>15000</v>
      </c>
      <c r="K50" s="67">
        <f t="shared" si="0"/>
        <v>12166.666666666666</v>
      </c>
      <c r="M50" s="4" t="s">
        <v>101</v>
      </c>
      <c r="N50" s="4"/>
    </row>
    <row r="51" spans="1:14" ht="15.75" x14ac:dyDescent="0.25">
      <c r="A51" s="59"/>
      <c r="B51" s="66" t="s">
        <v>45</v>
      </c>
      <c r="C51" s="86" t="s">
        <v>6</v>
      </c>
      <c r="D51" s="9">
        <v>15000</v>
      </c>
      <c r="E51" s="9">
        <v>10000</v>
      </c>
      <c r="F51" s="8">
        <v>9000</v>
      </c>
      <c r="G51" s="9">
        <v>10000</v>
      </c>
      <c r="H51" s="9">
        <v>12000</v>
      </c>
      <c r="I51" s="9">
        <v>13000</v>
      </c>
      <c r="J51" s="72">
        <v>10000</v>
      </c>
      <c r="K51" s="67">
        <f t="shared" si="0"/>
        <v>11285.714285714286</v>
      </c>
      <c r="M51" s="4"/>
      <c r="N51" s="23"/>
    </row>
    <row r="52" spans="1:14" ht="15.75" x14ac:dyDescent="0.25">
      <c r="A52" s="101">
        <v>13</v>
      </c>
      <c r="B52" s="60" t="s">
        <v>46</v>
      </c>
      <c r="C52" s="73"/>
      <c r="D52" s="74"/>
      <c r="E52" s="17"/>
      <c r="F52" s="76"/>
      <c r="G52" s="76"/>
      <c r="H52" s="15"/>
      <c r="I52" s="15"/>
      <c r="J52" s="84"/>
      <c r="K52" s="71"/>
      <c r="M52" s="4"/>
      <c r="N52" s="4"/>
    </row>
    <row r="53" spans="1:14" ht="15.75" x14ac:dyDescent="0.25">
      <c r="A53" s="101"/>
      <c r="B53" s="66" t="s">
        <v>47</v>
      </c>
      <c r="C53" s="17" t="s">
        <v>125</v>
      </c>
      <c r="D53" s="9">
        <v>3000</v>
      </c>
      <c r="E53" s="9">
        <v>4000</v>
      </c>
      <c r="F53" s="9">
        <v>5000</v>
      </c>
      <c r="G53" s="9">
        <v>5000</v>
      </c>
      <c r="H53" s="9">
        <v>2500</v>
      </c>
      <c r="I53" s="16">
        <v>5000</v>
      </c>
      <c r="J53" s="72">
        <v>2500</v>
      </c>
      <c r="K53" s="67">
        <f t="shared" si="0"/>
        <v>3857.1428571428573</v>
      </c>
      <c r="M53" s="4"/>
      <c r="N53" s="4"/>
    </row>
    <row r="54" spans="1:14" ht="15.75" x14ac:dyDescent="0.25">
      <c r="A54" s="101">
        <v>14</v>
      </c>
      <c r="B54" s="60" t="s">
        <v>49</v>
      </c>
      <c r="C54" s="80"/>
      <c r="D54" s="62"/>
      <c r="E54" s="17"/>
      <c r="F54" s="20"/>
      <c r="G54" s="20"/>
      <c r="H54" s="17"/>
      <c r="I54" s="17"/>
      <c r="J54" s="87"/>
      <c r="K54" s="71"/>
      <c r="M54" s="4"/>
      <c r="N54" s="4"/>
    </row>
    <row r="55" spans="1:14" ht="15.75" x14ac:dyDescent="0.25">
      <c r="A55" s="101"/>
      <c r="B55" s="88" t="s">
        <v>50</v>
      </c>
      <c r="C55" s="86" t="s">
        <v>6</v>
      </c>
      <c r="D55" s="9">
        <v>10000</v>
      </c>
      <c r="E55" s="9">
        <v>10500</v>
      </c>
      <c r="F55" s="9">
        <v>10000</v>
      </c>
      <c r="G55" s="9">
        <v>11000</v>
      </c>
      <c r="H55" s="9">
        <v>12000</v>
      </c>
      <c r="I55" s="9">
        <v>10000</v>
      </c>
      <c r="J55" s="72">
        <v>10000</v>
      </c>
      <c r="K55" s="67">
        <f t="shared" si="0"/>
        <v>10500</v>
      </c>
      <c r="M55" s="4"/>
      <c r="N55" s="4"/>
    </row>
    <row r="56" spans="1:14" ht="15.75" x14ac:dyDescent="0.25">
      <c r="A56" s="101">
        <v>15</v>
      </c>
      <c r="B56" s="60" t="s">
        <v>51</v>
      </c>
      <c r="C56" s="73"/>
      <c r="D56" s="74"/>
      <c r="E56" s="17"/>
      <c r="F56" s="76"/>
      <c r="G56" s="15"/>
      <c r="H56" s="15"/>
      <c r="I56" s="15"/>
      <c r="J56" s="84"/>
      <c r="K56" s="71"/>
      <c r="M56" s="4"/>
      <c r="N56" s="4"/>
    </row>
    <row r="57" spans="1:14" ht="15.75" x14ac:dyDescent="0.25">
      <c r="A57" s="101"/>
      <c r="B57" s="66" t="s">
        <v>52</v>
      </c>
      <c r="C57" s="17" t="s">
        <v>6</v>
      </c>
      <c r="D57" s="9">
        <v>16000</v>
      </c>
      <c r="E57" s="9">
        <v>13000</v>
      </c>
      <c r="F57" s="9">
        <v>14000</v>
      </c>
      <c r="G57" s="9">
        <v>14000</v>
      </c>
      <c r="H57" s="9">
        <v>11500</v>
      </c>
      <c r="I57" s="9">
        <v>17000</v>
      </c>
      <c r="J57" s="72" t="s">
        <v>99</v>
      </c>
      <c r="K57" s="67">
        <f t="shared" si="0"/>
        <v>14250</v>
      </c>
      <c r="M57" s="4"/>
      <c r="N57" s="4"/>
    </row>
    <row r="58" spans="1:14" ht="15.75" x14ac:dyDescent="0.25">
      <c r="A58" s="101"/>
      <c r="B58" s="66" t="s">
        <v>53</v>
      </c>
      <c r="C58" s="17" t="s">
        <v>6</v>
      </c>
      <c r="D58" s="9" t="s">
        <v>99</v>
      </c>
      <c r="E58" s="9" t="s">
        <v>99</v>
      </c>
      <c r="F58" s="16">
        <v>15000</v>
      </c>
      <c r="G58" s="22" t="s">
        <v>99</v>
      </c>
      <c r="H58" s="9">
        <v>13000</v>
      </c>
      <c r="I58" s="8">
        <v>15000</v>
      </c>
      <c r="J58" s="72">
        <v>14000</v>
      </c>
      <c r="K58" s="67">
        <f t="shared" si="0"/>
        <v>14250</v>
      </c>
      <c r="M58" s="4"/>
      <c r="N58" s="4"/>
    </row>
    <row r="59" spans="1:14" ht="15.75" x14ac:dyDescent="0.25">
      <c r="A59" s="101"/>
      <c r="B59" s="66" t="s">
        <v>54</v>
      </c>
      <c r="C59" s="17" t="s">
        <v>6</v>
      </c>
      <c r="D59" s="9">
        <v>22000</v>
      </c>
      <c r="E59" s="9">
        <v>23000</v>
      </c>
      <c r="F59" s="9">
        <v>23000</v>
      </c>
      <c r="G59" s="9">
        <v>23000</v>
      </c>
      <c r="H59" s="9">
        <v>20000</v>
      </c>
      <c r="I59" s="9">
        <v>23000</v>
      </c>
      <c r="J59" s="72">
        <v>24000</v>
      </c>
      <c r="K59" s="67">
        <f t="shared" si="0"/>
        <v>22571.428571428572</v>
      </c>
      <c r="M59" s="4"/>
      <c r="N59" s="4"/>
    </row>
    <row r="60" spans="1:14" ht="15.75" x14ac:dyDescent="0.25">
      <c r="A60" s="101"/>
      <c r="B60" s="66" t="s">
        <v>55</v>
      </c>
      <c r="C60" s="17" t="s">
        <v>6</v>
      </c>
      <c r="D60" s="9">
        <v>30000</v>
      </c>
      <c r="E60" s="9">
        <v>30000</v>
      </c>
      <c r="F60" s="9">
        <v>28000</v>
      </c>
      <c r="G60" s="9">
        <v>30000</v>
      </c>
      <c r="H60" s="9">
        <v>27000</v>
      </c>
      <c r="I60" s="9">
        <v>28000</v>
      </c>
      <c r="J60" s="72">
        <v>28000</v>
      </c>
      <c r="K60" s="67">
        <f t="shared" si="0"/>
        <v>28714.285714285714</v>
      </c>
      <c r="M60" s="4"/>
      <c r="N60" s="4"/>
    </row>
    <row r="61" spans="1:14" ht="15.75" x14ac:dyDescent="0.25">
      <c r="A61" s="17">
        <v>16</v>
      </c>
      <c r="B61" s="60" t="s">
        <v>56</v>
      </c>
      <c r="C61" s="80"/>
      <c r="D61" s="89"/>
      <c r="E61" s="10"/>
      <c r="F61" s="22"/>
      <c r="G61" s="10"/>
      <c r="H61" s="10"/>
      <c r="I61" s="10"/>
      <c r="J61" s="90"/>
      <c r="K61" s="71"/>
      <c r="M61" s="4"/>
      <c r="N61" s="4"/>
    </row>
    <row r="62" spans="1:14" ht="15.75" x14ac:dyDescent="0.25">
      <c r="A62" s="17"/>
      <c r="B62" s="66" t="s">
        <v>57</v>
      </c>
      <c r="C62" s="86" t="s">
        <v>58</v>
      </c>
      <c r="D62" s="9">
        <v>3000</v>
      </c>
      <c r="E62" s="9">
        <v>3200</v>
      </c>
      <c r="F62" s="9">
        <v>3000</v>
      </c>
      <c r="G62" s="9">
        <v>3000</v>
      </c>
      <c r="H62" s="10" t="s">
        <v>99</v>
      </c>
      <c r="I62" s="16">
        <v>3000</v>
      </c>
      <c r="J62" s="72">
        <v>3500</v>
      </c>
      <c r="K62" s="67">
        <f t="shared" si="0"/>
        <v>3116.6666666666665</v>
      </c>
      <c r="M62" s="4"/>
      <c r="N62" s="4"/>
    </row>
    <row r="63" spans="1:14" ht="15.75" x14ac:dyDescent="0.25">
      <c r="A63" s="101">
        <v>17</v>
      </c>
      <c r="B63" s="60" t="s">
        <v>59</v>
      </c>
      <c r="C63" s="73"/>
      <c r="D63" s="74"/>
      <c r="E63" s="17"/>
      <c r="F63" s="76"/>
      <c r="G63" s="76"/>
      <c r="H63" s="15"/>
      <c r="I63" s="15"/>
      <c r="J63" s="84"/>
      <c r="K63" s="71"/>
      <c r="M63" s="4"/>
      <c r="N63" s="4"/>
    </row>
    <row r="64" spans="1:14" ht="15.75" x14ac:dyDescent="0.25">
      <c r="A64" s="101"/>
      <c r="B64" s="66" t="s">
        <v>60</v>
      </c>
      <c r="C64" s="17" t="s">
        <v>6</v>
      </c>
      <c r="D64" s="9">
        <v>70000</v>
      </c>
      <c r="E64" s="9">
        <v>70000</v>
      </c>
      <c r="F64" s="9">
        <v>64000</v>
      </c>
      <c r="G64" s="9">
        <v>60000</v>
      </c>
      <c r="H64" s="9">
        <v>65000</v>
      </c>
      <c r="I64" s="9">
        <v>70000</v>
      </c>
      <c r="J64" s="72">
        <v>70000</v>
      </c>
      <c r="K64" s="67">
        <f t="shared" si="0"/>
        <v>67000</v>
      </c>
      <c r="M64" s="4"/>
      <c r="N64" s="4"/>
    </row>
    <row r="65" spans="1:14" ht="15.75" x14ac:dyDescent="0.25">
      <c r="A65" s="101"/>
      <c r="B65" s="66" t="s">
        <v>61</v>
      </c>
      <c r="C65" s="17" t="s">
        <v>6</v>
      </c>
      <c r="D65" s="9">
        <v>70000</v>
      </c>
      <c r="E65" s="9">
        <v>48000</v>
      </c>
      <c r="F65" s="9">
        <v>42000</v>
      </c>
      <c r="G65" s="9">
        <v>50000</v>
      </c>
      <c r="H65" s="9">
        <v>55000</v>
      </c>
      <c r="I65" s="8">
        <v>57000</v>
      </c>
      <c r="J65" s="72">
        <v>65000</v>
      </c>
      <c r="K65" s="67">
        <f t="shared" si="0"/>
        <v>55285.714285714283</v>
      </c>
      <c r="M65" s="4"/>
      <c r="N65" s="4"/>
    </row>
    <row r="66" spans="1:14" ht="15.75" x14ac:dyDescent="0.25">
      <c r="A66" s="101"/>
      <c r="B66" s="66" t="s">
        <v>62</v>
      </c>
      <c r="C66" s="17" t="s">
        <v>6</v>
      </c>
      <c r="D66" s="9">
        <v>34000</v>
      </c>
      <c r="E66" s="9">
        <v>30000</v>
      </c>
      <c r="F66" s="9">
        <v>42000</v>
      </c>
      <c r="G66" s="9">
        <v>30000</v>
      </c>
      <c r="H66" s="9">
        <v>45000</v>
      </c>
      <c r="I66" s="9">
        <v>54000</v>
      </c>
      <c r="J66" s="72">
        <v>40000</v>
      </c>
      <c r="K66" s="67">
        <f t="shared" si="0"/>
        <v>39285.714285714283</v>
      </c>
      <c r="M66" s="4"/>
      <c r="N66" s="4"/>
    </row>
    <row r="67" spans="1:14" ht="15.75" x14ac:dyDescent="0.25">
      <c r="A67" s="17">
        <v>18</v>
      </c>
      <c r="B67" s="60" t="s">
        <v>63</v>
      </c>
      <c r="C67" s="80"/>
      <c r="D67" s="24"/>
      <c r="E67" s="10"/>
      <c r="F67" s="22"/>
      <c r="G67" s="10"/>
      <c r="H67" s="10" t="s">
        <v>1</v>
      </c>
      <c r="I67" s="10"/>
      <c r="J67" s="77"/>
      <c r="K67" s="71"/>
      <c r="M67" s="4"/>
      <c r="N67" s="4"/>
    </row>
    <row r="68" spans="1:14" ht="15.75" x14ac:dyDescent="0.25">
      <c r="A68" s="17"/>
      <c r="B68" s="66" t="s">
        <v>64</v>
      </c>
      <c r="C68" s="17" t="s">
        <v>65</v>
      </c>
      <c r="D68" s="9">
        <v>20000</v>
      </c>
      <c r="E68" s="9">
        <v>18000</v>
      </c>
      <c r="F68" s="9">
        <v>18000</v>
      </c>
      <c r="G68" s="9">
        <v>18000</v>
      </c>
      <c r="H68" s="10" t="s">
        <v>99</v>
      </c>
      <c r="I68" s="9">
        <v>18000</v>
      </c>
      <c r="J68" s="79">
        <v>18000</v>
      </c>
      <c r="K68" s="67">
        <f t="shared" si="0"/>
        <v>18333.333333333332</v>
      </c>
      <c r="M68" s="4"/>
      <c r="N68" s="4"/>
    </row>
    <row r="69" spans="1:14" ht="15.75" x14ac:dyDescent="0.25">
      <c r="A69" s="101">
        <v>19</v>
      </c>
      <c r="B69" s="60" t="s">
        <v>66</v>
      </c>
      <c r="C69" s="60"/>
      <c r="D69" s="74"/>
      <c r="E69" s="17"/>
      <c r="F69" s="15"/>
      <c r="G69" s="15"/>
      <c r="H69" s="15"/>
      <c r="I69" s="15"/>
      <c r="J69" s="75"/>
      <c r="K69" s="71"/>
      <c r="M69" s="4"/>
      <c r="N69" s="4"/>
    </row>
    <row r="70" spans="1:14" ht="15.75" x14ac:dyDescent="0.25">
      <c r="A70" s="101"/>
      <c r="B70" s="66" t="s">
        <v>67</v>
      </c>
      <c r="C70" s="17" t="s">
        <v>6</v>
      </c>
      <c r="D70" s="9">
        <v>36000</v>
      </c>
      <c r="E70" s="9">
        <v>35000</v>
      </c>
      <c r="F70" s="9">
        <v>36000</v>
      </c>
      <c r="G70" s="9">
        <v>35000</v>
      </c>
      <c r="H70" s="9">
        <v>37000</v>
      </c>
      <c r="I70" s="9">
        <v>40000</v>
      </c>
      <c r="J70" s="72">
        <v>40000</v>
      </c>
      <c r="K70" s="67">
        <f t="shared" si="0"/>
        <v>37000</v>
      </c>
      <c r="M70" s="4"/>
      <c r="N70" s="4"/>
    </row>
    <row r="71" spans="1:14" ht="15.75" x14ac:dyDescent="0.25">
      <c r="A71" s="101"/>
      <c r="B71" s="66" t="s">
        <v>68</v>
      </c>
      <c r="C71" s="17" t="s">
        <v>6</v>
      </c>
      <c r="D71" s="9">
        <v>34000</v>
      </c>
      <c r="E71" s="9">
        <v>32000</v>
      </c>
      <c r="F71" s="9">
        <v>34000</v>
      </c>
      <c r="G71" s="9">
        <v>32000</v>
      </c>
      <c r="H71" s="9">
        <v>32000</v>
      </c>
      <c r="I71" s="9">
        <v>35000</v>
      </c>
      <c r="J71" s="72">
        <v>33000</v>
      </c>
      <c r="K71" s="67">
        <f t="shared" si="0"/>
        <v>33142.857142857145</v>
      </c>
      <c r="M71" s="4"/>
      <c r="N71" s="4"/>
    </row>
    <row r="72" spans="1:14" ht="15.75" x14ac:dyDescent="0.25">
      <c r="A72" s="101"/>
      <c r="B72" s="66" t="s">
        <v>69</v>
      </c>
      <c r="C72" s="17" t="s">
        <v>6</v>
      </c>
      <c r="D72" s="9">
        <v>26000</v>
      </c>
      <c r="E72" s="9">
        <v>28000</v>
      </c>
      <c r="F72" s="9">
        <v>24000</v>
      </c>
      <c r="G72" s="9">
        <v>24000</v>
      </c>
      <c r="H72" s="9">
        <v>23000</v>
      </c>
      <c r="I72" s="9">
        <v>25000</v>
      </c>
      <c r="J72" s="72">
        <v>20000</v>
      </c>
      <c r="K72" s="67">
        <f t="shared" si="0"/>
        <v>24285.714285714286</v>
      </c>
      <c r="M72" s="4"/>
      <c r="N72" s="4"/>
    </row>
    <row r="73" spans="1:14" ht="15.75" x14ac:dyDescent="0.25">
      <c r="A73" s="101"/>
      <c r="B73" s="66" t="s">
        <v>70</v>
      </c>
      <c r="C73" s="17" t="s">
        <v>6</v>
      </c>
      <c r="D73" s="9">
        <v>28000</v>
      </c>
      <c r="E73" s="9">
        <v>25000</v>
      </c>
      <c r="F73" s="16">
        <v>28000</v>
      </c>
      <c r="G73" s="8">
        <v>30000</v>
      </c>
      <c r="H73" s="9">
        <v>25000</v>
      </c>
      <c r="I73" s="9">
        <v>25000</v>
      </c>
      <c r="J73" s="72">
        <v>30000</v>
      </c>
      <c r="K73" s="67">
        <f t="shared" si="0"/>
        <v>27285.714285714286</v>
      </c>
      <c r="M73" s="4"/>
      <c r="N73" s="4"/>
    </row>
    <row r="74" spans="1:14" ht="15.75" x14ac:dyDescent="0.25">
      <c r="A74" s="17">
        <v>20</v>
      </c>
      <c r="B74" s="60" t="s">
        <v>71</v>
      </c>
      <c r="C74" s="91"/>
      <c r="D74" s="24"/>
      <c r="E74" s="10"/>
      <c r="F74" s="10"/>
      <c r="G74" s="89"/>
      <c r="H74" s="10"/>
      <c r="I74" s="10"/>
      <c r="J74" s="90"/>
      <c r="K74" s="71"/>
      <c r="M74" s="4"/>
      <c r="N74" s="4"/>
    </row>
    <row r="75" spans="1:14" ht="15.75" x14ac:dyDescent="0.25">
      <c r="A75" s="17"/>
      <c r="B75" s="66" t="s">
        <v>72</v>
      </c>
      <c r="C75" s="86" t="s">
        <v>6</v>
      </c>
      <c r="D75" s="9">
        <v>7000</v>
      </c>
      <c r="E75" s="9">
        <v>7000</v>
      </c>
      <c r="F75" s="9">
        <v>5000</v>
      </c>
      <c r="G75" s="9">
        <v>6000</v>
      </c>
      <c r="H75" s="9">
        <v>5000</v>
      </c>
      <c r="I75" s="9">
        <v>5000</v>
      </c>
      <c r="J75" s="72">
        <v>5000</v>
      </c>
      <c r="K75" s="67">
        <f t="shared" si="0"/>
        <v>5714.2857142857147</v>
      </c>
      <c r="M75" s="4"/>
      <c r="N75" s="4"/>
    </row>
    <row r="76" spans="1:14" ht="15.75" x14ac:dyDescent="0.25">
      <c r="A76" s="17"/>
      <c r="B76" s="66" t="s">
        <v>73</v>
      </c>
      <c r="C76" s="86" t="s">
        <v>6</v>
      </c>
      <c r="D76" s="9">
        <v>7000</v>
      </c>
      <c r="E76" s="9">
        <v>6000</v>
      </c>
      <c r="F76" s="16">
        <v>6000</v>
      </c>
      <c r="G76" s="8">
        <v>6000</v>
      </c>
      <c r="H76" s="9">
        <v>5000</v>
      </c>
      <c r="I76" s="9">
        <v>6000</v>
      </c>
      <c r="J76" s="79">
        <v>6000</v>
      </c>
      <c r="K76" s="67">
        <f t="shared" si="0"/>
        <v>6000</v>
      </c>
      <c r="M76" s="4"/>
      <c r="N76" s="4"/>
    </row>
    <row r="77" spans="1:14" ht="15.75" x14ac:dyDescent="0.25">
      <c r="A77" s="17">
        <v>21</v>
      </c>
      <c r="B77" s="60" t="s">
        <v>74</v>
      </c>
      <c r="C77" s="91"/>
      <c r="D77" s="19"/>
      <c r="E77" s="10"/>
      <c r="F77" s="10"/>
      <c r="G77" s="22"/>
      <c r="H77" s="10"/>
      <c r="I77" s="10"/>
      <c r="J77" s="77"/>
      <c r="K77" s="71"/>
      <c r="M77" s="4"/>
      <c r="N77" s="4"/>
    </row>
    <row r="78" spans="1:14" ht="15.75" x14ac:dyDescent="0.25">
      <c r="A78" s="17"/>
      <c r="B78" s="66" t="s">
        <v>75</v>
      </c>
      <c r="C78" s="86" t="s">
        <v>6</v>
      </c>
      <c r="D78" s="9">
        <v>8000</v>
      </c>
      <c r="E78" s="9">
        <v>8000</v>
      </c>
      <c r="F78" s="9">
        <v>10000</v>
      </c>
      <c r="G78" s="9">
        <v>8000</v>
      </c>
      <c r="H78" s="9">
        <v>6000</v>
      </c>
      <c r="I78" s="16">
        <v>9000</v>
      </c>
      <c r="J78" s="72" t="s">
        <v>99</v>
      </c>
      <c r="K78" s="67">
        <f t="shared" si="0"/>
        <v>8166.666666666667</v>
      </c>
      <c r="M78" s="4"/>
      <c r="N78" s="4"/>
    </row>
    <row r="79" spans="1:14" ht="15.75" x14ac:dyDescent="0.25">
      <c r="A79" s="17"/>
      <c r="B79" s="66" t="s">
        <v>76</v>
      </c>
      <c r="C79" s="86" t="s">
        <v>6</v>
      </c>
      <c r="D79" s="9">
        <v>8000</v>
      </c>
      <c r="E79" s="9">
        <v>10000</v>
      </c>
      <c r="F79" s="9">
        <v>20000</v>
      </c>
      <c r="G79" s="9">
        <v>12000</v>
      </c>
      <c r="H79" s="9">
        <v>6000</v>
      </c>
      <c r="I79" s="16">
        <v>12000</v>
      </c>
      <c r="J79" s="72">
        <v>15000</v>
      </c>
      <c r="K79" s="67">
        <f t="shared" si="0"/>
        <v>11857.142857142857</v>
      </c>
      <c r="M79" s="4"/>
      <c r="N79" s="4"/>
    </row>
    <row r="80" spans="1:14" ht="15.75" x14ac:dyDescent="0.25">
      <c r="A80" s="17"/>
      <c r="B80" s="66" t="s">
        <v>77</v>
      </c>
      <c r="C80" s="86" t="s">
        <v>6</v>
      </c>
      <c r="D80" s="9">
        <v>18000</v>
      </c>
      <c r="E80" s="9">
        <v>16000</v>
      </c>
      <c r="F80" s="9">
        <v>17000</v>
      </c>
      <c r="G80" s="9">
        <v>15000</v>
      </c>
      <c r="H80" s="9">
        <v>15000</v>
      </c>
      <c r="I80" s="9">
        <v>20000</v>
      </c>
      <c r="J80" s="72">
        <v>18000</v>
      </c>
      <c r="K80" s="67">
        <f t="shared" si="0"/>
        <v>17000</v>
      </c>
      <c r="M80" s="4"/>
      <c r="N80" s="4"/>
    </row>
    <row r="81" spans="1:14" ht="15.75" x14ac:dyDescent="0.25">
      <c r="A81" s="17"/>
      <c r="B81" s="66" t="s">
        <v>78</v>
      </c>
      <c r="C81" s="86" t="s">
        <v>6</v>
      </c>
      <c r="D81" s="9">
        <v>22000</v>
      </c>
      <c r="E81" s="9">
        <v>15000</v>
      </c>
      <c r="F81" s="9">
        <v>10000</v>
      </c>
      <c r="G81" s="9">
        <v>10000</v>
      </c>
      <c r="H81" s="9">
        <v>20000</v>
      </c>
      <c r="I81" s="8">
        <v>25000</v>
      </c>
      <c r="J81" s="72">
        <v>20000</v>
      </c>
      <c r="K81" s="67">
        <f t="shared" ref="K81:K88" si="1">AVERAGE(D81:J81)</f>
        <v>17428.571428571428</v>
      </c>
      <c r="M81" s="4"/>
      <c r="N81" s="4"/>
    </row>
    <row r="82" spans="1:14" ht="15.75" x14ac:dyDescent="0.25">
      <c r="A82" s="17"/>
      <c r="B82" s="66" t="s">
        <v>79</v>
      </c>
      <c r="C82" s="86" t="s">
        <v>6</v>
      </c>
      <c r="D82" s="9">
        <v>14000</v>
      </c>
      <c r="E82" s="9">
        <v>12000</v>
      </c>
      <c r="F82" s="9">
        <v>14000</v>
      </c>
      <c r="G82" s="9">
        <v>12000</v>
      </c>
      <c r="H82" s="9">
        <v>10000</v>
      </c>
      <c r="I82" s="9">
        <v>20000</v>
      </c>
      <c r="J82" s="72">
        <v>15000</v>
      </c>
      <c r="K82" s="67">
        <f t="shared" si="1"/>
        <v>13857.142857142857</v>
      </c>
      <c r="M82" s="4"/>
      <c r="N82" s="4"/>
    </row>
    <row r="83" spans="1:14" ht="15.75" x14ac:dyDescent="0.25">
      <c r="A83" s="17"/>
      <c r="B83" s="66" t="s">
        <v>80</v>
      </c>
      <c r="C83" s="86" t="s">
        <v>6</v>
      </c>
      <c r="D83" s="9">
        <v>9000</v>
      </c>
      <c r="E83" s="9">
        <v>8000</v>
      </c>
      <c r="F83" s="16">
        <v>9000</v>
      </c>
      <c r="G83" s="8">
        <v>8000</v>
      </c>
      <c r="H83" s="9">
        <v>7000</v>
      </c>
      <c r="I83" s="16">
        <v>9000</v>
      </c>
      <c r="J83" s="72">
        <v>8000</v>
      </c>
      <c r="K83" s="67">
        <f t="shared" si="1"/>
        <v>8285.7142857142862</v>
      </c>
      <c r="M83" s="4"/>
      <c r="N83" s="4"/>
    </row>
    <row r="84" spans="1:14" ht="15.75" x14ac:dyDescent="0.25">
      <c r="A84" s="17"/>
      <c r="B84" s="66" t="s">
        <v>81</v>
      </c>
      <c r="C84" s="86" t="s">
        <v>82</v>
      </c>
      <c r="D84" s="9">
        <v>2000</v>
      </c>
      <c r="E84" s="9">
        <v>1500</v>
      </c>
      <c r="F84" s="9">
        <v>2000</v>
      </c>
      <c r="G84" s="8">
        <v>2000</v>
      </c>
      <c r="H84" s="9">
        <v>1500</v>
      </c>
      <c r="I84" s="9">
        <v>2000</v>
      </c>
      <c r="J84" s="79">
        <v>1500</v>
      </c>
      <c r="K84" s="67">
        <f t="shared" si="1"/>
        <v>1785.7142857142858</v>
      </c>
      <c r="L84" s="4"/>
      <c r="M84" s="4"/>
      <c r="N84" s="4"/>
    </row>
    <row r="85" spans="1:14" x14ac:dyDescent="0.25">
      <c r="A85" s="17"/>
      <c r="B85" s="66" t="s">
        <v>83</v>
      </c>
      <c r="C85" s="86" t="s">
        <v>82</v>
      </c>
      <c r="D85" s="9">
        <v>1500</v>
      </c>
      <c r="E85" s="9">
        <v>1500</v>
      </c>
      <c r="F85" s="9">
        <v>1500</v>
      </c>
      <c r="G85" s="8">
        <v>2000</v>
      </c>
      <c r="H85" s="9">
        <v>1500</v>
      </c>
      <c r="I85" s="9">
        <v>1500</v>
      </c>
      <c r="J85" s="79">
        <v>1000</v>
      </c>
      <c r="K85" s="67">
        <f t="shared" si="1"/>
        <v>1500</v>
      </c>
    </row>
    <row r="86" spans="1:14" x14ac:dyDescent="0.25">
      <c r="A86" s="17"/>
      <c r="B86" s="66" t="s">
        <v>84</v>
      </c>
      <c r="C86" s="86" t="s">
        <v>82</v>
      </c>
      <c r="D86" s="9" t="s">
        <v>99</v>
      </c>
      <c r="E86" s="9">
        <v>2000</v>
      </c>
      <c r="F86" s="9" t="s">
        <v>99</v>
      </c>
      <c r="G86" s="8" t="s">
        <v>99</v>
      </c>
      <c r="H86" s="9">
        <v>2500</v>
      </c>
      <c r="I86" s="9" t="s">
        <v>99</v>
      </c>
      <c r="J86" s="79">
        <v>2000</v>
      </c>
      <c r="K86" s="67">
        <f t="shared" si="1"/>
        <v>2166.6666666666665</v>
      </c>
    </row>
    <row r="87" spans="1:14" x14ac:dyDescent="0.25">
      <c r="A87" s="17">
        <v>22</v>
      </c>
      <c r="B87" s="60" t="s">
        <v>85</v>
      </c>
      <c r="C87" s="91"/>
      <c r="D87" s="22"/>
      <c r="E87" s="10"/>
      <c r="F87" s="10" t="s">
        <v>102</v>
      </c>
      <c r="G87" s="22"/>
      <c r="H87" s="10"/>
      <c r="I87" s="10"/>
      <c r="J87" s="77"/>
      <c r="K87" s="71"/>
    </row>
    <row r="88" spans="1:14" x14ac:dyDescent="0.25">
      <c r="A88" s="17"/>
      <c r="B88" s="66" t="s">
        <v>86</v>
      </c>
      <c r="C88" s="86" t="s">
        <v>87</v>
      </c>
      <c r="D88" s="9" t="s">
        <v>99</v>
      </c>
      <c r="E88" s="9" t="s">
        <v>99</v>
      </c>
      <c r="F88" s="9">
        <v>18000</v>
      </c>
      <c r="G88" s="8">
        <v>17000</v>
      </c>
      <c r="H88" s="10" t="s">
        <v>99</v>
      </c>
      <c r="I88" s="16">
        <v>18000</v>
      </c>
      <c r="J88" s="79">
        <v>18000</v>
      </c>
      <c r="K88" s="67">
        <f t="shared" si="1"/>
        <v>17750</v>
      </c>
    </row>
  </sheetData>
  <mergeCells count="28">
    <mergeCell ref="A63:A66"/>
    <mergeCell ref="A69:A73"/>
    <mergeCell ref="A43:A45"/>
    <mergeCell ref="A46:A48"/>
    <mergeCell ref="A52:A53"/>
    <mergeCell ref="A54:A55"/>
    <mergeCell ref="A56:A60"/>
    <mergeCell ref="I4:I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A7:A12"/>
    <mergeCell ref="A16:A17"/>
    <mergeCell ref="A19:A20"/>
    <mergeCell ref="A21:A25"/>
    <mergeCell ref="A26:A32"/>
    <mergeCell ref="A33:A35"/>
  </mergeCells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959A6-EB7D-41C0-8B15-214F592F6518}">
  <dimension ref="A1:N88"/>
  <sheetViews>
    <sheetView workbookViewId="0">
      <selection activeCell="A4" sqref="A4:A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3.37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3.37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3.37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3.37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3.37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3.37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3.37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3.37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3.37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3.37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3.37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3.37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3.37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3.37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3.37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3.37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3.37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3.37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3.37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3.37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3.37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3.37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3.37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3.37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3.37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3.37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3.37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3.37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3.37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3.37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3.37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3.37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3.37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3.37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3.37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3.37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3.37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3.37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3.37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3.37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3.37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3.37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3.37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3.37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3.37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3.37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3.37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3.37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3.37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3.37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3.37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3.37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3.37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3.37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3.37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3.37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3.37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3.37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3.37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3.37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3.37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3.37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3.37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3.37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02" t="s">
        <v>88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M1" s="4"/>
      <c r="N1" s="4"/>
    </row>
    <row r="2" spans="1:14" ht="27.75" customHeight="1" x14ac:dyDescent="0.25">
      <c r="A2" s="103" t="s">
        <v>89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M2" s="4"/>
      <c r="N2" s="4"/>
    </row>
    <row r="3" spans="1:14" ht="27.75" customHeight="1" thickBot="1" x14ac:dyDescent="0.3">
      <c r="A3" s="104" t="s">
        <v>136</v>
      </c>
      <c r="B3" s="104"/>
      <c r="C3" s="104"/>
      <c r="D3" s="104"/>
      <c r="E3" s="104"/>
      <c r="F3" s="104"/>
      <c r="G3" s="104"/>
      <c r="H3" s="104"/>
      <c r="I3" s="104"/>
      <c r="J3" s="104"/>
      <c r="K3" s="105"/>
      <c r="M3" s="4"/>
      <c r="N3" s="4"/>
    </row>
    <row r="4" spans="1:14" ht="25.5" customHeight="1" x14ac:dyDescent="0.25">
      <c r="A4" s="96" t="s">
        <v>1</v>
      </c>
      <c r="B4" s="99" t="s">
        <v>2</v>
      </c>
      <c r="C4" s="96" t="s">
        <v>90</v>
      </c>
      <c r="D4" s="110" t="s">
        <v>91</v>
      </c>
      <c r="E4" s="113" t="s">
        <v>92</v>
      </c>
      <c r="F4" s="125" t="s">
        <v>93</v>
      </c>
      <c r="G4" s="139" t="s">
        <v>94</v>
      </c>
      <c r="H4" s="116" t="s">
        <v>95</v>
      </c>
      <c r="I4" s="119" t="s">
        <v>96</v>
      </c>
      <c r="J4" s="106" t="s">
        <v>97</v>
      </c>
      <c r="K4" s="122" t="s">
        <v>98</v>
      </c>
      <c r="M4" s="4"/>
      <c r="N4" s="4"/>
    </row>
    <row r="5" spans="1:14" ht="15" customHeight="1" x14ac:dyDescent="0.25">
      <c r="A5" s="97"/>
      <c r="B5" s="100"/>
      <c r="C5" s="97"/>
      <c r="D5" s="111"/>
      <c r="E5" s="114"/>
      <c r="F5" s="126"/>
      <c r="G5" s="140"/>
      <c r="H5" s="117"/>
      <c r="I5" s="120"/>
      <c r="J5" s="107"/>
      <c r="K5" s="123"/>
      <c r="M5" s="4"/>
      <c r="N5" s="4"/>
    </row>
    <row r="6" spans="1:14" ht="16.5" thickBot="1" x14ac:dyDescent="0.3">
      <c r="A6" s="98"/>
      <c r="B6" s="109"/>
      <c r="C6" s="98"/>
      <c r="D6" s="112"/>
      <c r="E6" s="115"/>
      <c r="F6" s="127"/>
      <c r="G6" s="141"/>
      <c r="H6" s="118"/>
      <c r="I6" s="121"/>
      <c r="J6" s="108"/>
      <c r="K6" s="124"/>
      <c r="M6" s="4"/>
      <c r="N6" s="4"/>
    </row>
    <row r="7" spans="1:14" ht="15.75" x14ac:dyDescent="0.25">
      <c r="A7" s="101">
        <v>1</v>
      </c>
      <c r="B7" s="60" t="s">
        <v>4</v>
      </c>
      <c r="C7" s="61"/>
      <c r="D7" s="62"/>
      <c r="E7" s="17" t="s">
        <v>102</v>
      </c>
      <c r="F7" s="17"/>
      <c r="G7" s="63"/>
      <c r="H7" s="63" t="s">
        <v>1</v>
      </c>
      <c r="I7" s="64"/>
      <c r="J7" s="63"/>
      <c r="K7" s="65"/>
      <c r="M7" s="4"/>
      <c r="N7" s="4"/>
    </row>
    <row r="8" spans="1:14" ht="15.75" x14ac:dyDescent="0.25">
      <c r="A8" s="101"/>
      <c r="B8" s="66" t="s">
        <v>107</v>
      </c>
      <c r="C8" s="17" t="s">
        <v>6</v>
      </c>
      <c r="D8" s="9">
        <v>15500</v>
      </c>
      <c r="E8" s="9">
        <v>15500</v>
      </c>
      <c r="F8" s="9">
        <v>15500</v>
      </c>
      <c r="G8" s="9">
        <v>15500</v>
      </c>
      <c r="H8" s="9">
        <v>17000</v>
      </c>
      <c r="I8" s="9">
        <v>15500</v>
      </c>
      <c r="J8" s="16">
        <v>14000</v>
      </c>
      <c r="K8" s="67">
        <f>AVERAGE(D8:J8)</f>
        <v>15500</v>
      </c>
      <c r="L8" s="1"/>
      <c r="M8" s="7"/>
      <c r="N8" s="4"/>
    </row>
    <row r="9" spans="1:14" ht="15.75" x14ac:dyDescent="0.25">
      <c r="A9" s="101"/>
      <c r="B9" s="66" t="s">
        <v>115</v>
      </c>
      <c r="C9" s="17" t="s">
        <v>6</v>
      </c>
      <c r="D9" s="9">
        <v>10900</v>
      </c>
      <c r="E9" s="9">
        <v>10900</v>
      </c>
      <c r="F9" s="9">
        <v>10900</v>
      </c>
      <c r="G9" s="8">
        <v>10900</v>
      </c>
      <c r="H9" s="9">
        <v>12000</v>
      </c>
      <c r="I9" s="9">
        <v>10900</v>
      </c>
      <c r="J9" s="16" t="s">
        <v>99</v>
      </c>
      <c r="K9" s="67">
        <f t="shared" ref="K9:K80" si="0">AVERAGE(D9:J9)</f>
        <v>11083.333333333334</v>
      </c>
      <c r="M9" s="4"/>
      <c r="N9" s="4"/>
    </row>
    <row r="10" spans="1:14" ht="15.75" x14ac:dyDescent="0.25">
      <c r="A10" s="101"/>
      <c r="B10" s="66" t="s">
        <v>108</v>
      </c>
      <c r="C10" s="17" t="s">
        <v>6</v>
      </c>
      <c r="D10" s="9" t="s">
        <v>99</v>
      </c>
      <c r="E10" s="9" t="s">
        <v>99</v>
      </c>
      <c r="F10" s="9" t="s">
        <v>99</v>
      </c>
      <c r="G10" s="8" t="s">
        <v>99</v>
      </c>
      <c r="H10" s="9" t="s">
        <v>99</v>
      </c>
      <c r="I10" s="9" t="s">
        <v>99</v>
      </c>
      <c r="J10" s="16" t="s">
        <v>99</v>
      </c>
      <c r="K10" s="67">
        <v>0</v>
      </c>
      <c r="M10" s="4"/>
      <c r="N10" s="4"/>
    </row>
    <row r="11" spans="1:14" ht="15.75" x14ac:dyDescent="0.25">
      <c r="A11" s="101"/>
      <c r="B11" s="66" t="s">
        <v>9</v>
      </c>
      <c r="C11" s="17" t="s">
        <v>6</v>
      </c>
      <c r="D11" s="9" t="s">
        <v>99</v>
      </c>
      <c r="E11" s="9">
        <v>10000</v>
      </c>
      <c r="F11" s="16">
        <v>12000</v>
      </c>
      <c r="G11" s="8">
        <v>10000</v>
      </c>
      <c r="H11" s="9">
        <v>10000</v>
      </c>
      <c r="I11" s="16">
        <v>12000</v>
      </c>
      <c r="J11" s="16">
        <v>10000</v>
      </c>
      <c r="K11" s="67">
        <f>AVERAGE(D11:J11)</f>
        <v>10666.666666666666</v>
      </c>
      <c r="M11" s="4"/>
      <c r="N11" s="4"/>
    </row>
    <row r="12" spans="1:14" ht="15.75" x14ac:dyDescent="0.25">
      <c r="A12" s="101"/>
      <c r="B12" s="66" t="s">
        <v>10</v>
      </c>
      <c r="C12" s="17" t="s">
        <v>6</v>
      </c>
      <c r="D12" s="9" t="s">
        <v>99</v>
      </c>
      <c r="E12" s="9">
        <v>21000</v>
      </c>
      <c r="F12" s="16">
        <v>16000</v>
      </c>
      <c r="G12" s="8">
        <v>18000</v>
      </c>
      <c r="H12" s="9">
        <v>25000</v>
      </c>
      <c r="I12" s="16">
        <v>17000</v>
      </c>
      <c r="J12" s="16">
        <v>17000</v>
      </c>
      <c r="K12" s="67">
        <f t="shared" si="0"/>
        <v>19000</v>
      </c>
      <c r="M12" s="4"/>
      <c r="N12" s="4"/>
    </row>
    <row r="13" spans="1:14" ht="15.75" x14ac:dyDescent="0.25">
      <c r="A13" s="101">
        <v>2</v>
      </c>
      <c r="B13" s="60" t="s">
        <v>11</v>
      </c>
      <c r="C13" s="68"/>
      <c r="D13" s="62"/>
      <c r="E13" s="92"/>
      <c r="F13" s="17"/>
      <c r="G13" s="70"/>
      <c r="H13" s="70"/>
      <c r="I13" s="70"/>
      <c r="J13" s="70"/>
      <c r="K13" s="71"/>
      <c r="M13" s="4"/>
      <c r="N13" s="12"/>
    </row>
    <row r="14" spans="1:14" ht="15.75" x14ac:dyDescent="0.25">
      <c r="A14" s="101"/>
      <c r="B14" s="66" t="s">
        <v>116</v>
      </c>
      <c r="C14" s="17" t="s">
        <v>6</v>
      </c>
      <c r="D14" s="9">
        <v>16000</v>
      </c>
      <c r="E14" s="9">
        <v>16000</v>
      </c>
      <c r="F14" s="9">
        <v>16000</v>
      </c>
      <c r="G14" s="16">
        <v>16000</v>
      </c>
      <c r="H14" s="9">
        <v>16500</v>
      </c>
      <c r="I14" s="9">
        <v>16500</v>
      </c>
      <c r="J14" s="72">
        <v>16500</v>
      </c>
      <c r="K14" s="67">
        <f t="shared" si="0"/>
        <v>16214.285714285714</v>
      </c>
      <c r="M14" s="4"/>
      <c r="N14" s="4"/>
    </row>
    <row r="15" spans="1:14" ht="15.75" x14ac:dyDescent="0.25">
      <c r="A15" s="101"/>
      <c r="B15" s="66" t="s">
        <v>13</v>
      </c>
      <c r="C15" s="17" t="s">
        <v>6</v>
      </c>
      <c r="D15" s="9">
        <v>17000</v>
      </c>
      <c r="E15" s="9">
        <v>16000</v>
      </c>
      <c r="F15" s="16">
        <v>16000</v>
      </c>
      <c r="G15" s="8">
        <v>16000</v>
      </c>
      <c r="H15" s="9">
        <v>17000</v>
      </c>
      <c r="I15" s="9">
        <v>16000</v>
      </c>
      <c r="J15" s="72">
        <v>18000</v>
      </c>
      <c r="K15" s="67">
        <f>AVERAGE(D15:J15)</f>
        <v>16571.428571428572</v>
      </c>
      <c r="M15" s="4"/>
      <c r="N15" s="4"/>
    </row>
    <row r="16" spans="1:14" ht="15.75" x14ac:dyDescent="0.25">
      <c r="A16" s="101">
        <v>3</v>
      </c>
      <c r="B16" s="60" t="s">
        <v>14</v>
      </c>
      <c r="C16" s="73"/>
      <c r="D16" s="74"/>
      <c r="E16" s="15"/>
      <c r="F16" s="15"/>
      <c r="G16" s="15"/>
      <c r="H16" s="15"/>
      <c r="I16" s="15" t="s">
        <v>130</v>
      </c>
      <c r="J16" s="75"/>
      <c r="K16" s="71"/>
      <c r="M16" s="4"/>
      <c r="N16" s="4"/>
    </row>
    <row r="17" spans="1:14" ht="15.75" x14ac:dyDescent="0.25">
      <c r="A17" s="101"/>
      <c r="B17" s="66" t="s">
        <v>15</v>
      </c>
      <c r="C17" s="17" t="s">
        <v>6</v>
      </c>
      <c r="D17" s="9">
        <v>15000</v>
      </c>
      <c r="E17" s="9">
        <v>15000</v>
      </c>
      <c r="F17" s="9">
        <v>14000</v>
      </c>
      <c r="G17" s="9">
        <v>15000</v>
      </c>
      <c r="H17" s="9">
        <v>16000</v>
      </c>
      <c r="I17" s="9">
        <v>16000</v>
      </c>
      <c r="J17" s="72">
        <v>16000</v>
      </c>
      <c r="K17" s="67">
        <f t="shared" si="0"/>
        <v>15285.714285714286</v>
      </c>
      <c r="M17" s="4"/>
      <c r="N17" s="4"/>
    </row>
    <row r="18" spans="1:14" ht="15.75" x14ac:dyDescent="0.25">
      <c r="A18" s="59"/>
      <c r="B18" s="66" t="s">
        <v>109</v>
      </c>
      <c r="C18" s="17" t="s">
        <v>110</v>
      </c>
      <c r="D18" s="9">
        <v>14000</v>
      </c>
      <c r="E18" s="9">
        <v>14000</v>
      </c>
      <c r="F18" s="9">
        <v>14000</v>
      </c>
      <c r="G18" s="9">
        <v>14000</v>
      </c>
      <c r="H18" s="9" t="s">
        <v>99</v>
      </c>
      <c r="I18" s="9">
        <v>14000</v>
      </c>
      <c r="J18" s="72">
        <v>14000</v>
      </c>
      <c r="K18" s="67">
        <f t="shared" si="0"/>
        <v>14000</v>
      </c>
      <c r="M18" s="4"/>
      <c r="N18" s="4"/>
    </row>
    <row r="19" spans="1:14" ht="17.25" customHeight="1" x14ac:dyDescent="0.25">
      <c r="A19" s="101">
        <v>4</v>
      </c>
      <c r="B19" s="60" t="s">
        <v>16</v>
      </c>
      <c r="C19" s="73"/>
      <c r="D19" s="74"/>
      <c r="E19" s="15"/>
      <c r="F19" s="15"/>
      <c r="G19" s="76"/>
      <c r="H19" s="15"/>
      <c r="I19" s="15"/>
      <c r="J19" s="75"/>
      <c r="K19" s="71"/>
      <c r="M19" s="4"/>
      <c r="N19" s="4"/>
    </row>
    <row r="20" spans="1:14" ht="15.75" x14ac:dyDescent="0.25">
      <c r="A20" s="101"/>
      <c r="B20" s="66" t="s">
        <v>17</v>
      </c>
      <c r="C20" s="17" t="s">
        <v>6</v>
      </c>
      <c r="D20" s="9">
        <v>20000</v>
      </c>
      <c r="E20" s="9">
        <v>20000</v>
      </c>
      <c r="F20" s="16">
        <v>20000</v>
      </c>
      <c r="G20" s="8">
        <v>22000</v>
      </c>
      <c r="H20" s="16">
        <v>33000</v>
      </c>
      <c r="I20" s="16">
        <v>20000</v>
      </c>
      <c r="J20" s="77" t="s">
        <v>99</v>
      </c>
      <c r="K20" s="67">
        <f t="shared" si="0"/>
        <v>22500</v>
      </c>
      <c r="M20" s="4"/>
      <c r="N20" s="4"/>
    </row>
    <row r="21" spans="1:14" ht="15.75" x14ac:dyDescent="0.25">
      <c r="A21" s="101">
        <v>5</v>
      </c>
      <c r="B21" s="60" t="s">
        <v>18</v>
      </c>
      <c r="C21" s="73"/>
      <c r="D21" s="74"/>
      <c r="E21" s="17"/>
      <c r="F21" s="15" t="s">
        <v>1</v>
      </c>
      <c r="G21" s="76"/>
      <c r="H21" s="15"/>
      <c r="I21" s="15"/>
      <c r="J21" s="75"/>
      <c r="K21" s="71"/>
      <c r="M21" s="4"/>
      <c r="N21" s="4"/>
    </row>
    <row r="22" spans="1:14" ht="15.75" x14ac:dyDescent="0.25">
      <c r="A22" s="101"/>
      <c r="B22" s="66" t="s">
        <v>19</v>
      </c>
      <c r="C22" s="17" t="s">
        <v>6</v>
      </c>
      <c r="D22" s="9">
        <v>120000</v>
      </c>
      <c r="E22" s="9">
        <v>120000</v>
      </c>
      <c r="F22" s="9">
        <v>120000</v>
      </c>
      <c r="G22" s="9">
        <v>120000</v>
      </c>
      <c r="H22" s="9">
        <v>120000</v>
      </c>
      <c r="I22" s="8">
        <v>120000</v>
      </c>
      <c r="J22" s="72" t="s">
        <v>99</v>
      </c>
      <c r="K22" s="67">
        <f t="shared" si="0"/>
        <v>120000</v>
      </c>
      <c r="M22" s="4"/>
      <c r="N22" s="4"/>
    </row>
    <row r="23" spans="1:14" ht="15.75" x14ac:dyDescent="0.25">
      <c r="A23" s="101"/>
      <c r="B23" s="66" t="s">
        <v>20</v>
      </c>
      <c r="C23" s="17" t="s">
        <v>6</v>
      </c>
      <c r="D23" s="9">
        <v>110000</v>
      </c>
      <c r="E23" s="9">
        <v>110000</v>
      </c>
      <c r="F23" s="9">
        <v>110000</v>
      </c>
      <c r="G23" s="9">
        <v>110000</v>
      </c>
      <c r="H23" s="9">
        <v>115000</v>
      </c>
      <c r="I23" s="9">
        <v>110000</v>
      </c>
      <c r="J23" s="72">
        <v>110000</v>
      </c>
      <c r="K23" s="67">
        <f t="shared" si="0"/>
        <v>110714.28571428571</v>
      </c>
      <c r="M23" s="4"/>
      <c r="N23" s="4"/>
    </row>
    <row r="24" spans="1:14" ht="15.75" x14ac:dyDescent="0.25">
      <c r="A24" s="101"/>
      <c r="B24" s="66" t="s">
        <v>21</v>
      </c>
      <c r="C24" s="17" t="s">
        <v>6</v>
      </c>
      <c r="D24" s="9">
        <v>90000</v>
      </c>
      <c r="E24" s="9">
        <v>90000</v>
      </c>
      <c r="F24" s="9">
        <v>100000</v>
      </c>
      <c r="G24" s="9">
        <v>105000</v>
      </c>
      <c r="H24" s="9">
        <v>110000</v>
      </c>
      <c r="I24" s="8">
        <v>100000</v>
      </c>
      <c r="J24" s="72">
        <v>105000</v>
      </c>
      <c r="K24" s="67">
        <f t="shared" si="0"/>
        <v>100000</v>
      </c>
      <c r="M24" s="4"/>
      <c r="N24" s="4"/>
    </row>
    <row r="25" spans="1:14" ht="15.75" x14ac:dyDescent="0.25">
      <c r="A25" s="101"/>
      <c r="B25" s="66" t="s">
        <v>22</v>
      </c>
      <c r="C25" s="17" t="s">
        <v>6</v>
      </c>
      <c r="D25" s="9">
        <v>34000</v>
      </c>
      <c r="E25" s="9">
        <v>31000</v>
      </c>
      <c r="F25" s="9">
        <v>32000</v>
      </c>
      <c r="G25" s="9">
        <v>31000</v>
      </c>
      <c r="H25" s="72">
        <v>33000</v>
      </c>
      <c r="I25" s="9">
        <v>33000</v>
      </c>
      <c r="J25" s="72">
        <v>35000</v>
      </c>
      <c r="K25" s="67">
        <f t="shared" si="0"/>
        <v>32714.285714285714</v>
      </c>
      <c r="M25" s="4"/>
      <c r="N25" s="4"/>
    </row>
    <row r="26" spans="1:14" ht="15.75" x14ac:dyDescent="0.25">
      <c r="A26" s="101">
        <v>6</v>
      </c>
      <c r="B26" s="60" t="s">
        <v>23</v>
      </c>
      <c r="C26" s="73"/>
      <c r="D26" s="74"/>
      <c r="E26" s="17"/>
      <c r="F26" s="76"/>
      <c r="G26" s="15"/>
      <c r="H26" s="75"/>
      <c r="I26" s="15"/>
      <c r="J26" s="75"/>
      <c r="K26" s="71"/>
      <c r="M26" s="4"/>
      <c r="N26" s="4"/>
    </row>
    <row r="27" spans="1:14" ht="15.75" x14ac:dyDescent="0.25">
      <c r="A27" s="101"/>
      <c r="B27" s="66" t="s">
        <v>24</v>
      </c>
      <c r="C27" s="17" t="s">
        <v>6</v>
      </c>
      <c r="D27" s="9">
        <v>34000</v>
      </c>
      <c r="E27" s="9">
        <v>35000</v>
      </c>
      <c r="F27" s="9" t="s">
        <v>99</v>
      </c>
      <c r="G27" s="9">
        <v>40000</v>
      </c>
      <c r="H27" s="9">
        <v>30000</v>
      </c>
      <c r="I27" s="9" t="s">
        <v>99</v>
      </c>
      <c r="J27" s="72">
        <v>30000</v>
      </c>
      <c r="K27" s="67">
        <f t="shared" si="0"/>
        <v>33800</v>
      </c>
      <c r="L27" t="s">
        <v>100</v>
      </c>
      <c r="M27" s="4"/>
      <c r="N27" s="4"/>
    </row>
    <row r="28" spans="1:14" ht="15.75" x14ac:dyDescent="0.25">
      <c r="A28" s="101"/>
      <c r="B28" s="66" t="s">
        <v>25</v>
      </c>
      <c r="C28" s="17" t="s">
        <v>6</v>
      </c>
      <c r="D28" s="9">
        <v>36000</v>
      </c>
      <c r="E28" s="9">
        <v>28000</v>
      </c>
      <c r="F28" s="9">
        <v>35000</v>
      </c>
      <c r="G28" s="8">
        <v>30000</v>
      </c>
      <c r="H28" s="9">
        <v>22000</v>
      </c>
      <c r="I28" s="9">
        <v>32000</v>
      </c>
      <c r="J28" s="78">
        <v>30000</v>
      </c>
      <c r="K28" s="67">
        <f t="shared" si="0"/>
        <v>30428.571428571428</v>
      </c>
      <c r="M28" s="4"/>
      <c r="N28" s="4"/>
    </row>
    <row r="29" spans="1:14" ht="15.75" x14ac:dyDescent="0.25">
      <c r="A29" s="101"/>
      <c r="B29" s="66" t="s">
        <v>26</v>
      </c>
      <c r="C29" s="17" t="s">
        <v>6</v>
      </c>
      <c r="D29" s="9">
        <v>60000</v>
      </c>
      <c r="E29" s="9">
        <v>60000</v>
      </c>
      <c r="F29" s="16">
        <v>60000</v>
      </c>
      <c r="G29" s="8">
        <v>70000</v>
      </c>
      <c r="H29" s="9">
        <v>63000</v>
      </c>
      <c r="I29" s="9">
        <v>60000</v>
      </c>
      <c r="J29" s="79">
        <v>60000</v>
      </c>
      <c r="K29" s="67">
        <f t="shared" si="0"/>
        <v>61857.142857142855</v>
      </c>
      <c r="M29" s="4"/>
      <c r="N29" s="4"/>
    </row>
    <row r="30" spans="1:14" ht="15.75" x14ac:dyDescent="0.25">
      <c r="A30" s="101"/>
      <c r="B30" s="66" t="s">
        <v>27</v>
      </c>
      <c r="C30" s="17" t="s">
        <v>6</v>
      </c>
      <c r="D30" s="9">
        <v>25000</v>
      </c>
      <c r="E30" s="9" t="s">
        <v>99</v>
      </c>
      <c r="F30" s="10" t="s">
        <v>99</v>
      </c>
      <c r="G30" s="8">
        <v>25000</v>
      </c>
      <c r="H30" s="9">
        <v>23000</v>
      </c>
      <c r="I30" s="9" t="s">
        <v>99</v>
      </c>
      <c r="J30" s="79">
        <v>26000</v>
      </c>
      <c r="K30" s="67">
        <f t="shared" si="0"/>
        <v>24750</v>
      </c>
      <c r="M30" s="4"/>
      <c r="N30" s="4"/>
    </row>
    <row r="31" spans="1:14" ht="15.75" x14ac:dyDescent="0.25">
      <c r="A31" s="101"/>
      <c r="B31" s="66" t="s">
        <v>28</v>
      </c>
      <c r="C31" s="17" t="s">
        <v>6</v>
      </c>
      <c r="D31" s="9">
        <v>35000</v>
      </c>
      <c r="E31" s="9">
        <v>36000</v>
      </c>
      <c r="F31" s="9">
        <v>40000</v>
      </c>
      <c r="G31" s="9">
        <v>40000</v>
      </c>
      <c r="H31" s="9">
        <v>28000</v>
      </c>
      <c r="I31" s="9">
        <v>36000</v>
      </c>
      <c r="J31" s="72">
        <v>30000</v>
      </c>
      <c r="K31" s="67">
        <f t="shared" si="0"/>
        <v>35000</v>
      </c>
      <c r="M31" s="4"/>
      <c r="N31" s="4"/>
    </row>
    <row r="32" spans="1:14" ht="15.75" x14ac:dyDescent="0.25">
      <c r="A32" s="101"/>
      <c r="B32" s="66" t="s">
        <v>29</v>
      </c>
      <c r="C32" s="17" t="s">
        <v>6</v>
      </c>
      <c r="D32" s="9" t="s">
        <v>99</v>
      </c>
      <c r="E32" s="9">
        <v>100000</v>
      </c>
      <c r="F32" s="9">
        <v>100000</v>
      </c>
      <c r="G32" s="9" t="s">
        <v>99</v>
      </c>
      <c r="H32" s="9">
        <v>80000</v>
      </c>
      <c r="I32" s="9" t="s">
        <v>99</v>
      </c>
      <c r="J32" s="79">
        <v>70000</v>
      </c>
      <c r="K32" s="67">
        <f t="shared" si="0"/>
        <v>87500</v>
      </c>
      <c r="M32" s="4"/>
      <c r="N32" s="4"/>
    </row>
    <row r="33" spans="1:14" ht="15.75" x14ac:dyDescent="0.25">
      <c r="A33" s="101">
        <v>7</v>
      </c>
      <c r="B33" s="60" t="s">
        <v>30</v>
      </c>
      <c r="C33" s="73"/>
      <c r="D33" s="74"/>
      <c r="E33" s="17"/>
      <c r="F33" s="76"/>
      <c r="G33" s="76"/>
      <c r="H33" s="15"/>
      <c r="I33" s="15"/>
      <c r="J33" s="75"/>
      <c r="K33" s="71"/>
      <c r="M33" s="4"/>
      <c r="N33" s="4"/>
    </row>
    <row r="34" spans="1:14" ht="15.75" x14ac:dyDescent="0.25">
      <c r="A34" s="101"/>
      <c r="B34" s="66" t="s">
        <v>31</v>
      </c>
      <c r="C34" s="17" t="s">
        <v>6</v>
      </c>
      <c r="D34" s="9">
        <v>27000</v>
      </c>
      <c r="E34" s="9">
        <v>26500</v>
      </c>
      <c r="F34" s="9">
        <v>26000</v>
      </c>
      <c r="G34" s="9">
        <v>26000</v>
      </c>
      <c r="H34" s="9">
        <v>26000</v>
      </c>
      <c r="I34" s="9">
        <v>26000</v>
      </c>
      <c r="J34" s="72">
        <v>27500</v>
      </c>
      <c r="K34" s="67">
        <f t="shared" si="0"/>
        <v>26428.571428571428</v>
      </c>
      <c r="M34" s="4"/>
      <c r="N34" s="4"/>
    </row>
    <row r="35" spans="1:14" ht="15.75" x14ac:dyDescent="0.25">
      <c r="A35" s="101"/>
      <c r="B35" s="66" t="s">
        <v>32</v>
      </c>
      <c r="C35" s="17" t="s">
        <v>33</v>
      </c>
      <c r="D35" s="9">
        <v>3000</v>
      </c>
      <c r="E35" s="9">
        <v>2500</v>
      </c>
      <c r="F35" s="9">
        <v>2500</v>
      </c>
      <c r="G35" s="9">
        <v>2800</v>
      </c>
      <c r="H35" s="9">
        <v>2500</v>
      </c>
      <c r="I35" s="9">
        <v>3000</v>
      </c>
      <c r="J35" s="72">
        <v>3000</v>
      </c>
      <c r="K35" s="67">
        <f t="shared" si="0"/>
        <v>2757.1428571428573</v>
      </c>
      <c r="M35" s="4"/>
      <c r="N35" s="4"/>
    </row>
    <row r="36" spans="1:14" ht="15.75" x14ac:dyDescent="0.25">
      <c r="A36" s="59">
        <v>8</v>
      </c>
      <c r="B36" s="73" t="s">
        <v>117</v>
      </c>
      <c r="C36" s="80"/>
      <c r="D36" s="9"/>
      <c r="E36" s="9"/>
      <c r="F36" s="9"/>
      <c r="G36" s="9"/>
      <c r="H36" s="9"/>
      <c r="I36" s="9"/>
      <c r="J36" s="72"/>
      <c r="K36" s="81"/>
      <c r="M36" s="4"/>
      <c r="N36" s="4"/>
    </row>
    <row r="37" spans="1:14" ht="15.75" x14ac:dyDescent="0.25">
      <c r="A37" s="59"/>
      <c r="B37" s="66" t="s">
        <v>118</v>
      </c>
      <c r="C37" s="17" t="s">
        <v>6</v>
      </c>
      <c r="D37" s="9">
        <v>10000</v>
      </c>
      <c r="E37" s="9">
        <v>1250</v>
      </c>
      <c r="F37" s="9">
        <v>9000</v>
      </c>
      <c r="G37" s="9">
        <v>9000</v>
      </c>
      <c r="H37" s="9">
        <v>16000</v>
      </c>
      <c r="I37" s="9">
        <v>9000</v>
      </c>
      <c r="J37" s="72">
        <v>3000</v>
      </c>
      <c r="K37" s="67">
        <f t="shared" si="0"/>
        <v>8178.5714285714284</v>
      </c>
      <c r="M37" s="4"/>
      <c r="N37" s="4"/>
    </row>
    <row r="38" spans="1:14" ht="15.75" x14ac:dyDescent="0.25">
      <c r="A38" s="59"/>
      <c r="B38" s="66" t="s">
        <v>119</v>
      </c>
      <c r="C38" s="17" t="s">
        <v>6</v>
      </c>
      <c r="D38" s="9" t="s">
        <v>99</v>
      </c>
      <c r="E38" s="9">
        <v>10000</v>
      </c>
      <c r="F38" s="9">
        <v>12000</v>
      </c>
      <c r="G38" s="9">
        <v>14000</v>
      </c>
      <c r="H38" s="9" t="s">
        <v>99</v>
      </c>
      <c r="I38" s="9">
        <v>12000</v>
      </c>
      <c r="J38" s="72">
        <v>12000</v>
      </c>
      <c r="K38" s="67">
        <f>AVERAGE(D38:J38)</f>
        <v>12000</v>
      </c>
      <c r="M38" s="4"/>
      <c r="N38" s="4"/>
    </row>
    <row r="39" spans="1:14" ht="15.75" x14ac:dyDescent="0.25">
      <c r="A39" s="59">
        <v>9</v>
      </c>
      <c r="B39" s="82" t="s">
        <v>120</v>
      </c>
      <c r="C39" s="83"/>
      <c r="D39" s="9"/>
      <c r="E39" s="9"/>
      <c r="F39" s="9"/>
      <c r="G39" s="9"/>
      <c r="H39" s="9"/>
      <c r="I39" s="9"/>
      <c r="J39" s="72"/>
      <c r="K39" s="81"/>
      <c r="M39" s="4"/>
      <c r="N39" s="4"/>
    </row>
    <row r="40" spans="1:14" ht="15.75" x14ac:dyDescent="0.25">
      <c r="A40" s="59"/>
      <c r="B40" s="66" t="s">
        <v>121</v>
      </c>
      <c r="C40" s="17" t="s">
        <v>6</v>
      </c>
      <c r="D40" s="9" t="s">
        <v>99</v>
      </c>
      <c r="E40" s="9" t="s">
        <v>99</v>
      </c>
      <c r="F40" s="9" t="s">
        <v>99</v>
      </c>
      <c r="G40" s="9">
        <v>16000</v>
      </c>
      <c r="H40" s="9">
        <v>14000</v>
      </c>
      <c r="I40" s="9" t="s">
        <v>99</v>
      </c>
      <c r="J40" s="72">
        <v>15000</v>
      </c>
      <c r="K40" s="67">
        <f t="shared" si="0"/>
        <v>15000</v>
      </c>
      <c r="M40" s="4"/>
      <c r="N40" s="4"/>
    </row>
    <row r="41" spans="1:14" ht="15.75" x14ac:dyDescent="0.25">
      <c r="A41" s="59"/>
      <c r="B41" s="66" t="s">
        <v>122</v>
      </c>
      <c r="C41" s="17" t="s">
        <v>6</v>
      </c>
      <c r="D41" s="9" t="s">
        <v>99</v>
      </c>
      <c r="E41" s="9" t="s">
        <v>99</v>
      </c>
      <c r="F41" s="9">
        <v>6000</v>
      </c>
      <c r="G41" s="9" t="s">
        <v>99</v>
      </c>
      <c r="H41" s="9" t="s">
        <v>99</v>
      </c>
      <c r="I41" s="9">
        <v>6000</v>
      </c>
      <c r="J41" s="72" t="s">
        <v>99</v>
      </c>
      <c r="K41" s="67">
        <f t="shared" si="0"/>
        <v>6000</v>
      </c>
      <c r="M41" s="4"/>
      <c r="N41" s="4"/>
    </row>
    <row r="42" spans="1:14" ht="15.75" x14ac:dyDescent="0.25">
      <c r="A42" s="59"/>
      <c r="B42" s="66" t="s">
        <v>123</v>
      </c>
      <c r="C42" s="17" t="s">
        <v>6</v>
      </c>
      <c r="D42" s="9" t="s">
        <v>99</v>
      </c>
      <c r="E42" s="9">
        <v>2500</v>
      </c>
      <c r="F42" s="9" t="s">
        <v>99</v>
      </c>
      <c r="G42" s="9" t="s">
        <v>99</v>
      </c>
      <c r="H42" s="9" t="s">
        <v>99</v>
      </c>
      <c r="I42" s="9" t="s">
        <v>99</v>
      </c>
      <c r="J42" s="72" t="s">
        <v>99</v>
      </c>
      <c r="K42" s="67">
        <f t="shared" si="0"/>
        <v>2500</v>
      </c>
      <c r="M42" s="4"/>
      <c r="N42" s="4"/>
    </row>
    <row r="43" spans="1:14" ht="15.75" x14ac:dyDescent="0.25">
      <c r="A43" s="101">
        <v>10</v>
      </c>
      <c r="B43" s="60" t="s">
        <v>34</v>
      </c>
      <c r="C43" s="73"/>
      <c r="D43" s="74"/>
      <c r="E43" s="17"/>
      <c r="F43" s="76"/>
      <c r="G43" s="15"/>
      <c r="H43" s="15"/>
      <c r="I43" s="15"/>
      <c r="J43" s="84"/>
      <c r="K43" s="71"/>
      <c r="M43" s="4"/>
      <c r="N43" s="4"/>
    </row>
    <row r="44" spans="1:14" ht="15.75" x14ac:dyDescent="0.25">
      <c r="A44" s="101"/>
      <c r="B44" s="66" t="s">
        <v>35</v>
      </c>
      <c r="C44" s="17" t="s">
        <v>36</v>
      </c>
      <c r="D44" s="9">
        <v>12000</v>
      </c>
      <c r="E44" s="9">
        <v>12000</v>
      </c>
      <c r="F44" s="9">
        <v>12500</v>
      </c>
      <c r="G44" s="9">
        <v>12500</v>
      </c>
      <c r="H44" s="10" t="s">
        <v>99</v>
      </c>
      <c r="I44" s="16">
        <v>12500</v>
      </c>
      <c r="J44" s="72">
        <v>12500</v>
      </c>
      <c r="K44" s="67">
        <f t="shared" si="0"/>
        <v>12333.333333333334</v>
      </c>
      <c r="M44" s="4"/>
      <c r="N44" s="4"/>
    </row>
    <row r="45" spans="1:14" ht="15.75" x14ac:dyDescent="0.25">
      <c r="A45" s="101"/>
      <c r="B45" s="66" t="s">
        <v>124</v>
      </c>
      <c r="C45" s="17" t="s">
        <v>36</v>
      </c>
      <c r="D45" s="9">
        <v>12000</v>
      </c>
      <c r="E45" s="9">
        <v>13000</v>
      </c>
      <c r="F45" s="16">
        <v>12500</v>
      </c>
      <c r="G45" s="9">
        <v>12500</v>
      </c>
      <c r="H45" s="10" t="s">
        <v>99</v>
      </c>
      <c r="I45" s="16">
        <v>12500</v>
      </c>
      <c r="J45" s="79">
        <v>12500</v>
      </c>
      <c r="K45" s="67">
        <f>AVERAGE(D45:J45)</f>
        <v>12500</v>
      </c>
      <c r="M45" s="4"/>
      <c r="N45" s="4"/>
    </row>
    <row r="46" spans="1:14" ht="15.75" x14ac:dyDescent="0.25">
      <c r="A46" s="101">
        <v>11</v>
      </c>
      <c r="B46" s="60" t="s">
        <v>38</v>
      </c>
      <c r="C46" s="73"/>
      <c r="D46" s="74"/>
      <c r="E46" s="17"/>
      <c r="F46" s="15"/>
      <c r="G46" s="76"/>
      <c r="H46" s="15"/>
      <c r="I46" s="15"/>
      <c r="J46" s="75"/>
      <c r="K46" s="71"/>
      <c r="M46" s="4"/>
      <c r="N46" s="4"/>
    </row>
    <row r="47" spans="1:14" ht="15.75" x14ac:dyDescent="0.25">
      <c r="A47" s="101"/>
      <c r="B47" s="66" t="s">
        <v>39</v>
      </c>
      <c r="C47" s="17" t="s">
        <v>40</v>
      </c>
      <c r="D47" s="9" t="s">
        <v>99</v>
      </c>
      <c r="E47" s="9" t="s">
        <v>99</v>
      </c>
      <c r="F47" s="10" t="s">
        <v>99</v>
      </c>
      <c r="G47" s="8" t="s">
        <v>99</v>
      </c>
      <c r="H47" s="9">
        <v>17500</v>
      </c>
      <c r="I47" s="16" t="s">
        <v>99</v>
      </c>
      <c r="J47" s="79" t="s">
        <v>99</v>
      </c>
      <c r="K47" s="67">
        <f t="shared" si="0"/>
        <v>17500</v>
      </c>
      <c r="M47" s="4"/>
      <c r="N47" s="4"/>
    </row>
    <row r="48" spans="1:14" ht="15.75" x14ac:dyDescent="0.25">
      <c r="A48" s="101"/>
      <c r="B48" s="66" t="s">
        <v>41</v>
      </c>
      <c r="C48" s="17" t="s">
        <v>42</v>
      </c>
      <c r="D48" s="9" t="s">
        <v>99</v>
      </c>
      <c r="E48" s="9" t="s">
        <v>99</v>
      </c>
      <c r="F48" s="10" t="s">
        <v>99</v>
      </c>
      <c r="G48" s="8" t="s">
        <v>99</v>
      </c>
      <c r="H48" s="9">
        <v>2000</v>
      </c>
      <c r="I48" s="16" t="s">
        <v>99</v>
      </c>
      <c r="J48" s="79" t="s">
        <v>99</v>
      </c>
      <c r="K48" s="67">
        <f t="shared" si="0"/>
        <v>2000</v>
      </c>
      <c r="M48" s="4"/>
      <c r="N48" s="4"/>
    </row>
    <row r="49" spans="1:14" ht="15.75" x14ac:dyDescent="0.25">
      <c r="A49" s="59">
        <v>12</v>
      </c>
      <c r="B49" s="85" t="s">
        <v>43</v>
      </c>
      <c r="C49" s="80"/>
      <c r="D49" s="19"/>
      <c r="E49" s="10"/>
      <c r="F49" s="10"/>
      <c r="G49" s="22"/>
      <c r="H49" s="10"/>
      <c r="I49" s="10"/>
      <c r="J49" s="77"/>
      <c r="K49" s="71"/>
      <c r="M49" s="4"/>
      <c r="N49" s="4"/>
    </row>
    <row r="50" spans="1:14" ht="15.75" x14ac:dyDescent="0.25">
      <c r="A50" s="59"/>
      <c r="B50" s="66" t="s">
        <v>44</v>
      </c>
      <c r="C50" s="86" t="s">
        <v>6</v>
      </c>
      <c r="D50" s="9" t="s">
        <v>99</v>
      </c>
      <c r="E50" s="9">
        <v>8000</v>
      </c>
      <c r="F50" s="9">
        <v>10000</v>
      </c>
      <c r="G50" s="9">
        <v>10000</v>
      </c>
      <c r="H50" s="9">
        <v>15000</v>
      </c>
      <c r="I50" s="8">
        <v>15000</v>
      </c>
      <c r="J50" s="72">
        <v>15000</v>
      </c>
      <c r="K50" s="67">
        <f t="shared" si="0"/>
        <v>12166.666666666666</v>
      </c>
      <c r="M50" s="4" t="s">
        <v>101</v>
      </c>
      <c r="N50" s="4"/>
    </row>
    <row r="51" spans="1:14" ht="15.75" x14ac:dyDescent="0.25">
      <c r="A51" s="59"/>
      <c r="B51" s="66" t="s">
        <v>45</v>
      </c>
      <c r="C51" s="86" t="s">
        <v>6</v>
      </c>
      <c r="D51" s="9">
        <v>15000</v>
      </c>
      <c r="E51" s="9">
        <v>10000</v>
      </c>
      <c r="F51" s="8">
        <v>9000</v>
      </c>
      <c r="G51" s="9">
        <v>10000</v>
      </c>
      <c r="H51" s="9">
        <v>12000</v>
      </c>
      <c r="I51" s="9">
        <v>13000</v>
      </c>
      <c r="J51" s="72">
        <v>10000</v>
      </c>
      <c r="K51" s="67">
        <f t="shared" si="0"/>
        <v>11285.714285714286</v>
      </c>
      <c r="M51" s="4"/>
      <c r="N51" s="23"/>
    </row>
    <row r="52" spans="1:14" ht="15.75" x14ac:dyDescent="0.25">
      <c r="A52" s="101">
        <v>13</v>
      </c>
      <c r="B52" s="60" t="s">
        <v>46</v>
      </c>
      <c r="C52" s="73"/>
      <c r="D52" s="74"/>
      <c r="E52" s="17"/>
      <c r="F52" s="76"/>
      <c r="G52" s="76"/>
      <c r="H52" s="15"/>
      <c r="I52" s="15"/>
      <c r="J52" s="84"/>
      <c r="K52" s="71"/>
      <c r="M52" s="4"/>
      <c r="N52" s="4"/>
    </row>
    <row r="53" spans="1:14" ht="15.75" x14ac:dyDescent="0.25">
      <c r="A53" s="101"/>
      <c r="B53" s="66" t="s">
        <v>47</v>
      </c>
      <c r="C53" s="17" t="s">
        <v>125</v>
      </c>
      <c r="D53" s="9">
        <v>3000</v>
      </c>
      <c r="E53" s="9">
        <v>4000</v>
      </c>
      <c r="F53" s="9">
        <v>5000</v>
      </c>
      <c r="G53" s="9">
        <v>5000</v>
      </c>
      <c r="H53" s="9">
        <v>2500</v>
      </c>
      <c r="I53" s="16">
        <v>5000</v>
      </c>
      <c r="J53" s="72">
        <v>2500</v>
      </c>
      <c r="K53" s="67">
        <f t="shared" si="0"/>
        <v>3857.1428571428573</v>
      </c>
      <c r="M53" s="4"/>
      <c r="N53" s="4"/>
    </row>
    <row r="54" spans="1:14" ht="15.75" x14ac:dyDescent="0.25">
      <c r="A54" s="101">
        <v>14</v>
      </c>
      <c r="B54" s="60" t="s">
        <v>49</v>
      </c>
      <c r="C54" s="80"/>
      <c r="D54" s="62"/>
      <c r="E54" s="17"/>
      <c r="F54" s="20"/>
      <c r="G54" s="20"/>
      <c r="H54" s="17"/>
      <c r="I54" s="17"/>
      <c r="J54" s="87"/>
      <c r="K54" s="71"/>
      <c r="M54" s="4"/>
      <c r="N54" s="4"/>
    </row>
    <row r="55" spans="1:14" ht="15.75" x14ac:dyDescent="0.25">
      <c r="A55" s="101"/>
      <c r="B55" s="88" t="s">
        <v>50</v>
      </c>
      <c r="C55" s="86" t="s">
        <v>6</v>
      </c>
      <c r="D55" s="9">
        <v>10000</v>
      </c>
      <c r="E55" s="9">
        <v>10500</v>
      </c>
      <c r="F55" s="9">
        <v>10000</v>
      </c>
      <c r="G55" s="9">
        <v>11000</v>
      </c>
      <c r="H55" s="9">
        <v>12000</v>
      </c>
      <c r="I55" s="9">
        <v>10000</v>
      </c>
      <c r="J55" s="72">
        <v>10000</v>
      </c>
      <c r="K55" s="67">
        <f t="shared" si="0"/>
        <v>10500</v>
      </c>
      <c r="M55" s="4"/>
      <c r="N55" s="4"/>
    </row>
    <row r="56" spans="1:14" ht="15.75" x14ac:dyDescent="0.25">
      <c r="A56" s="101">
        <v>15</v>
      </c>
      <c r="B56" s="60" t="s">
        <v>51</v>
      </c>
      <c r="C56" s="73"/>
      <c r="D56" s="74"/>
      <c r="E56" s="17"/>
      <c r="F56" s="76"/>
      <c r="G56" s="15"/>
      <c r="H56" s="15"/>
      <c r="I56" s="15"/>
      <c r="J56" s="84"/>
      <c r="K56" s="71"/>
      <c r="M56" s="4"/>
      <c r="N56" s="4"/>
    </row>
    <row r="57" spans="1:14" ht="15.75" x14ac:dyDescent="0.25">
      <c r="A57" s="101"/>
      <c r="B57" s="66" t="s">
        <v>52</v>
      </c>
      <c r="C57" s="17" t="s">
        <v>6</v>
      </c>
      <c r="D57" s="9">
        <v>16000</v>
      </c>
      <c r="E57" s="9">
        <v>13000</v>
      </c>
      <c r="F57" s="9">
        <v>14000</v>
      </c>
      <c r="G57" s="9">
        <v>14000</v>
      </c>
      <c r="H57" s="9">
        <v>11500</v>
      </c>
      <c r="I57" s="9">
        <v>17000</v>
      </c>
      <c r="J57" s="72" t="s">
        <v>99</v>
      </c>
      <c r="K57" s="67">
        <f t="shared" si="0"/>
        <v>14250</v>
      </c>
      <c r="M57" s="4"/>
      <c r="N57" s="4"/>
    </row>
    <row r="58" spans="1:14" ht="15.75" x14ac:dyDescent="0.25">
      <c r="A58" s="101"/>
      <c r="B58" s="66" t="s">
        <v>53</v>
      </c>
      <c r="C58" s="17" t="s">
        <v>6</v>
      </c>
      <c r="D58" s="9" t="s">
        <v>99</v>
      </c>
      <c r="E58" s="9" t="s">
        <v>99</v>
      </c>
      <c r="F58" s="16">
        <v>15000</v>
      </c>
      <c r="G58" s="22" t="s">
        <v>99</v>
      </c>
      <c r="H58" s="9">
        <v>13000</v>
      </c>
      <c r="I58" s="8">
        <v>15000</v>
      </c>
      <c r="J58" s="72">
        <v>14000</v>
      </c>
      <c r="K58" s="67">
        <f t="shared" si="0"/>
        <v>14250</v>
      </c>
      <c r="M58" s="4"/>
      <c r="N58" s="4"/>
    </row>
    <row r="59" spans="1:14" ht="15.75" x14ac:dyDescent="0.25">
      <c r="A59" s="101"/>
      <c r="B59" s="66" t="s">
        <v>54</v>
      </c>
      <c r="C59" s="17" t="s">
        <v>6</v>
      </c>
      <c r="D59" s="9">
        <v>22000</v>
      </c>
      <c r="E59" s="9">
        <v>23000</v>
      </c>
      <c r="F59" s="9">
        <v>23000</v>
      </c>
      <c r="G59" s="9">
        <v>23000</v>
      </c>
      <c r="H59" s="9">
        <v>20000</v>
      </c>
      <c r="I59" s="9">
        <v>23000</v>
      </c>
      <c r="J59" s="72">
        <v>24000</v>
      </c>
      <c r="K59" s="67">
        <f t="shared" si="0"/>
        <v>22571.428571428572</v>
      </c>
      <c r="M59" s="4"/>
      <c r="N59" s="4"/>
    </row>
    <row r="60" spans="1:14" ht="15.75" x14ac:dyDescent="0.25">
      <c r="A60" s="101"/>
      <c r="B60" s="66" t="s">
        <v>55</v>
      </c>
      <c r="C60" s="17" t="s">
        <v>6</v>
      </c>
      <c r="D60" s="9">
        <v>30000</v>
      </c>
      <c r="E60" s="9">
        <v>30000</v>
      </c>
      <c r="F60" s="9">
        <v>28000</v>
      </c>
      <c r="G60" s="9">
        <v>30000</v>
      </c>
      <c r="H60" s="9">
        <v>27000</v>
      </c>
      <c r="I60" s="9">
        <v>28000</v>
      </c>
      <c r="J60" s="72">
        <v>28000</v>
      </c>
      <c r="K60" s="67">
        <f t="shared" si="0"/>
        <v>28714.285714285714</v>
      </c>
      <c r="M60" s="4"/>
      <c r="N60" s="4"/>
    </row>
    <row r="61" spans="1:14" ht="15.75" x14ac:dyDescent="0.25">
      <c r="A61" s="17">
        <v>16</v>
      </c>
      <c r="B61" s="60" t="s">
        <v>56</v>
      </c>
      <c r="C61" s="80"/>
      <c r="D61" s="89"/>
      <c r="E61" s="10"/>
      <c r="F61" s="22"/>
      <c r="G61" s="10"/>
      <c r="H61" s="10"/>
      <c r="I61" s="10"/>
      <c r="J61" s="90"/>
      <c r="K61" s="71"/>
      <c r="M61" s="4"/>
      <c r="N61" s="4"/>
    </row>
    <row r="62" spans="1:14" ht="15.75" x14ac:dyDescent="0.25">
      <c r="A62" s="17"/>
      <c r="B62" s="66" t="s">
        <v>57</v>
      </c>
      <c r="C62" s="86" t="s">
        <v>58</v>
      </c>
      <c r="D62" s="9">
        <v>3000</v>
      </c>
      <c r="E62" s="9">
        <v>3200</v>
      </c>
      <c r="F62" s="9">
        <v>3000</v>
      </c>
      <c r="G62" s="9">
        <v>3000</v>
      </c>
      <c r="H62" s="10" t="s">
        <v>99</v>
      </c>
      <c r="I62" s="16">
        <v>3000</v>
      </c>
      <c r="J62" s="72">
        <v>3500</v>
      </c>
      <c r="K62" s="67">
        <f t="shared" si="0"/>
        <v>3116.6666666666665</v>
      </c>
      <c r="M62" s="4"/>
      <c r="N62" s="4"/>
    </row>
    <row r="63" spans="1:14" ht="15.75" x14ac:dyDescent="0.25">
      <c r="A63" s="101">
        <v>17</v>
      </c>
      <c r="B63" s="60" t="s">
        <v>59</v>
      </c>
      <c r="C63" s="73"/>
      <c r="D63" s="74"/>
      <c r="E63" s="17"/>
      <c r="F63" s="76"/>
      <c r="G63" s="76"/>
      <c r="H63" s="15"/>
      <c r="I63" s="15"/>
      <c r="J63" s="84"/>
      <c r="K63" s="71"/>
      <c r="M63" s="4"/>
      <c r="N63" s="4"/>
    </row>
    <row r="64" spans="1:14" ht="15.75" x14ac:dyDescent="0.25">
      <c r="A64" s="101"/>
      <c r="B64" s="66" t="s">
        <v>60</v>
      </c>
      <c r="C64" s="17" t="s">
        <v>6</v>
      </c>
      <c r="D64" s="9">
        <v>70000</v>
      </c>
      <c r="E64" s="9">
        <v>70000</v>
      </c>
      <c r="F64" s="9">
        <v>60000</v>
      </c>
      <c r="G64" s="9">
        <v>60000</v>
      </c>
      <c r="H64" s="9">
        <v>65000</v>
      </c>
      <c r="I64" s="9">
        <v>70000</v>
      </c>
      <c r="J64" s="72">
        <v>70000</v>
      </c>
      <c r="K64" s="67">
        <f t="shared" si="0"/>
        <v>66428.571428571435</v>
      </c>
      <c r="M64" s="4"/>
      <c r="N64" s="4"/>
    </row>
    <row r="65" spans="1:14" ht="15.75" x14ac:dyDescent="0.25">
      <c r="A65" s="101"/>
      <c r="B65" s="66" t="s">
        <v>61</v>
      </c>
      <c r="C65" s="17" t="s">
        <v>6</v>
      </c>
      <c r="D65" s="9">
        <v>70000</v>
      </c>
      <c r="E65" s="9">
        <v>48000</v>
      </c>
      <c r="F65" s="9">
        <v>52000</v>
      </c>
      <c r="G65" s="9">
        <v>50000</v>
      </c>
      <c r="H65" s="9">
        <v>55000</v>
      </c>
      <c r="I65" s="8">
        <v>57000</v>
      </c>
      <c r="J65" s="72">
        <v>65000</v>
      </c>
      <c r="K65" s="67">
        <f t="shared" si="0"/>
        <v>56714.285714285717</v>
      </c>
      <c r="M65" s="4"/>
      <c r="N65" s="4"/>
    </row>
    <row r="66" spans="1:14" ht="15.75" x14ac:dyDescent="0.25">
      <c r="A66" s="101"/>
      <c r="B66" s="66" t="s">
        <v>62</v>
      </c>
      <c r="C66" s="17" t="s">
        <v>6</v>
      </c>
      <c r="D66" s="9">
        <v>34000</v>
      </c>
      <c r="E66" s="9">
        <v>30000</v>
      </c>
      <c r="F66" s="9">
        <v>38000</v>
      </c>
      <c r="G66" s="9">
        <v>30000</v>
      </c>
      <c r="H66" s="9">
        <v>45000</v>
      </c>
      <c r="I66" s="9">
        <v>54000</v>
      </c>
      <c r="J66" s="72">
        <v>40000</v>
      </c>
      <c r="K66" s="67">
        <f t="shared" si="0"/>
        <v>38714.285714285717</v>
      </c>
      <c r="M66" s="4"/>
      <c r="N66" s="4"/>
    </row>
    <row r="67" spans="1:14" ht="15.75" x14ac:dyDescent="0.25">
      <c r="A67" s="17">
        <v>18</v>
      </c>
      <c r="B67" s="60" t="s">
        <v>63</v>
      </c>
      <c r="C67" s="80"/>
      <c r="D67" s="24"/>
      <c r="E67" s="10"/>
      <c r="F67" s="22"/>
      <c r="G67" s="10"/>
      <c r="H67" s="10" t="s">
        <v>1</v>
      </c>
      <c r="I67" s="10"/>
      <c r="J67" s="77"/>
      <c r="K67" s="71"/>
      <c r="M67" s="4"/>
      <c r="N67" s="4"/>
    </row>
    <row r="68" spans="1:14" ht="15.75" x14ac:dyDescent="0.25">
      <c r="A68" s="17"/>
      <c r="B68" s="66" t="s">
        <v>64</v>
      </c>
      <c r="C68" s="17" t="s">
        <v>65</v>
      </c>
      <c r="D68" s="9">
        <v>20000</v>
      </c>
      <c r="E68" s="9">
        <v>18000</v>
      </c>
      <c r="F68" s="9">
        <v>18000</v>
      </c>
      <c r="G68" s="9">
        <v>18000</v>
      </c>
      <c r="H68" s="10" t="s">
        <v>99</v>
      </c>
      <c r="I68" s="9">
        <v>18000</v>
      </c>
      <c r="J68" s="79">
        <v>18000</v>
      </c>
      <c r="K68" s="67">
        <f t="shared" si="0"/>
        <v>18333.333333333332</v>
      </c>
      <c r="M68" s="4"/>
      <c r="N68" s="4"/>
    </row>
    <row r="69" spans="1:14" ht="15.75" x14ac:dyDescent="0.25">
      <c r="A69" s="101">
        <v>19</v>
      </c>
      <c r="B69" s="60" t="s">
        <v>66</v>
      </c>
      <c r="C69" s="60"/>
      <c r="D69" s="74"/>
      <c r="E69" s="17"/>
      <c r="F69" s="15"/>
      <c r="G69" s="15"/>
      <c r="H69" s="15"/>
      <c r="I69" s="15"/>
      <c r="J69" s="75"/>
      <c r="K69" s="71"/>
      <c r="M69" s="4"/>
      <c r="N69" s="4"/>
    </row>
    <row r="70" spans="1:14" ht="15.75" x14ac:dyDescent="0.25">
      <c r="A70" s="101"/>
      <c r="B70" s="66" t="s">
        <v>67</v>
      </c>
      <c r="C70" s="17" t="s">
        <v>6</v>
      </c>
      <c r="D70" s="9">
        <v>36000</v>
      </c>
      <c r="E70" s="9">
        <v>35000</v>
      </c>
      <c r="F70" s="9">
        <v>36000</v>
      </c>
      <c r="G70" s="9">
        <v>35000</v>
      </c>
      <c r="H70" s="9">
        <v>37000</v>
      </c>
      <c r="I70" s="9">
        <v>40000</v>
      </c>
      <c r="J70" s="72">
        <v>40000</v>
      </c>
      <c r="K70" s="67">
        <f t="shared" si="0"/>
        <v>37000</v>
      </c>
      <c r="M70" s="4"/>
      <c r="N70" s="4"/>
    </row>
    <row r="71" spans="1:14" ht="15.75" x14ac:dyDescent="0.25">
      <c r="A71" s="101"/>
      <c r="B71" s="66" t="s">
        <v>68</v>
      </c>
      <c r="C71" s="17" t="s">
        <v>6</v>
      </c>
      <c r="D71" s="9">
        <v>34000</v>
      </c>
      <c r="E71" s="9">
        <v>32000</v>
      </c>
      <c r="F71" s="9">
        <v>34000</v>
      </c>
      <c r="G71" s="9">
        <v>32000</v>
      </c>
      <c r="H71" s="9">
        <v>32000</v>
      </c>
      <c r="I71" s="9">
        <v>35000</v>
      </c>
      <c r="J71" s="72">
        <v>33000</v>
      </c>
      <c r="K71" s="67">
        <f t="shared" si="0"/>
        <v>33142.857142857145</v>
      </c>
      <c r="M71" s="4"/>
      <c r="N71" s="4"/>
    </row>
    <row r="72" spans="1:14" ht="15.75" x14ac:dyDescent="0.25">
      <c r="A72" s="101"/>
      <c r="B72" s="66" t="s">
        <v>69</v>
      </c>
      <c r="C72" s="17" t="s">
        <v>6</v>
      </c>
      <c r="D72" s="9">
        <v>26000</v>
      </c>
      <c r="E72" s="9">
        <v>28000</v>
      </c>
      <c r="F72" s="9">
        <v>24000</v>
      </c>
      <c r="G72" s="9">
        <v>24000</v>
      </c>
      <c r="H72" s="9">
        <v>23000</v>
      </c>
      <c r="I72" s="9">
        <v>25000</v>
      </c>
      <c r="J72" s="72">
        <v>20000</v>
      </c>
      <c r="K72" s="67">
        <f t="shared" si="0"/>
        <v>24285.714285714286</v>
      </c>
      <c r="M72" s="4"/>
      <c r="N72" s="4"/>
    </row>
    <row r="73" spans="1:14" ht="15.75" x14ac:dyDescent="0.25">
      <c r="A73" s="101"/>
      <c r="B73" s="66" t="s">
        <v>70</v>
      </c>
      <c r="C73" s="17" t="s">
        <v>6</v>
      </c>
      <c r="D73" s="9">
        <v>28000</v>
      </c>
      <c r="E73" s="9">
        <v>25000</v>
      </c>
      <c r="F73" s="16">
        <v>28000</v>
      </c>
      <c r="G73" s="8">
        <v>30000</v>
      </c>
      <c r="H73" s="9">
        <v>25000</v>
      </c>
      <c r="I73" s="9">
        <v>25000</v>
      </c>
      <c r="J73" s="72">
        <v>30000</v>
      </c>
      <c r="K73" s="67">
        <f t="shared" si="0"/>
        <v>27285.714285714286</v>
      </c>
      <c r="M73" s="4"/>
      <c r="N73" s="4"/>
    </row>
    <row r="74" spans="1:14" ht="15.75" x14ac:dyDescent="0.25">
      <c r="A74" s="17">
        <v>20</v>
      </c>
      <c r="B74" s="60" t="s">
        <v>71</v>
      </c>
      <c r="C74" s="91"/>
      <c r="D74" s="24"/>
      <c r="E74" s="10"/>
      <c r="F74" s="10"/>
      <c r="G74" s="89"/>
      <c r="H74" s="10"/>
      <c r="I74" s="10"/>
      <c r="J74" s="90"/>
      <c r="K74" s="71"/>
      <c r="M74" s="4"/>
      <c r="N74" s="4"/>
    </row>
    <row r="75" spans="1:14" ht="15.75" x14ac:dyDescent="0.25">
      <c r="A75" s="17"/>
      <c r="B75" s="66" t="s">
        <v>72</v>
      </c>
      <c r="C75" s="86" t="s">
        <v>6</v>
      </c>
      <c r="D75" s="9">
        <v>7000</v>
      </c>
      <c r="E75" s="9">
        <v>7000</v>
      </c>
      <c r="F75" s="9">
        <v>5000</v>
      </c>
      <c r="G75" s="9">
        <v>6000</v>
      </c>
      <c r="H75" s="9">
        <v>5000</v>
      </c>
      <c r="I75" s="9">
        <v>5000</v>
      </c>
      <c r="J75" s="72">
        <v>5000</v>
      </c>
      <c r="K75" s="67">
        <f t="shared" si="0"/>
        <v>5714.2857142857147</v>
      </c>
      <c r="M75" s="4"/>
      <c r="N75" s="4"/>
    </row>
    <row r="76" spans="1:14" ht="15.75" x14ac:dyDescent="0.25">
      <c r="A76" s="17"/>
      <c r="B76" s="66" t="s">
        <v>73</v>
      </c>
      <c r="C76" s="86" t="s">
        <v>6</v>
      </c>
      <c r="D76" s="9">
        <v>7000</v>
      </c>
      <c r="E76" s="9">
        <v>6000</v>
      </c>
      <c r="F76" s="16">
        <v>6000</v>
      </c>
      <c r="G76" s="8">
        <v>6000</v>
      </c>
      <c r="H76" s="9">
        <v>5000</v>
      </c>
      <c r="I76" s="9">
        <v>6000</v>
      </c>
      <c r="J76" s="79">
        <v>6000</v>
      </c>
      <c r="K76" s="67">
        <f t="shared" si="0"/>
        <v>6000</v>
      </c>
      <c r="M76" s="4"/>
      <c r="N76" s="4"/>
    </row>
    <row r="77" spans="1:14" ht="15.75" x14ac:dyDescent="0.25">
      <c r="A77" s="17">
        <v>21</v>
      </c>
      <c r="B77" s="60" t="s">
        <v>74</v>
      </c>
      <c r="C77" s="91"/>
      <c r="D77" s="19"/>
      <c r="E77" s="10"/>
      <c r="F77" s="10"/>
      <c r="G77" s="22"/>
      <c r="H77" s="10"/>
      <c r="I77" s="10"/>
      <c r="J77" s="77"/>
      <c r="K77" s="71"/>
      <c r="M77" s="4"/>
      <c r="N77" s="4"/>
    </row>
    <row r="78" spans="1:14" ht="15.75" x14ac:dyDescent="0.25">
      <c r="A78" s="17"/>
      <c r="B78" s="66" t="s">
        <v>75</v>
      </c>
      <c r="C78" s="86" t="s">
        <v>6</v>
      </c>
      <c r="D78" s="9">
        <v>8000</v>
      </c>
      <c r="E78" s="9">
        <v>8000</v>
      </c>
      <c r="F78" s="9">
        <v>10000</v>
      </c>
      <c r="G78" s="9">
        <v>8000</v>
      </c>
      <c r="H78" s="9">
        <v>6000</v>
      </c>
      <c r="I78" s="16">
        <v>9000</v>
      </c>
      <c r="J78" s="72" t="s">
        <v>99</v>
      </c>
      <c r="K78" s="67">
        <f t="shared" si="0"/>
        <v>8166.666666666667</v>
      </c>
      <c r="M78" s="4"/>
      <c r="N78" s="4"/>
    </row>
    <row r="79" spans="1:14" ht="15.75" x14ac:dyDescent="0.25">
      <c r="A79" s="17"/>
      <c r="B79" s="66" t="s">
        <v>76</v>
      </c>
      <c r="C79" s="86" t="s">
        <v>6</v>
      </c>
      <c r="D79" s="9">
        <v>8000</v>
      </c>
      <c r="E79" s="9">
        <v>10000</v>
      </c>
      <c r="F79" s="9">
        <v>20000</v>
      </c>
      <c r="G79" s="9">
        <v>12000</v>
      </c>
      <c r="H79" s="9">
        <v>6000</v>
      </c>
      <c r="I79" s="16">
        <v>12000</v>
      </c>
      <c r="J79" s="72">
        <v>15000</v>
      </c>
      <c r="K79" s="67">
        <f t="shared" si="0"/>
        <v>11857.142857142857</v>
      </c>
      <c r="M79" s="4"/>
      <c r="N79" s="4"/>
    </row>
    <row r="80" spans="1:14" ht="15.75" x14ac:dyDescent="0.25">
      <c r="A80" s="17"/>
      <c r="B80" s="66" t="s">
        <v>77</v>
      </c>
      <c r="C80" s="86" t="s">
        <v>6</v>
      </c>
      <c r="D80" s="9">
        <v>18000</v>
      </c>
      <c r="E80" s="9">
        <v>16000</v>
      </c>
      <c r="F80" s="9">
        <v>17000</v>
      </c>
      <c r="G80" s="9">
        <v>15000</v>
      </c>
      <c r="H80" s="9">
        <v>15000</v>
      </c>
      <c r="I80" s="9">
        <v>20000</v>
      </c>
      <c r="J80" s="72">
        <v>18000</v>
      </c>
      <c r="K80" s="67">
        <f t="shared" si="0"/>
        <v>17000</v>
      </c>
      <c r="M80" s="4"/>
      <c r="N80" s="4"/>
    </row>
    <row r="81" spans="1:14" ht="15.75" x14ac:dyDescent="0.25">
      <c r="A81" s="17"/>
      <c r="B81" s="66" t="s">
        <v>78</v>
      </c>
      <c r="C81" s="86" t="s">
        <v>6</v>
      </c>
      <c r="D81" s="9">
        <v>22000</v>
      </c>
      <c r="E81" s="9">
        <v>15000</v>
      </c>
      <c r="F81" s="9">
        <v>10000</v>
      </c>
      <c r="G81" s="9">
        <v>10000</v>
      </c>
      <c r="H81" s="9">
        <v>20000</v>
      </c>
      <c r="I81" s="8">
        <v>25000</v>
      </c>
      <c r="J81" s="72">
        <v>20000</v>
      </c>
      <c r="K81" s="67">
        <f t="shared" ref="K81:K88" si="1">AVERAGE(D81:J81)</f>
        <v>17428.571428571428</v>
      </c>
      <c r="M81" s="4"/>
      <c r="N81" s="4"/>
    </row>
    <row r="82" spans="1:14" ht="15.75" x14ac:dyDescent="0.25">
      <c r="A82" s="17"/>
      <c r="B82" s="66" t="s">
        <v>79</v>
      </c>
      <c r="C82" s="86" t="s">
        <v>6</v>
      </c>
      <c r="D82" s="9">
        <v>14000</v>
      </c>
      <c r="E82" s="9">
        <v>12000</v>
      </c>
      <c r="F82" s="9">
        <v>14000</v>
      </c>
      <c r="G82" s="9">
        <v>12000</v>
      </c>
      <c r="H82" s="9">
        <v>10000</v>
      </c>
      <c r="I82" s="9">
        <v>20000</v>
      </c>
      <c r="J82" s="72">
        <v>15000</v>
      </c>
      <c r="K82" s="67">
        <f t="shared" si="1"/>
        <v>13857.142857142857</v>
      </c>
      <c r="M82" s="4"/>
      <c r="N82" s="4"/>
    </row>
    <row r="83" spans="1:14" ht="15.75" x14ac:dyDescent="0.25">
      <c r="A83" s="17"/>
      <c r="B83" s="66" t="s">
        <v>80</v>
      </c>
      <c r="C83" s="86" t="s">
        <v>6</v>
      </c>
      <c r="D83" s="9">
        <v>9000</v>
      </c>
      <c r="E83" s="9">
        <v>8000</v>
      </c>
      <c r="F83" s="16">
        <v>9000</v>
      </c>
      <c r="G83" s="8">
        <v>8000</v>
      </c>
      <c r="H83" s="9">
        <v>7000</v>
      </c>
      <c r="I83" s="16">
        <v>9000</v>
      </c>
      <c r="J83" s="72">
        <v>8000</v>
      </c>
      <c r="K83" s="67">
        <f t="shared" si="1"/>
        <v>8285.7142857142862</v>
      </c>
      <c r="M83" s="4"/>
      <c r="N83" s="4"/>
    </row>
    <row r="84" spans="1:14" ht="15.75" x14ac:dyDescent="0.25">
      <c r="A84" s="17"/>
      <c r="B84" s="66" t="s">
        <v>81</v>
      </c>
      <c r="C84" s="86" t="s">
        <v>82</v>
      </c>
      <c r="D84" s="9">
        <v>2000</v>
      </c>
      <c r="E84" s="9">
        <v>1500</v>
      </c>
      <c r="F84" s="9">
        <v>2000</v>
      </c>
      <c r="G84" s="8">
        <v>2000</v>
      </c>
      <c r="H84" s="9">
        <v>1500</v>
      </c>
      <c r="I84" s="9">
        <v>2000</v>
      </c>
      <c r="J84" s="79">
        <v>1500</v>
      </c>
      <c r="K84" s="67">
        <f t="shared" si="1"/>
        <v>1785.7142857142858</v>
      </c>
      <c r="L84" s="4"/>
      <c r="M84" s="4"/>
      <c r="N84" s="4"/>
    </row>
    <row r="85" spans="1:14" x14ac:dyDescent="0.25">
      <c r="A85" s="17"/>
      <c r="B85" s="66" t="s">
        <v>83</v>
      </c>
      <c r="C85" s="86" t="s">
        <v>82</v>
      </c>
      <c r="D85" s="9">
        <v>1500</v>
      </c>
      <c r="E85" s="9">
        <v>1500</v>
      </c>
      <c r="F85" s="9">
        <v>1500</v>
      </c>
      <c r="G85" s="8">
        <v>2000</v>
      </c>
      <c r="H85" s="9">
        <v>1500</v>
      </c>
      <c r="I85" s="9">
        <v>1500</v>
      </c>
      <c r="J85" s="79">
        <v>1000</v>
      </c>
      <c r="K85" s="67">
        <f t="shared" si="1"/>
        <v>1500</v>
      </c>
    </row>
    <row r="86" spans="1:14" x14ac:dyDescent="0.25">
      <c r="A86" s="17"/>
      <c r="B86" s="66" t="s">
        <v>84</v>
      </c>
      <c r="C86" s="86" t="s">
        <v>82</v>
      </c>
      <c r="D86" s="9" t="s">
        <v>99</v>
      </c>
      <c r="E86" s="9">
        <v>2000</v>
      </c>
      <c r="F86" s="9" t="s">
        <v>99</v>
      </c>
      <c r="G86" s="8" t="s">
        <v>99</v>
      </c>
      <c r="H86" s="9">
        <v>2500</v>
      </c>
      <c r="I86" s="9" t="s">
        <v>99</v>
      </c>
      <c r="J86" s="79">
        <v>2000</v>
      </c>
      <c r="K86" s="67">
        <f t="shared" si="1"/>
        <v>2166.6666666666665</v>
      </c>
    </row>
    <row r="87" spans="1:14" x14ac:dyDescent="0.25">
      <c r="A87" s="17">
        <v>22</v>
      </c>
      <c r="B87" s="60" t="s">
        <v>85</v>
      </c>
      <c r="C87" s="91"/>
      <c r="D87" s="22"/>
      <c r="E87" s="10"/>
      <c r="F87" s="10" t="s">
        <v>102</v>
      </c>
      <c r="G87" s="22"/>
      <c r="H87" s="10"/>
      <c r="I87" s="10"/>
      <c r="J87" s="77"/>
      <c r="K87" s="71"/>
    </row>
    <row r="88" spans="1:14" x14ac:dyDescent="0.25">
      <c r="A88" s="17"/>
      <c r="B88" s="66" t="s">
        <v>86</v>
      </c>
      <c r="C88" s="86" t="s">
        <v>87</v>
      </c>
      <c r="D88" s="9" t="s">
        <v>99</v>
      </c>
      <c r="E88" s="9" t="s">
        <v>99</v>
      </c>
      <c r="F88" s="9">
        <v>18000</v>
      </c>
      <c r="G88" s="8">
        <v>17000</v>
      </c>
      <c r="H88" s="10" t="s">
        <v>99</v>
      </c>
      <c r="I88" s="16">
        <v>18000</v>
      </c>
      <c r="J88" s="79">
        <v>18000</v>
      </c>
      <c r="K88" s="67">
        <f t="shared" si="1"/>
        <v>17750</v>
      </c>
    </row>
  </sheetData>
  <mergeCells count="28">
    <mergeCell ref="A54:A55"/>
    <mergeCell ref="A56:A60"/>
    <mergeCell ref="A63:A66"/>
    <mergeCell ref="A69:A73"/>
    <mergeCell ref="A26:A32"/>
    <mergeCell ref="A33:A35"/>
    <mergeCell ref="A43:A45"/>
    <mergeCell ref="A46:A48"/>
    <mergeCell ref="A52:A53"/>
    <mergeCell ref="A13:A15"/>
    <mergeCell ref="A7:A12"/>
    <mergeCell ref="A16:A17"/>
    <mergeCell ref="A19:A20"/>
    <mergeCell ref="A21:A2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I4:I6"/>
  </mergeCells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54AB-5B0B-404E-8176-C5DE6D58AAF4}">
  <dimension ref="A1:N88"/>
  <sheetViews>
    <sheetView topLeftCell="A34" workbookViewId="0">
      <selection activeCell="D9" sqref="D9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3.37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3.37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3.37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3.37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3.37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3.37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3.37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3.37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3.37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3.37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3.37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3.37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3.37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3.37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3.37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3.37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3.37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3.37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3.37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3.37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3.37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3.37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3.37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3.37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3.37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3.37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3.37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3.37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3.37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3.37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3.37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3.37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3.37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3.37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3.37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3.37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3.37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3.37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3.37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3.37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3.37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3.37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3.37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3.37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3.37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3.37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3.37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3.37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3.37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3.37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3.37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3.37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3.37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3.37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3.37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3.37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3.37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3.37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3.37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3.37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3.37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3.37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3.37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3.37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02" t="s">
        <v>88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M1" s="4"/>
      <c r="N1" s="4"/>
    </row>
    <row r="2" spans="1:14" ht="27.75" customHeight="1" x14ac:dyDescent="0.25">
      <c r="A2" s="103" t="s">
        <v>89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M2" s="4"/>
      <c r="N2" s="4"/>
    </row>
    <row r="3" spans="1:14" ht="27.75" customHeight="1" thickBot="1" x14ac:dyDescent="0.3">
      <c r="A3" s="104" t="s">
        <v>137</v>
      </c>
      <c r="B3" s="104"/>
      <c r="C3" s="104"/>
      <c r="D3" s="104"/>
      <c r="E3" s="104"/>
      <c r="F3" s="104"/>
      <c r="G3" s="104"/>
      <c r="H3" s="104"/>
      <c r="I3" s="104"/>
      <c r="J3" s="104"/>
      <c r="K3" s="105"/>
      <c r="M3" s="4"/>
      <c r="N3" s="4"/>
    </row>
    <row r="4" spans="1:14" ht="25.5" customHeight="1" x14ac:dyDescent="0.25">
      <c r="A4" s="96" t="s">
        <v>1</v>
      </c>
      <c r="B4" s="99" t="s">
        <v>2</v>
      </c>
      <c r="C4" s="96" t="s">
        <v>90</v>
      </c>
      <c r="D4" s="110" t="s">
        <v>91</v>
      </c>
      <c r="E4" s="113" t="s">
        <v>92</v>
      </c>
      <c r="F4" s="125" t="s">
        <v>93</v>
      </c>
      <c r="G4" s="128" t="s">
        <v>94</v>
      </c>
      <c r="H4" s="116" t="s">
        <v>95</v>
      </c>
      <c r="I4" s="119" t="s">
        <v>96</v>
      </c>
      <c r="J4" s="106" t="s">
        <v>97</v>
      </c>
      <c r="K4" s="122" t="s">
        <v>98</v>
      </c>
      <c r="M4" s="4"/>
      <c r="N4" s="4"/>
    </row>
    <row r="5" spans="1:14" ht="15" customHeight="1" x14ac:dyDescent="0.25">
      <c r="A5" s="97"/>
      <c r="B5" s="100"/>
      <c r="C5" s="97"/>
      <c r="D5" s="111"/>
      <c r="E5" s="114"/>
      <c r="F5" s="126"/>
      <c r="G5" s="129"/>
      <c r="H5" s="117"/>
      <c r="I5" s="120"/>
      <c r="J5" s="107"/>
      <c r="K5" s="123"/>
      <c r="M5" s="4"/>
      <c r="N5" s="4"/>
    </row>
    <row r="6" spans="1:14" ht="16.5" thickBot="1" x14ac:dyDescent="0.3">
      <c r="A6" s="98"/>
      <c r="B6" s="109"/>
      <c r="C6" s="98"/>
      <c r="D6" s="112"/>
      <c r="E6" s="115"/>
      <c r="F6" s="127"/>
      <c r="G6" s="130"/>
      <c r="H6" s="118"/>
      <c r="I6" s="121"/>
      <c r="J6" s="108"/>
      <c r="K6" s="124"/>
      <c r="M6" s="4"/>
      <c r="N6" s="4"/>
    </row>
    <row r="7" spans="1:14" ht="15.75" x14ac:dyDescent="0.25">
      <c r="A7" s="101">
        <v>1</v>
      </c>
      <c r="B7" s="60" t="s">
        <v>4</v>
      </c>
      <c r="C7" s="61"/>
      <c r="D7" s="62"/>
      <c r="E7" s="17" t="s">
        <v>102</v>
      </c>
      <c r="F7" s="17"/>
      <c r="G7" s="63"/>
      <c r="H7" s="63" t="s">
        <v>1</v>
      </c>
      <c r="I7" s="64"/>
      <c r="J7" s="63"/>
      <c r="K7" s="65"/>
      <c r="M7" s="4"/>
      <c r="N7" s="4"/>
    </row>
    <row r="8" spans="1:14" ht="15.75" x14ac:dyDescent="0.25">
      <c r="A8" s="101"/>
      <c r="B8" s="66" t="s">
        <v>107</v>
      </c>
      <c r="C8" s="17" t="s">
        <v>6</v>
      </c>
      <c r="D8" s="9">
        <v>15500</v>
      </c>
      <c r="E8" s="9">
        <v>15500</v>
      </c>
      <c r="F8" s="9">
        <v>15500</v>
      </c>
      <c r="G8" s="9">
        <v>15500</v>
      </c>
      <c r="H8" s="9">
        <v>17000</v>
      </c>
      <c r="I8" s="9">
        <v>16500</v>
      </c>
      <c r="J8" s="16">
        <v>17000</v>
      </c>
      <c r="K8" s="67">
        <f>AVERAGE(D8:J8)</f>
        <v>16071.428571428571</v>
      </c>
      <c r="L8" s="1"/>
      <c r="M8" s="7"/>
      <c r="N8" s="4"/>
    </row>
    <row r="9" spans="1:14" ht="15.75" x14ac:dyDescent="0.25">
      <c r="A9" s="101"/>
      <c r="B9" s="66" t="s">
        <v>115</v>
      </c>
      <c r="C9" s="17" t="s">
        <v>6</v>
      </c>
      <c r="D9" s="9">
        <v>10900</v>
      </c>
      <c r="E9" s="9">
        <v>10900</v>
      </c>
      <c r="F9" s="9">
        <v>10900</v>
      </c>
      <c r="G9" s="8">
        <v>10900</v>
      </c>
      <c r="H9" s="9">
        <v>12000</v>
      </c>
      <c r="I9" s="9">
        <v>10900</v>
      </c>
      <c r="J9" s="16" t="s">
        <v>99</v>
      </c>
      <c r="K9" s="67">
        <f t="shared" ref="K9:K80" si="0">AVERAGE(D9:J9)</f>
        <v>11083.333333333334</v>
      </c>
      <c r="M9" s="4"/>
      <c r="N9" s="4"/>
    </row>
    <row r="10" spans="1:14" ht="15.75" x14ac:dyDescent="0.25">
      <c r="A10" s="101"/>
      <c r="B10" s="66" t="s">
        <v>108</v>
      </c>
      <c r="C10" s="17" t="s">
        <v>6</v>
      </c>
      <c r="D10" s="9" t="s">
        <v>99</v>
      </c>
      <c r="E10" s="9" t="s">
        <v>99</v>
      </c>
      <c r="F10" s="9" t="s">
        <v>99</v>
      </c>
      <c r="G10" s="8" t="s">
        <v>99</v>
      </c>
      <c r="H10" s="9" t="s">
        <v>99</v>
      </c>
      <c r="I10" s="9" t="s">
        <v>99</v>
      </c>
      <c r="J10" s="16" t="s">
        <v>99</v>
      </c>
      <c r="K10" s="67">
        <v>0</v>
      </c>
      <c r="M10" s="4"/>
      <c r="N10" s="4"/>
    </row>
    <row r="11" spans="1:14" ht="15.75" x14ac:dyDescent="0.25">
      <c r="A11" s="101"/>
      <c r="B11" s="66" t="s">
        <v>9</v>
      </c>
      <c r="C11" s="17" t="s">
        <v>6</v>
      </c>
      <c r="D11" s="9" t="s">
        <v>99</v>
      </c>
      <c r="E11" s="9">
        <v>10000</v>
      </c>
      <c r="F11" s="16">
        <v>12000</v>
      </c>
      <c r="G11" s="8">
        <v>10000</v>
      </c>
      <c r="H11" s="9">
        <v>10000</v>
      </c>
      <c r="I11" s="16">
        <v>12000</v>
      </c>
      <c r="J11" s="16">
        <v>10000</v>
      </c>
      <c r="K11" s="67">
        <f>AVERAGE(D11:J11)</f>
        <v>10666.666666666666</v>
      </c>
      <c r="M11" s="4"/>
      <c r="N11" s="4"/>
    </row>
    <row r="12" spans="1:14" ht="15.75" x14ac:dyDescent="0.25">
      <c r="A12" s="101"/>
      <c r="B12" s="66" t="s">
        <v>10</v>
      </c>
      <c r="C12" s="17" t="s">
        <v>6</v>
      </c>
      <c r="D12" s="9" t="s">
        <v>99</v>
      </c>
      <c r="E12" s="9">
        <v>21000</v>
      </c>
      <c r="F12" s="16">
        <v>16000</v>
      </c>
      <c r="G12" s="8">
        <v>18000</v>
      </c>
      <c r="H12" s="9">
        <v>25000</v>
      </c>
      <c r="I12" s="16">
        <v>17000</v>
      </c>
      <c r="J12" s="16">
        <v>17000</v>
      </c>
      <c r="K12" s="67">
        <f t="shared" si="0"/>
        <v>19000</v>
      </c>
      <c r="M12" s="4"/>
      <c r="N12" s="12"/>
    </row>
    <row r="13" spans="1:14" ht="15.75" x14ac:dyDescent="0.25">
      <c r="A13" s="101">
        <v>2</v>
      </c>
      <c r="B13" s="60" t="s">
        <v>11</v>
      </c>
      <c r="C13" s="68"/>
      <c r="D13" s="62"/>
      <c r="E13" s="92"/>
      <c r="F13" s="17"/>
      <c r="G13" s="70"/>
      <c r="H13" s="70"/>
      <c r="I13" s="70"/>
      <c r="J13" s="70"/>
      <c r="K13" s="71"/>
      <c r="M13" s="4"/>
      <c r="N13" s="4"/>
    </row>
    <row r="14" spans="1:14" ht="15.75" x14ac:dyDescent="0.25">
      <c r="A14" s="101"/>
      <c r="B14" s="66" t="s">
        <v>116</v>
      </c>
      <c r="C14" s="17" t="s">
        <v>6</v>
      </c>
      <c r="D14" s="9">
        <v>16000</v>
      </c>
      <c r="E14" s="9">
        <v>16500</v>
      </c>
      <c r="F14" s="9">
        <v>16000</v>
      </c>
      <c r="G14" s="16">
        <v>16000</v>
      </c>
      <c r="H14" s="9">
        <v>16500</v>
      </c>
      <c r="I14" s="9">
        <v>16500</v>
      </c>
      <c r="J14" s="72">
        <v>16500</v>
      </c>
      <c r="K14" s="67">
        <f t="shared" si="0"/>
        <v>16285.714285714286</v>
      </c>
      <c r="M14" s="4"/>
      <c r="N14" s="4"/>
    </row>
    <row r="15" spans="1:14" ht="15.75" x14ac:dyDescent="0.25">
      <c r="A15" s="101"/>
      <c r="B15" s="66" t="s">
        <v>13</v>
      </c>
      <c r="C15" s="17" t="s">
        <v>6</v>
      </c>
      <c r="D15" s="9">
        <v>17000</v>
      </c>
      <c r="E15" s="9">
        <v>16000</v>
      </c>
      <c r="F15" s="16">
        <v>16000</v>
      </c>
      <c r="G15" s="8">
        <v>16000</v>
      </c>
      <c r="H15" s="9">
        <v>17000</v>
      </c>
      <c r="I15" s="9">
        <v>16000</v>
      </c>
      <c r="J15" s="72">
        <v>18000</v>
      </c>
      <c r="K15" s="67">
        <f>AVERAGE(D15:J15)</f>
        <v>16571.428571428572</v>
      </c>
      <c r="M15" s="4"/>
      <c r="N15" s="4"/>
    </row>
    <row r="16" spans="1:14" ht="15.75" x14ac:dyDescent="0.25">
      <c r="A16" s="101">
        <v>3</v>
      </c>
      <c r="B16" s="60" t="s">
        <v>14</v>
      </c>
      <c r="C16" s="73"/>
      <c r="D16" s="74"/>
      <c r="E16" s="15"/>
      <c r="F16" s="15"/>
      <c r="G16" s="15"/>
      <c r="H16" s="15"/>
      <c r="I16" s="15" t="s">
        <v>130</v>
      </c>
      <c r="J16" s="75"/>
      <c r="K16" s="71"/>
      <c r="M16" s="4"/>
      <c r="N16" s="4"/>
    </row>
    <row r="17" spans="1:14" ht="15.75" x14ac:dyDescent="0.25">
      <c r="A17" s="101"/>
      <c r="B17" s="66" t="s">
        <v>15</v>
      </c>
      <c r="C17" s="17" t="s">
        <v>6</v>
      </c>
      <c r="D17" s="9">
        <v>15000</v>
      </c>
      <c r="E17" s="9">
        <v>15000</v>
      </c>
      <c r="F17" s="9">
        <v>14000</v>
      </c>
      <c r="G17" s="9">
        <v>15000</v>
      </c>
      <c r="H17" s="9">
        <v>16000</v>
      </c>
      <c r="I17" s="9">
        <v>16000</v>
      </c>
      <c r="J17" s="72">
        <v>16000</v>
      </c>
      <c r="K17" s="67">
        <f t="shared" si="0"/>
        <v>15285.714285714286</v>
      </c>
      <c r="M17" s="4"/>
      <c r="N17" s="4"/>
    </row>
    <row r="18" spans="1:14" ht="15.75" x14ac:dyDescent="0.25">
      <c r="A18" s="59"/>
      <c r="B18" s="66" t="s">
        <v>109</v>
      </c>
      <c r="C18" s="17" t="s">
        <v>110</v>
      </c>
      <c r="D18" s="9">
        <v>14000</v>
      </c>
      <c r="E18" s="9">
        <v>14000</v>
      </c>
      <c r="F18" s="9">
        <v>14000</v>
      </c>
      <c r="G18" s="9">
        <v>14000</v>
      </c>
      <c r="H18" s="9" t="s">
        <v>99</v>
      </c>
      <c r="I18" s="9">
        <v>14000</v>
      </c>
      <c r="J18" s="72">
        <v>14000</v>
      </c>
      <c r="K18" s="67">
        <f t="shared" si="0"/>
        <v>14000</v>
      </c>
      <c r="M18" s="4"/>
      <c r="N18" s="4"/>
    </row>
    <row r="19" spans="1:14" ht="17.25" customHeight="1" x14ac:dyDescent="0.25">
      <c r="A19" s="101">
        <v>4</v>
      </c>
      <c r="B19" s="60" t="s">
        <v>16</v>
      </c>
      <c r="C19" s="73"/>
      <c r="D19" s="74"/>
      <c r="E19" s="15"/>
      <c r="F19" s="15"/>
      <c r="G19" s="76"/>
      <c r="H19" s="15"/>
      <c r="I19" s="15"/>
      <c r="J19" s="75"/>
      <c r="K19" s="71"/>
      <c r="M19" s="4"/>
      <c r="N19" s="4"/>
    </row>
    <row r="20" spans="1:14" ht="15.75" x14ac:dyDescent="0.25">
      <c r="A20" s="101"/>
      <c r="B20" s="66" t="s">
        <v>17</v>
      </c>
      <c r="C20" s="17" t="s">
        <v>6</v>
      </c>
      <c r="D20" s="9">
        <v>20000</v>
      </c>
      <c r="E20" s="9">
        <v>20000</v>
      </c>
      <c r="F20" s="16">
        <v>20000</v>
      </c>
      <c r="G20" s="8">
        <v>22000</v>
      </c>
      <c r="H20" s="16">
        <v>33000</v>
      </c>
      <c r="I20" s="16">
        <v>20000</v>
      </c>
      <c r="J20" s="77" t="s">
        <v>99</v>
      </c>
      <c r="K20" s="67">
        <f t="shared" si="0"/>
        <v>22500</v>
      </c>
      <c r="M20" s="4"/>
      <c r="N20" s="4"/>
    </row>
    <row r="21" spans="1:14" ht="15.75" x14ac:dyDescent="0.25">
      <c r="A21" s="101">
        <v>5</v>
      </c>
      <c r="B21" s="60" t="s">
        <v>18</v>
      </c>
      <c r="C21" s="73"/>
      <c r="D21" s="74"/>
      <c r="E21" s="17"/>
      <c r="F21" s="15" t="s">
        <v>1</v>
      </c>
      <c r="G21" s="76"/>
      <c r="H21" s="15"/>
      <c r="I21" s="15"/>
      <c r="J21" s="75"/>
      <c r="K21" s="71"/>
      <c r="M21" s="4"/>
      <c r="N21" s="4"/>
    </row>
    <row r="22" spans="1:14" ht="15.75" x14ac:dyDescent="0.25">
      <c r="A22" s="101"/>
      <c r="B22" s="66" t="s">
        <v>19</v>
      </c>
      <c r="C22" s="17" t="s">
        <v>6</v>
      </c>
      <c r="D22" s="9">
        <v>120000</v>
      </c>
      <c r="E22" s="9">
        <v>120000</v>
      </c>
      <c r="F22" s="9">
        <v>120000</v>
      </c>
      <c r="G22" s="9">
        <v>120000</v>
      </c>
      <c r="H22" s="9">
        <v>120000</v>
      </c>
      <c r="I22" s="8">
        <v>120000</v>
      </c>
      <c r="J22" s="72" t="s">
        <v>99</v>
      </c>
      <c r="K22" s="67">
        <f t="shared" si="0"/>
        <v>120000</v>
      </c>
      <c r="M22" s="4"/>
      <c r="N22" s="4"/>
    </row>
    <row r="23" spans="1:14" ht="15.75" x14ac:dyDescent="0.25">
      <c r="A23" s="101"/>
      <c r="B23" s="66" t="s">
        <v>20</v>
      </c>
      <c r="C23" s="17" t="s">
        <v>6</v>
      </c>
      <c r="D23" s="9">
        <v>110000</v>
      </c>
      <c r="E23" s="9">
        <v>110000</v>
      </c>
      <c r="F23" s="9">
        <v>110000</v>
      </c>
      <c r="G23" s="9">
        <v>110000</v>
      </c>
      <c r="H23" s="9">
        <v>115000</v>
      </c>
      <c r="I23" s="9">
        <v>110000</v>
      </c>
      <c r="J23" s="72">
        <v>110000</v>
      </c>
      <c r="K23" s="67">
        <f t="shared" si="0"/>
        <v>110714.28571428571</v>
      </c>
      <c r="M23" s="4"/>
      <c r="N23" s="4"/>
    </row>
    <row r="24" spans="1:14" ht="15.75" x14ac:dyDescent="0.25">
      <c r="A24" s="101"/>
      <c r="B24" s="66" t="s">
        <v>21</v>
      </c>
      <c r="C24" s="17" t="s">
        <v>6</v>
      </c>
      <c r="D24" s="9">
        <v>90000</v>
      </c>
      <c r="E24" s="9">
        <v>90000</v>
      </c>
      <c r="F24" s="9">
        <v>100000</v>
      </c>
      <c r="G24" s="9">
        <v>105000</v>
      </c>
      <c r="H24" s="9">
        <v>110000</v>
      </c>
      <c r="I24" s="8">
        <v>100000</v>
      </c>
      <c r="J24" s="72">
        <v>105000</v>
      </c>
      <c r="K24" s="67">
        <f t="shared" si="0"/>
        <v>100000</v>
      </c>
      <c r="M24" s="4"/>
      <c r="N24" s="4"/>
    </row>
    <row r="25" spans="1:14" ht="15.75" x14ac:dyDescent="0.25">
      <c r="A25" s="101"/>
      <c r="B25" s="66" t="s">
        <v>22</v>
      </c>
      <c r="C25" s="17" t="s">
        <v>6</v>
      </c>
      <c r="D25" s="9">
        <v>34000</v>
      </c>
      <c r="E25" s="9">
        <v>31000</v>
      </c>
      <c r="F25" s="9">
        <v>34000</v>
      </c>
      <c r="G25" s="9">
        <v>31000</v>
      </c>
      <c r="H25" s="72">
        <v>33000</v>
      </c>
      <c r="I25" s="9">
        <v>34000</v>
      </c>
      <c r="J25" s="72">
        <v>35000</v>
      </c>
      <c r="K25" s="67">
        <f t="shared" si="0"/>
        <v>33142.857142857145</v>
      </c>
      <c r="M25" s="4"/>
      <c r="N25" s="4"/>
    </row>
    <row r="26" spans="1:14" ht="15.75" x14ac:dyDescent="0.25">
      <c r="A26" s="101">
        <v>6</v>
      </c>
      <c r="B26" s="60" t="s">
        <v>23</v>
      </c>
      <c r="C26" s="73"/>
      <c r="D26" s="74"/>
      <c r="E26" s="17"/>
      <c r="F26" s="76"/>
      <c r="G26" s="15"/>
      <c r="H26" s="75"/>
      <c r="I26" s="15"/>
      <c r="J26" s="75"/>
      <c r="K26" s="71"/>
      <c r="M26" s="4"/>
      <c r="N26" s="4"/>
    </row>
    <row r="27" spans="1:14" ht="15.75" x14ac:dyDescent="0.25">
      <c r="A27" s="101"/>
      <c r="B27" s="66" t="s">
        <v>24</v>
      </c>
      <c r="C27" s="17" t="s">
        <v>6</v>
      </c>
      <c r="D27" s="9">
        <v>34000</v>
      </c>
      <c r="E27" s="9">
        <v>35000</v>
      </c>
      <c r="F27" s="9" t="s">
        <v>99</v>
      </c>
      <c r="G27" s="9">
        <v>40000</v>
      </c>
      <c r="H27" s="9">
        <v>30000</v>
      </c>
      <c r="I27" s="9" t="s">
        <v>99</v>
      </c>
      <c r="J27" s="72">
        <v>30000</v>
      </c>
      <c r="K27" s="67">
        <f t="shared" si="0"/>
        <v>33800</v>
      </c>
      <c r="L27" t="s">
        <v>100</v>
      </c>
      <c r="M27" s="4"/>
      <c r="N27" s="4"/>
    </row>
    <row r="28" spans="1:14" ht="15.75" x14ac:dyDescent="0.25">
      <c r="A28" s="101"/>
      <c r="B28" s="66" t="s">
        <v>25</v>
      </c>
      <c r="C28" s="17" t="s">
        <v>6</v>
      </c>
      <c r="D28" s="9">
        <v>36000</v>
      </c>
      <c r="E28" s="9">
        <v>28000</v>
      </c>
      <c r="F28" s="9">
        <v>35000</v>
      </c>
      <c r="G28" s="8">
        <v>30000</v>
      </c>
      <c r="H28" s="9">
        <v>22000</v>
      </c>
      <c r="I28" s="9">
        <v>30000</v>
      </c>
      <c r="J28" s="78">
        <v>30000</v>
      </c>
      <c r="K28" s="67">
        <f t="shared" si="0"/>
        <v>30142.857142857141</v>
      </c>
      <c r="M28" s="4"/>
      <c r="N28" s="4"/>
    </row>
    <row r="29" spans="1:14" ht="15.75" x14ac:dyDescent="0.25">
      <c r="A29" s="101"/>
      <c r="B29" s="66" t="s">
        <v>26</v>
      </c>
      <c r="C29" s="17" t="s">
        <v>6</v>
      </c>
      <c r="D29" s="9">
        <v>60000</v>
      </c>
      <c r="E29" s="9">
        <v>60000</v>
      </c>
      <c r="F29" s="16">
        <v>60000</v>
      </c>
      <c r="G29" s="8">
        <v>70000</v>
      </c>
      <c r="H29" s="9">
        <v>63000</v>
      </c>
      <c r="I29" s="9">
        <v>60000</v>
      </c>
      <c r="J29" s="79">
        <v>60000</v>
      </c>
      <c r="K29" s="67">
        <f t="shared" si="0"/>
        <v>61857.142857142855</v>
      </c>
      <c r="M29" s="4"/>
      <c r="N29" s="4"/>
    </row>
    <row r="30" spans="1:14" ht="15.75" x14ac:dyDescent="0.25">
      <c r="A30" s="101"/>
      <c r="B30" s="66" t="s">
        <v>27</v>
      </c>
      <c r="C30" s="17" t="s">
        <v>6</v>
      </c>
      <c r="D30" s="9">
        <v>25000</v>
      </c>
      <c r="E30" s="9" t="s">
        <v>99</v>
      </c>
      <c r="F30" s="10" t="s">
        <v>99</v>
      </c>
      <c r="G30" s="8">
        <v>25000</v>
      </c>
      <c r="H30" s="9">
        <v>23000</v>
      </c>
      <c r="I30" s="9" t="s">
        <v>99</v>
      </c>
      <c r="J30" s="79">
        <v>26000</v>
      </c>
      <c r="K30" s="67">
        <f t="shared" si="0"/>
        <v>24750</v>
      </c>
      <c r="M30" s="4"/>
      <c r="N30" s="4"/>
    </row>
    <row r="31" spans="1:14" ht="15.75" x14ac:dyDescent="0.25">
      <c r="A31" s="101"/>
      <c r="B31" s="66" t="s">
        <v>28</v>
      </c>
      <c r="C31" s="17" t="s">
        <v>6</v>
      </c>
      <c r="D31" s="9">
        <v>35000</v>
      </c>
      <c r="E31" s="9">
        <v>36000</v>
      </c>
      <c r="F31" s="9">
        <v>40000</v>
      </c>
      <c r="G31" s="9">
        <v>40000</v>
      </c>
      <c r="H31" s="9">
        <v>28000</v>
      </c>
      <c r="I31" s="9">
        <v>36000</v>
      </c>
      <c r="J31" s="72">
        <v>35000</v>
      </c>
      <c r="K31" s="67">
        <f t="shared" si="0"/>
        <v>35714.285714285717</v>
      </c>
      <c r="M31" s="4"/>
      <c r="N31" s="4"/>
    </row>
    <row r="32" spans="1:14" ht="15.75" x14ac:dyDescent="0.25">
      <c r="A32" s="101"/>
      <c r="B32" s="66" t="s">
        <v>29</v>
      </c>
      <c r="C32" s="17" t="s">
        <v>6</v>
      </c>
      <c r="D32" s="9" t="s">
        <v>99</v>
      </c>
      <c r="E32" s="9">
        <v>100000</v>
      </c>
      <c r="F32" s="9">
        <v>100000</v>
      </c>
      <c r="G32" s="9" t="s">
        <v>99</v>
      </c>
      <c r="H32" s="9">
        <v>80000</v>
      </c>
      <c r="I32" s="9" t="s">
        <v>99</v>
      </c>
      <c r="J32" s="79">
        <v>70000</v>
      </c>
      <c r="K32" s="67">
        <f t="shared" si="0"/>
        <v>87500</v>
      </c>
      <c r="M32" s="4"/>
      <c r="N32" s="4"/>
    </row>
    <row r="33" spans="1:14" ht="15.75" x14ac:dyDescent="0.25">
      <c r="A33" s="101">
        <v>7</v>
      </c>
      <c r="B33" s="60" t="s">
        <v>30</v>
      </c>
      <c r="C33" s="73"/>
      <c r="D33" s="74"/>
      <c r="E33" s="17"/>
      <c r="F33" s="76"/>
      <c r="G33" s="76"/>
      <c r="H33" s="15"/>
      <c r="I33" s="15"/>
      <c r="J33" s="75"/>
      <c r="K33" s="71"/>
      <c r="M33" s="4"/>
      <c r="N33" s="4"/>
    </row>
    <row r="34" spans="1:14" ht="15.75" x14ac:dyDescent="0.25">
      <c r="A34" s="101"/>
      <c r="B34" s="66" t="s">
        <v>31</v>
      </c>
      <c r="C34" s="17" t="s">
        <v>6</v>
      </c>
      <c r="D34" s="9">
        <v>27000</v>
      </c>
      <c r="E34" s="9">
        <v>26500</v>
      </c>
      <c r="F34" s="9">
        <v>27000</v>
      </c>
      <c r="G34" s="9">
        <v>26000</v>
      </c>
      <c r="H34" s="9">
        <v>26000</v>
      </c>
      <c r="I34" s="9">
        <v>27000</v>
      </c>
      <c r="J34" s="72">
        <v>27500</v>
      </c>
      <c r="K34" s="67">
        <f t="shared" si="0"/>
        <v>26714.285714285714</v>
      </c>
      <c r="M34" s="4"/>
      <c r="N34" s="4"/>
    </row>
    <row r="35" spans="1:14" ht="15.75" x14ac:dyDescent="0.25">
      <c r="A35" s="101"/>
      <c r="B35" s="66" t="s">
        <v>32</v>
      </c>
      <c r="C35" s="17" t="s">
        <v>33</v>
      </c>
      <c r="D35" s="9">
        <v>3000</v>
      </c>
      <c r="E35" s="9">
        <v>2500</v>
      </c>
      <c r="F35" s="9">
        <v>2500</v>
      </c>
      <c r="G35" s="9">
        <v>2800</v>
      </c>
      <c r="H35" s="9">
        <v>2500</v>
      </c>
      <c r="I35" s="9">
        <v>3000</v>
      </c>
      <c r="J35" s="72">
        <v>3000</v>
      </c>
      <c r="K35" s="67">
        <f t="shared" si="0"/>
        <v>2757.1428571428573</v>
      </c>
      <c r="M35" s="4"/>
      <c r="N35" s="4"/>
    </row>
    <row r="36" spans="1:14" ht="15.75" x14ac:dyDescent="0.25">
      <c r="A36" s="59">
        <v>8</v>
      </c>
      <c r="B36" s="73" t="s">
        <v>117</v>
      </c>
      <c r="C36" s="80"/>
      <c r="D36" s="9"/>
      <c r="E36" s="9"/>
      <c r="F36" s="9"/>
      <c r="G36" s="9"/>
      <c r="H36" s="9"/>
      <c r="I36" s="9"/>
      <c r="J36" s="72"/>
      <c r="K36" s="81"/>
      <c r="M36" s="4"/>
      <c r="N36" s="4"/>
    </row>
    <row r="37" spans="1:14" ht="15.75" x14ac:dyDescent="0.25">
      <c r="A37" s="59"/>
      <c r="B37" s="66" t="s">
        <v>118</v>
      </c>
      <c r="C37" s="17" t="s">
        <v>6</v>
      </c>
      <c r="D37" s="9">
        <v>10000</v>
      </c>
      <c r="E37" s="9">
        <v>1250</v>
      </c>
      <c r="F37" s="9">
        <v>9000</v>
      </c>
      <c r="G37" s="9">
        <v>9000</v>
      </c>
      <c r="H37" s="9">
        <v>16000</v>
      </c>
      <c r="I37" s="9">
        <v>9000</v>
      </c>
      <c r="J37" s="72">
        <v>3000</v>
      </c>
      <c r="K37" s="67">
        <f t="shared" si="0"/>
        <v>8178.5714285714284</v>
      </c>
      <c r="M37" s="4"/>
      <c r="N37" s="4"/>
    </row>
    <row r="38" spans="1:14" ht="15.75" x14ac:dyDescent="0.25">
      <c r="A38" s="59"/>
      <c r="B38" s="66" t="s">
        <v>119</v>
      </c>
      <c r="C38" s="17" t="s">
        <v>6</v>
      </c>
      <c r="D38" s="9" t="s">
        <v>99</v>
      </c>
      <c r="E38" s="9">
        <v>10000</v>
      </c>
      <c r="F38" s="9">
        <v>12000</v>
      </c>
      <c r="G38" s="9">
        <v>14000</v>
      </c>
      <c r="H38" s="9" t="s">
        <v>99</v>
      </c>
      <c r="I38" s="9">
        <v>12000</v>
      </c>
      <c r="J38" s="72">
        <v>12000</v>
      </c>
      <c r="K38" s="67">
        <f>AVERAGE(D38:J38)</f>
        <v>12000</v>
      </c>
      <c r="M38" s="4"/>
      <c r="N38" s="4"/>
    </row>
    <row r="39" spans="1:14" ht="15.75" x14ac:dyDescent="0.25">
      <c r="A39" s="59">
        <v>9</v>
      </c>
      <c r="B39" s="82" t="s">
        <v>120</v>
      </c>
      <c r="C39" s="83"/>
      <c r="D39" s="9"/>
      <c r="E39" s="9"/>
      <c r="F39" s="9"/>
      <c r="G39" s="9"/>
      <c r="H39" s="9"/>
      <c r="I39" s="9"/>
      <c r="J39" s="72"/>
      <c r="K39" s="81"/>
      <c r="M39" s="4"/>
      <c r="N39" s="4"/>
    </row>
    <row r="40" spans="1:14" ht="15.75" x14ac:dyDescent="0.25">
      <c r="A40" s="59"/>
      <c r="B40" s="66" t="s">
        <v>121</v>
      </c>
      <c r="C40" s="17" t="s">
        <v>6</v>
      </c>
      <c r="D40" s="9" t="s">
        <v>99</v>
      </c>
      <c r="E40" s="9" t="s">
        <v>99</v>
      </c>
      <c r="F40" s="9" t="s">
        <v>99</v>
      </c>
      <c r="G40" s="9">
        <v>16000</v>
      </c>
      <c r="H40" s="9">
        <v>14000</v>
      </c>
      <c r="I40" s="9" t="s">
        <v>99</v>
      </c>
      <c r="J40" s="72">
        <v>15000</v>
      </c>
      <c r="K40" s="67">
        <f t="shared" si="0"/>
        <v>15000</v>
      </c>
      <c r="M40" s="4"/>
      <c r="N40" s="4"/>
    </row>
    <row r="41" spans="1:14" ht="15.75" x14ac:dyDescent="0.25">
      <c r="A41" s="59"/>
      <c r="B41" s="66" t="s">
        <v>122</v>
      </c>
      <c r="C41" s="17" t="s">
        <v>6</v>
      </c>
      <c r="D41" s="9" t="s">
        <v>99</v>
      </c>
      <c r="E41" s="9" t="s">
        <v>99</v>
      </c>
      <c r="F41" s="9">
        <v>6000</v>
      </c>
      <c r="G41" s="9" t="s">
        <v>99</v>
      </c>
      <c r="H41" s="9" t="s">
        <v>99</v>
      </c>
      <c r="I41" s="9">
        <v>6000</v>
      </c>
      <c r="J41" s="72" t="s">
        <v>99</v>
      </c>
      <c r="K41" s="67">
        <f t="shared" si="0"/>
        <v>6000</v>
      </c>
      <c r="M41" s="4"/>
      <c r="N41" s="4"/>
    </row>
    <row r="42" spans="1:14" ht="15.75" x14ac:dyDescent="0.25">
      <c r="A42" s="59"/>
      <c r="B42" s="66" t="s">
        <v>123</v>
      </c>
      <c r="C42" s="17" t="s">
        <v>6</v>
      </c>
      <c r="D42" s="9" t="s">
        <v>99</v>
      </c>
      <c r="E42" s="9">
        <v>2500</v>
      </c>
      <c r="F42" s="9" t="s">
        <v>99</v>
      </c>
      <c r="G42" s="9" t="s">
        <v>99</v>
      </c>
      <c r="H42" s="9" t="s">
        <v>99</v>
      </c>
      <c r="I42" s="9" t="s">
        <v>99</v>
      </c>
      <c r="J42" s="72" t="s">
        <v>99</v>
      </c>
      <c r="K42" s="67">
        <f t="shared" si="0"/>
        <v>2500</v>
      </c>
      <c r="M42" s="4"/>
      <c r="N42" s="4"/>
    </row>
    <row r="43" spans="1:14" ht="15.75" x14ac:dyDescent="0.25">
      <c r="A43" s="101">
        <v>10</v>
      </c>
      <c r="B43" s="60" t="s">
        <v>34</v>
      </c>
      <c r="C43" s="73"/>
      <c r="D43" s="74"/>
      <c r="E43" s="17"/>
      <c r="F43" s="76"/>
      <c r="G43" s="15"/>
      <c r="H43" s="15"/>
      <c r="I43" s="15"/>
      <c r="J43" s="84"/>
      <c r="K43" s="71"/>
      <c r="M43" s="4"/>
      <c r="N43" s="4"/>
    </row>
    <row r="44" spans="1:14" ht="15.75" x14ac:dyDescent="0.25">
      <c r="A44" s="101"/>
      <c r="B44" s="66" t="s">
        <v>35</v>
      </c>
      <c r="C44" s="17" t="s">
        <v>36</v>
      </c>
      <c r="D44" s="9">
        <v>12000</v>
      </c>
      <c r="E44" s="9">
        <v>12000</v>
      </c>
      <c r="F44" s="9">
        <v>12500</v>
      </c>
      <c r="G44" s="9">
        <v>12500</v>
      </c>
      <c r="H44" s="10" t="s">
        <v>99</v>
      </c>
      <c r="I44" s="16">
        <v>12500</v>
      </c>
      <c r="J44" s="72">
        <v>12500</v>
      </c>
      <c r="K44" s="67">
        <f t="shared" si="0"/>
        <v>12333.333333333334</v>
      </c>
      <c r="M44" s="4"/>
      <c r="N44" s="4"/>
    </row>
    <row r="45" spans="1:14" ht="15.75" x14ac:dyDescent="0.25">
      <c r="A45" s="101"/>
      <c r="B45" s="66" t="s">
        <v>124</v>
      </c>
      <c r="C45" s="17" t="s">
        <v>36</v>
      </c>
      <c r="D45" s="9">
        <v>12000</v>
      </c>
      <c r="E45" s="9">
        <v>13000</v>
      </c>
      <c r="F45" s="16">
        <v>12500</v>
      </c>
      <c r="G45" s="9">
        <v>12500</v>
      </c>
      <c r="H45" s="10" t="s">
        <v>99</v>
      </c>
      <c r="I45" s="16">
        <v>12500</v>
      </c>
      <c r="J45" s="79">
        <v>12500</v>
      </c>
      <c r="K45" s="67">
        <f>AVERAGE(D45:J45)</f>
        <v>12500</v>
      </c>
      <c r="M45" s="4"/>
      <c r="N45" s="4"/>
    </row>
    <row r="46" spans="1:14" ht="15.75" x14ac:dyDescent="0.25">
      <c r="A46" s="101">
        <v>11</v>
      </c>
      <c r="B46" s="60" t="s">
        <v>38</v>
      </c>
      <c r="C46" s="73"/>
      <c r="D46" s="74"/>
      <c r="E46" s="17"/>
      <c r="F46" s="15"/>
      <c r="G46" s="76"/>
      <c r="H46" s="15"/>
      <c r="I46" s="15"/>
      <c r="J46" s="75"/>
      <c r="K46" s="71"/>
      <c r="M46" s="4"/>
      <c r="N46" s="4"/>
    </row>
    <row r="47" spans="1:14" ht="15.75" x14ac:dyDescent="0.25">
      <c r="A47" s="101"/>
      <c r="B47" s="66" t="s">
        <v>39</v>
      </c>
      <c r="C47" s="17" t="s">
        <v>40</v>
      </c>
      <c r="D47" s="9" t="s">
        <v>99</v>
      </c>
      <c r="E47" s="9" t="s">
        <v>99</v>
      </c>
      <c r="F47" s="10" t="s">
        <v>99</v>
      </c>
      <c r="G47" s="8" t="s">
        <v>99</v>
      </c>
      <c r="H47" s="9">
        <v>17500</v>
      </c>
      <c r="I47" s="16" t="s">
        <v>99</v>
      </c>
      <c r="J47" s="79" t="s">
        <v>99</v>
      </c>
      <c r="K47" s="67">
        <f t="shared" si="0"/>
        <v>17500</v>
      </c>
      <c r="M47" s="4"/>
      <c r="N47" s="4"/>
    </row>
    <row r="48" spans="1:14" ht="15.75" x14ac:dyDescent="0.25">
      <c r="A48" s="101"/>
      <c r="B48" s="66" t="s">
        <v>41</v>
      </c>
      <c r="C48" s="17" t="s">
        <v>42</v>
      </c>
      <c r="D48" s="9" t="s">
        <v>99</v>
      </c>
      <c r="E48" s="9" t="s">
        <v>99</v>
      </c>
      <c r="F48" s="10" t="s">
        <v>99</v>
      </c>
      <c r="G48" s="8" t="s">
        <v>99</v>
      </c>
      <c r="H48" s="9">
        <v>2000</v>
      </c>
      <c r="I48" s="16" t="s">
        <v>99</v>
      </c>
      <c r="J48" s="79" t="s">
        <v>99</v>
      </c>
      <c r="K48" s="67">
        <f t="shared" si="0"/>
        <v>2000</v>
      </c>
      <c r="M48" s="4"/>
      <c r="N48" s="4"/>
    </row>
    <row r="49" spans="1:14" ht="15.75" x14ac:dyDescent="0.25">
      <c r="A49" s="59">
        <v>12</v>
      </c>
      <c r="B49" s="85" t="s">
        <v>43</v>
      </c>
      <c r="C49" s="80"/>
      <c r="D49" s="19"/>
      <c r="E49" s="10"/>
      <c r="F49" s="10"/>
      <c r="G49" s="22"/>
      <c r="H49" s="10"/>
      <c r="I49" s="10"/>
      <c r="J49" s="77"/>
      <c r="K49" s="71"/>
      <c r="M49" s="4"/>
      <c r="N49" s="4"/>
    </row>
    <row r="50" spans="1:14" ht="15.75" x14ac:dyDescent="0.25">
      <c r="A50" s="59"/>
      <c r="B50" s="66" t="s">
        <v>44</v>
      </c>
      <c r="C50" s="86" t="s">
        <v>6</v>
      </c>
      <c r="D50" s="9" t="s">
        <v>99</v>
      </c>
      <c r="E50" s="9">
        <v>8000</v>
      </c>
      <c r="F50" s="9">
        <v>10000</v>
      </c>
      <c r="G50" s="9">
        <v>10000</v>
      </c>
      <c r="H50" s="9">
        <v>15000</v>
      </c>
      <c r="I50" s="8">
        <v>15000</v>
      </c>
      <c r="J50" s="72">
        <v>15000</v>
      </c>
      <c r="K50" s="67">
        <f t="shared" si="0"/>
        <v>12166.666666666666</v>
      </c>
      <c r="M50" s="4" t="s">
        <v>101</v>
      </c>
      <c r="N50" s="4"/>
    </row>
    <row r="51" spans="1:14" ht="15.75" x14ac:dyDescent="0.25">
      <c r="A51" s="59"/>
      <c r="B51" s="66" t="s">
        <v>45</v>
      </c>
      <c r="C51" s="86" t="s">
        <v>6</v>
      </c>
      <c r="D51" s="9">
        <v>15000</v>
      </c>
      <c r="E51" s="9">
        <v>10000</v>
      </c>
      <c r="F51" s="8">
        <v>9000</v>
      </c>
      <c r="G51" s="9">
        <v>10000</v>
      </c>
      <c r="H51" s="9">
        <v>12000</v>
      </c>
      <c r="I51" s="9">
        <v>12000</v>
      </c>
      <c r="J51" s="72">
        <v>10000</v>
      </c>
      <c r="K51" s="67">
        <f t="shared" si="0"/>
        <v>11142.857142857143</v>
      </c>
      <c r="M51" s="4"/>
      <c r="N51" s="23"/>
    </row>
    <row r="52" spans="1:14" ht="15.75" x14ac:dyDescent="0.25">
      <c r="A52" s="101">
        <v>13</v>
      </c>
      <c r="B52" s="60" t="s">
        <v>46</v>
      </c>
      <c r="C52" s="73"/>
      <c r="D52" s="74"/>
      <c r="E52" s="17"/>
      <c r="F52" s="76"/>
      <c r="G52" s="76"/>
      <c r="H52" s="15"/>
      <c r="I52" s="15"/>
      <c r="J52" s="84"/>
      <c r="K52" s="71"/>
      <c r="M52" s="4"/>
      <c r="N52" s="4"/>
    </row>
    <row r="53" spans="1:14" ht="15.75" x14ac:dyDescent="0.25">
      <c r="A53" s="101"/>
      <c r="B53" s="66" t="s">
        <v>47</v>
      </c>
      <c r="C53" s="17" t="s">
        <v>125</v>
      </c>
      <c r="D53" s="9">
        <v>3000</v>
      </c>
      <c r="E53" s="9">
        <v>4000</v>
      </c>
      <c r="F53" s="9">
        <v>5000</v>
      </c>
      <c r="G53" s="9">
        <v>5000</v>
      </c>
      <c r="H53" s="9">
        <v>2500</v>
      </c>
      <c r="I53" s="16">
        <v>5000</v>
      </c>
      <c r="J53" s="72">
        <v>2500</v>
      </c>
      <c r="K53" s="67">
        <f t="shared" si="0"/>
        <v>3857.1428571428573</v>
      </c>
      <c r="M53" s="4"/>
      <c r="N53" s="4"/>
    </row>
    <row r="54" spans="1:14" ht="15.75" x14ac:dyDescent="0.25">
      <c r="A54" s="101">
        <v>14</v>
      </c>
      <c r="B54" s="60" t="s">
        <v>49</v>
      </c>
      <c r="C54" s="80"/>
      <c r="D54" s="62"/>
      <c r="E54" s="17"/>
      <c r="F54" s="20"/>
      <c r="G54" s="20"/>
      <c r="H54" s="17"/>
      <c r="I54" s="17"/>
      <c r="J54" s="87"/>
      <c r="K54" s="71"/>
      <c r="M54" s="4"/>
      <c r="N54" s="4"/>
    </row>
    <row r="55" spans="1:14" ht="15.75" x14ac:dyDescent="0.25">
      <c r="A55" s="101"/>
      <c r="B55" s="88" t="s">
        <v>50</v>
      </c>
      <c r="C55" s="86" t="s">
        <v>6</v>
      </c>
      <c r="D55" s="9">
        <v>10000</v>
      </c>
      <c r="E55" s="9">
        <v>10500</v>
      </c>
      <c r="F55" s="9">
        <v>10000</v>
      </c>
      <c r="G55" s="9">
        <v>11000</v>
      </c>
      <c r="H55" s="9">
        <v>12000</v>
      </c>
      <c r="I55" s="9">
        <v>10000</v>
      </c>
      <c r="J55" s="72">
        <v>10000</v>
      </c>
      <c r="K55" s="67">
        <f t="shared" si="0"/>
        <v>10500</v>
      </c>
      <c r="M55" s="4"/>
      <c r="N55" s="4"/>
    </row>
    <row r="56" spans="1:14" ht="15.75" x14ac:dyDescent="0.25">
      <c r="A56" s="101">
        <v>15</v>
      </c>
      <c r="B56" s="60" t="s">
        <v>51</v>
      </c>
      <c r="C56" s="73"/>
      <c r="D56" s="74"/>
      <c r="E56" s="17"/>
      <c r="F56" s="76"/>
      <c r="G56" s="15"/>
      <c r="H56" s="15"/>
      <c r="I56" s="15"/>
      <c r="J56" s="84"/>
      <c r="K56" s="71"/>
      <c r="M56" s="4"/>
      <c r="N56" s="4"/>
    </row>
    <row r="57" spans="1:14" ht="15.75" x14ac:dyDescent="0.25">
      <c r="A57" s="101"/>
      <c r="B57" s="66" t="s">
        <v>52</v>
      </c>
      <c r="C57" s="17" t="s">
        <v>6</v>
      </c>
      <c r="D57" s="9">
        <v>16000</v>
      </c>
      <c r="E57" s="9">
        <v>13000</v>
      </c>
      <c r="F57" s="9">
        <v>14000</v>
      </c>
      <c r="G57" s="9">
        <v>14000</v>
      </c>
      <c r="H57" s="9">
        <v>11500</v>
      </c>
      <c r="I57" s="9">
        <v>17000</v>
      </c>
      <c r="J57" s="72" t="s">
        <v>99</v>
      </c>
      <c r="K57" s="67">
        <f t="shared" si="0"/>
        <v>14250</v>
      </c>
      <c r="M57" s="4"/>
      <c r="N57" s="4"/>
    </row>
    <row r="58" spans="1:14" ht="15.75" x14ac:dyDescent="0.25">
      <c r="A58" s="101"/>
      <c r="B58" s="66" t="s">
        <v>53</v>
      </c>
      <c r="C58" s="17" t="s">
        <v>6</v>
      </c>
      <c r="D58" s="9" t="s">
        <v>99</v>
      </c>
      <c r="E58" s="9" t="s">
        <v>99</v>
      </c>
      <c r="F58" s="16">
        <v>15000</v>
      </c>
      <c r="G58" s="22" t="s">
        <v>99</v>
      </c>
      <c r="H58" s="9">
        <v>13000</v>
      </c>
      <c r="I58" s="8">
        <v>15000</v>
      </c>
      <c r="J58" s="72">
        <v>14000</v>
      </c>
      <c r="K58" s="67">
        <f t="shared" si="0"/>
        <v>14250</v>
      </c>
      <c r="M58" s="4"/>
      <c r="N58" s="4"/>
    </row>
    <row r="59" spans="1:14" ht="15.75" x14ac:dyDescent="0.25">
      <c r="A59" s="101"/>
      <c r="B59" s="66" t="s">
        <v>54</v>
      </c>
      <c r="C59" s="17" t="s">
        <v>6</v>
      </c>
      <c r="D59" s="9">
        <v>22000</v>
      </c>
      <c r="E59" s="9">
        <v>23000</v>
      </c>
      <c r="F59" s="9">
        <v>23000</v>
      </c>
      <c r="G59" s="9">
        <v>23000</v>
      </c>
      <c r="H59" s="9">
        <v>20000</v>
      </c>
      <c r="I59" s="9">
        <v>23000</v>
      </c>
      <c r="J59" s="72">
        <v>24000</v>
      </c>
      <c r="K59" s="67">
        <f t="shared" si="0"/>
        <v>22571.428571428572</v>
      </c>
      <c r="M59" s="4"/>
      <c r="N59" s="4"/>
    </row>
    <row r="60" spans="1:14" ht="15.75" x14ac:dyDescent="0.25">
      <c r="A60" s="101"/>
      <c r="B60" s="66" t="s">
        <v>55</v>
      </c>
      <c r="C60" s="17" t="s">
        <v>6</v>
      </c>
      <c r="D60" s="9">
        <v>26000</v>
      </c>
      <c r="E60" s="9">
        <v>30000</v>
      </c>
      <c r="F60" s="9">
        <v>28000</v>
      </c>
      <c r="G60" s="9">
        <v>30000</v>
      </c>
      <c r="H60" s="9">
        <v>27000</v>
      </c>
      <c r="I60" s="9">
        <v>28000</v>
      </c>
      <c r="J60" s="72">
        <v>28000</v>
      </c>
      <c r="K60" s="67">
        <f t="shared" si="0"/>
        <v>28142.857142857141</v>
      </c>
      <c r="M60" s="4"/>
      <c r="N60" s="4"/>
    </row>
    <row r="61" spans="1:14" ht="15.75" x14ac:dyDescent="0.25">
      <c r="A61" s="17">
        <v>16</v>
      </c>
      <c r="B61" s="60" t="s">
        <v>56</v>
      </c>
      <c r="C61" s="80"/>
      <c r="D61" s="89"/>
      <c r="E61" s="10"/>
      <c r="F61" s="22"/>
      <c r="G61" s="10"/>
      <c r="H61" s="10"/>
      <c r="I61" s="10"/>
      <c r="J61" s="90"/>
      <c r="K61" s="71"/>
      <c r="M61" s="4"/>
      <c r="N61" s="4"/>
    </row>
    <row r="62" spans="1:14" ht="15.75" x14ac:dyDescent="0.25">
      <c r="A62" s="17"/>
      <c r="B62" s="66" t="s">
        <v>57</v>
      </c>
      <c r="C62" s="86" t="s">
        <v>58</v>
      </c>
      <c r="D62" s="9">
        <v>3000</v>
      </c>
      <c r="E62" s="9">
        <v>3200</v>
      </c>
      <c r="F62" s="9">
        <v>3000</v>
      </c>
      <c r="G62" s="9">
        <v>3000</v>
      </c>
      <c r="H62" s="10" t="s">
        <v>99</v>
      </c>
      <c r="I62" s="16">
        <v>3000</v>
      </c>
      <c r="J62" s="72">
        <v>3500</v>
      </c>
      <c r="K62" s="67">
        <f t="shared" si="0"/>
        <v>3116.6666666666665</v>
      </c>
      <c r="M62" s="4"/>
      <c r="N62" s="4"/>
    </row>
    <row r="63" spans="1:14" ht="15.75" x14ac:dyDescent="0.25">
      <c r="A63" s="101">
        <v>17</v>
      </c>
      <c r="B63" s="60" t="s">
        <v>59</v>
      </c>
      <c r="C63" s="73"/>
      <c r="D63" s="74"/>
      <c r="E63" s="17"/>
      <c r="F63" s="76"/>
      <c r="G63" s="76"/>
      <c r="H63" s="15"/>
      <c r="I63" s="15"/>
      <c r="J63" s="84"/>
      <c r="K63" s="71"/>
      <c r="M63" s="4"/>
      <c r="N63" s="4"/>
    </row>
    <row r="64" spans="1:14" ht="15.75" x14ac:dyDescent="0.25">
      <c r="A64" s="101"/>
      <c r="B64" s="66" t="s">
        <v>60</v>
      </c>
      <c r="C64" s="17" t="s">
        <v>6</v>
      </c>
      <c r="D64" s="9">
        <v>70000</v>
      </c>
      <c r="E64" s="9">
        <v>70000</v>
      </c>
      <c r="F64" s="9">
        <v>60000</v>
      </c>
      <c r="G64" s="9">
        <v>60000</v>
      </c>
      <c r="H64" s="9">
        <v>65000</v>
      </c>
      <c r="I64" s="9">
        <v>60000</v>
      </c>
      <c r="J64" s="72">
        <v>70000</v>
      </c>
      <c r="K64" s="67">
        <f t="shared" si="0"/>
        <v>65000</v>
      </c>
      <c r="M64" s="4"/>
      <c r="N64" s="4"/>
    </row>
    <row r="65" spans="1:14" ht="15.75" x14ac:dyDescent="0.25">
      <c r="A65" s="101"/>
      <c r="B65" s="66" t="s">
        <v>61</v>
      </c>
      <c r="C65" s="17" t="s">
        <v>6</v>
      </c>
      <c r="D65" s="9">
        <v>70000</v>
      </c>
      <c r="E65" s="9">
        <v>48000</v>
      </c>
      <c r="F65" s="9">
        <v>50000</v>
      </c>
      <c r="G65" s="9">
        <v>50000</v>
      </c>
      <c r="H65" s="9">
        <v>55000</v>
      </c>
      <c r="I65" s="8">
        <v>60000</v>
      </c>
      <c r="J65" s="72">
        <v>65000</v>
      </c>
      <c r="K65" s="67">
        <f t="shared" si="0"/>
        <v>56857.142857142855</v>
      </c>
      <c r="M65" s="4"/>
      <c r="N65" s="4"/>
    </row>
    <row r="66" spans="1:14" ht="15.75" x14ac:dyDescent="0.25">
      <c r="A66" s="101"/>
      <c r="B66" s="66" t="s">
        <v>62</v>
      </c>
      <c r="C66" s="17" t="s">
        <v>6</v>
      </c>
      <c r="D66" s="9">
        <v>44000</v>
      </c>
      <c r="E66" s="9">
        <v>30000</v>
      </c>
      <c r="F66" s="9">
        <v>44000</v>
      </c>
      <c r="G66" s="9">
        <v>40000</v>
      </c>
      <c r="H66" s="9">
        <v>50000</v>
      </c>
      <c r="I66" s="9">
        <v>50000</v>
      </c>
      <c r="J66" s="72">
        <v>50000</v>
      </c>
      <c r="K66" s="67">
        <f t="shared" si="0"/>
        <v>44000</v>
      </c>
      <c r="M66" s="4"/>
      <c r="N66" s="4"/>
    </row>
    <row r="67" spans="1:14" ht="15.75" x14ac:dyDescent="0.25">
      <c r="A67" s="17">
        <v>18</v>
      </c>
      <c r="B67" s="60" t="s">
        <v>63</v>
      </c>
      <c r="C67" s="80"/>
      <c r="D67" s="24"/>
      <c r="E67" s="10"/>
      <c r="F67" s="22"/>
      <c r="G67" s="10"/>
      <c r="H67" s="10" t="s">
        <v>1</v>
      </c>
      <c r="I67" s="10"/>
      <c r="J67" s="77"/>
      <c r="K67" s="71"/>
      <c r="M67" s="4"/>
      <c r="N67" s="4"/>
    </row>
    <row r="68" spans="1:14" ht="15.75" x14ac:dyDescent="0.25">
      <c r="A68" s="17"/>
      <c r="B68" s="66" t="s">
        <v>64</v>
      </c>
      <c r="C68" s="17" t="s">
        <v>65</v>
      </c>
      <c r="D68" s="9">
        <v>20000</v>
      </c>
      <c r="E68" s="9">
        <v>18000</v>
      </c>
      <c r="F68" s="9">
        <v>18000</v>
      </c>
      <c r="G68" s="9">
        <v>18000</v>
      </c>
      <c r="H68" s="10" t="s">
        <v>99</v>
      </c>
      <c r="I68" s="9">
        <v>18000</v>
      </c>
      <c r="J68" s="79">
        <v>18000</v>
      </c>
      <c r="K68" s="67">
        <f t="shared" si="0"/>
        <v>18333.333333333332</v>
      </c>
      <c r="M68" s="4"/>
      <c r="N68" s="4"/>
    </row>
    <row r="69" spans="1:14" ht="15.75" x14ac:dyDescent="0.25">
      <c r="A69" s="101">
        <v>19</v>
      </c>
      <c r="B69" s="60" t="s">
        <v>66</v>
      </c>
      <c r="C69" s="60"/>
      <c r="D69" s="74"/>
      <c r="E69" s="17"/>
      <c r="F69" s="15"/>
      <c r="G69" s="15"/>
      <c r="H69" s="15"/>
      <c r="I69" s="15"/>
      <c r="J69" s="75"/>
      <c r="K69" s="71"/>
      <c r="M69" s="4"/>
      <c r="N69" s="4"/>
    </row>
    <row r="70" spans="1:14" ht="15.75" x14ac:dyDescent="0.25">
      <c r="A70" s="101"/>
      <c r="B70" s="66" t="s">
        <v>67</v>
      </c>
      <c r="C70" s="17" t="s">
        <v>6</v>
      </c>
      <c r="D70" s="9">
        <v>36000</v>
      </c>
      <c r="E70" s="9">
        <v>35000</v>
      </c>
      <c r="F70" s="9">
        <v>36000</v>
      </c>
      <c r="G70" s="9">
        <v>35000</v>
      </c>
      <c r="H70" s="9">
        <v>37000</v>
      </c>
      <c r="I70" s="9">
        <v>40000</v>
      </c>
      <c r="J70" s="72">
        <v>40000</v>
      </c>
      <c r="K70" s="67">
        <f t="shared" si="0"/>
        <v>37000</v>
      </c>
      <c r="M70" s="4"/>
      <c r="N70" s="4"/>
    </row>
    <row r="71" spans="1:14" ht="15.75" x14ac:dyDescent="0.25">
      <c r="A71" s="101"/>
      <c r="B71" s="66" t="s">
        <v>68</v>
      </c>
      <c r="C71" s="17" t="s">
        <v>6</v>
      </c>
      <c r="D71" s="9">
        <v>34000</v>
      </c>
      <c r="E71" s="9">
        <v>32000</v>
      </c>
      <c r="F71" s="9">
        <v>34000</v>
      </c>
      <c r="G71" s="9">
        <v>32000</v>
      </c>
      <c r="H71" s="9">
        <v>32000</v>
      </c>
      <c r="I71" s="9">
        <v>35000</v>
      </c>
      <c r="J71" s="72">
        <v>33000</v>
      </c>
      <c r="K71" s="67">
        <f t="shared" si="0"/>
        <v>33142.857142857145</v>
      </c>
      <c r="M71" s="4"/>
      <c r="N71" s="4"/>
    </row>
    <row r="72" spans="1:14" ht="15.75" x14ac:dyDescent="0.25">
      <c r="A72" s="101"/>
      <c r="B72" s="66" t="s">
        <v>69</v>
      </c>
      <c r="C72" s="17" t="s">
        <v>6</v>
      </c>
      <c r="D72" s="9">
        <v>26000</v>
      </c>
      <c r="E72" s="9">
        <v>28000</v>
      </c>
      <c r="F72" s="9">
        <v>24000</v>
      </c>
      <c r="G72" s="9">
        <v>24000</v>
      </c>
      <c r="H72" s="9">
        <v>23000</v>
      </c>
      <c r="I72" s="9">
        <v>30000</v>
      </c>
      <c r="J72" s="72">
        <v>20000</v>
      </c>
      <c r="K72" s="67">
        <f t="shared" si="0"/>
        <v>25000</v>
      </c>
      <c r="M72" s="4"/>
      <c r="N72" s="4"/>
    </row>
    <row r="73" spans="1:14" ht="15.75" x14ac:dyDescent="0.25">
      <c r="A73" s="101"/>
      <c r="B73" s="66" t="s">
        <v>70</v>
      </c>
      <c r="C73" s="17" t="s">
        <v>6</v>
      </c>
      <c r="D73" s="9">
        <v>28000</v>
      </c>
      <c r="E73" s="9">
        <v>25000</v>
      </c>
      <c r="F73" s="16">
        <v>28000</v>
      </c>
      <c r="G73" s="8">
        <v>30000</v>
      </c>
      <c r="H73" s="9">
        <v>25000</v>
      </c>
      <c r="I73" s="9">
        <v>25000</v>
      </c>
      <c r="J73" s="72">
        <v>30000</v>
      </c>
      <c r="K73" s="67">
        <f t="shared" si="0"/>
        <v>27285.714285714286</v>
      </c>
      <c r="M73" s="4"/>
      <c r="N73" s="4"/>
    </row>
    <row r="74" spans="1:14" ht="15.75" x14ac:dyDescent="0.25">
      <c r="A74" s="17">
        <v>20</v>
      </c>
      <c r="B74" s="60" t="s">
        <v>71</v>
      </c>
      <c r="C74" s="91"/>
      <c r="D74" s="24"/>
      <c r="E74" s="10"/>
      <c r="F74" s="10"/>
      <c r="G74" s="89"/>
      <c r="H74" s="10"/>
      <c r="I74" s="10"/>
      <c r="J74" s="90"/>
      <c r="K74" s="71"/>
      <c r="M74" s="4"/>
      <c r="N74" s="4"/>
    </row>
    <row r="75" spans="1:14" ht="15.75" x14ac:dyDescent="0.25">
      <c r="A75" s="17"/>
      <c r="B75" s="66" t="s">
        <v>72</v>
      </c>
      <c r="C75" s="86" t="s">
        <v>6</v>
      </c>
      <c r="D75" s="9">
        <v>7000</v>
      </c>
      <c r="E75" s="9">
        <v>7000</v>
      </c>
      <c r="F75" s="9">
        <v>5000</v>
      </c>
      <c r="G75" s="9">
        <v>6000</v>
      </c>
      <c r="H75" s="9">
        <v>5000</v>
      </c>
      <c r="I75" s="9">
        <v>5000</v>
      </c>
      <c r="J75" s="72">
        <v>5000</v>
      </c>
      <c r="K75" s="67">
        <f t="shared" si="0"/>
        <v>5714.2857142857147</v>
      </c>
      <c r="M75" s="4"/>
      <c r="N75" s="4"/>
    </row>
    <row r="76" spans="1:14" ht="15.75" x14ac:dyDescent="0.25">
      <c r="A76" s="17"/>
      <c r="B76" s="66" t="s">
        <v>73</v>
      </c>
      <c r="C76" s="86" t="s">
        <v>6</v>
      </c>
      <c r="D76" s="9">
        <v>7000</v>
      </c>
      <c r="E76" s="9">
        <v>6000</v>
      </c>
      <c r="F76" s="16">
        <v>6000</v>
      </c>
      <c r="G76" s="8">
        <v>6000</v>
      </c>
      <c r="H76" s="9">
        <v>5000</v>
      </c>
      <c r="I76" s="9">
        <v>6000</v>
      </c>
      <c r="J76" s="79">
        <v>6000</v>
      </c>
      <c r="K76" s="67">
        <f t="shared" si="0"/>
        <v>6000</v>
      </c>
      <c r="M76" s="4"/>
      <c r="N76" s="4"/>
    </row>
    <row r="77" spans="1:14" ht="15.75" x14ac:dyDescent="0.25">
      <c r="A77" s="17">
        <v>21</v>
      </c>
      <c r="B77" s="60" t="s">
        <v>74</v>
      </c>
      <c r="C77" s="91"/>
      <c r="D77" s="19"/>
      <c r="E77" s="10"/>
      <c r="F77" s="10"/>
      <c r="G77" s="22"/>
      <c r="H77" s="10"/>
      <c r="I77" s="10"/>
      <c r="J77" s="77"/>
      <c r="K77" s="71"/>
      <c r="M77" s="4"/>
      <c r="N77" s="4"/>
    </row>
    <row r="78" spans="1:14" ht="15.75" x14ac:dyDescent="0.25">
      <c r="A78" s="17"/>
      <c r="B78" s="66" t="s">
        <v>75</v>
      </c>
      <c r="C78" s="86" t="s">
        <v>6</v>
      </c>
      <c r="D78" s="9">
        <v>8000</v>
      </c>
      <c r="E78" s="9">
        <v>8000</v>
      </c>
      <c r="F78" s="9">
        <v>10000</v>
      </c>
      <c r="G78" s="9">
        <v>8000</v>
      </c>
      <c r="H78" s="9">
        <v>6000</v>
      </c>
      <c r="I78" s="16">
        <v>9000</v>
      </c>
      <c r="J78" s="72" t="s">
        <v>99</v>
      </c>
      <c r="K78" s="67">
        <f t="shared" si="0"/>
        <v>8166.666666666667</v>
      </c>
      <c r="M78" s="4"/>
      <c r="N78" s="4"/>
    </row>
    <row r="79" spans="1:14" ht="15.75" x14ac:dyDescent="0.25">
      <c r="A79" s="17"/>
      <c r="B79" s="66" t="s">
        <v>76</v>
      </c>
      <c r="C79" s="86" t="s">
        <v>6</v>
      </c>
      <c r="D79" s="9">
        <v>8000</v>
      </c>
      <c r="E79" s="9">
        <v>10000</v>
      </c>
      <c r="F79" s="9">
        <v>20000</v>
      </c>
      <c r="G79" s="9">
        <v>12000</v>
      </c>
      <c r="H79" s="9">
        <v>6000</v>
      </c>
      <c r="I79" s="16">
        <v>14000</v>
      </c>
      <c r="J79" s="72">
        <v>15000</v>
      </c>
      <c r="K79" s="67">
        <f t="shared" si="0"/>
        <v>12142.857142857143</v>
      </c>
      <c r="M79" s="4"/>
      <c r="N79" s="4"/>
    </row>
    <row r="80" spans="1:14" ht="15.75" x14ac:dyDescent="0.25">
      <c r="A80" s="17"/>
      <c r="B80" s="66" t="s">
        <v>77</v>
      </c>
      <c r="C80" s="86" t="s">
        <v>6</v>
      </c>
      <c r="D80" s="9">
        <v>18000</v>
      </c>
      <c r="E80" s="9">
        <v>16000</v>
      </c>
      <c r="F80" s="9">
        <v>17000</v>
      </c>
      <c r="G80" s="9">
        <v>15000</v>
      </c>
      <c r="H80" s="9">
        <v>15000</v>
      </c>
      <c r="I80" s="9">
        <v>18000</v>
      </c>
      <c r="J80" s="72">
        <v>18000</v>
      </c>
      <c r="K80" s="67">
        <f t="shared" si="0"/>
        <v>16714.285714285714</v>
      </c>
      <c r="M80" s="4"/>
      <c r="N80" s="4"/>
    </row>
    <row r="81" spans="1:14" ht="15.75" x14ac:dyDescent="0.25">
      <c r="A81" s="17"/>
      <c r="B81" s="66" t="s">
        <v>78</v>
      </c>
      <c r="C81" s="86" t="s">
        <v>6</v>
      </c>
      <c r="D81" s="9">
        <v>22000</v>
      </c>
      <c r="E81" s="9">
        <v>15000</v>
      </c>
      <c r="F81" s="9">
        <v>10000</v>
      </c>
      <c r="G81" s="9">
        <v>10000</v>
      </c>
      <c r="H81" s="9">
        <v>20000</v>
      </c>
      <c r="I81" s="8">
        <v>23000</v>
      </c>
      <c r="J81" s="72">
        <v>20000</v>
      </c>
      <c r="K81" s="67">
        <f t="shared" ref="K81:K88" si="1">AVERAGE(D81:J81)</f>
        <v>17142.857142857141</v>
      </c>
      <c r="M81" s="4"/>
      <c r="N81" s="4"/>
    </row>
    <row r="82" spans="1:14" ht="15.75" x14ac:dyDescent="0.25">
      <c r="A82" s="17"/>
      <c r="B82" s="66" t="s">
        <v>79</v>
      </c>
      <c r="C82" s="86" t="s">
        <v>6</v>
      </c>
      <c r="D82" s="9">
        <v>14000</v>
      </c>
      <c r="E82" s="9">
        <v>12000</v>
      </c>
      <c r="F82" s="9">
        <v>14000</v>
      </c>
      <c r="G82" s="9">
        <v>12000</v>
      </c>
      <c r="H82" s="9">
        <v>10000</v>
      </c>
      <c r="I82" s="9">
        <v>18000</v>
      </c>
      <c r="J82" s="72">
        <v>15000</v>
      </c>
      <c r="K82" s="67">
        <f t="shared" si="1"/>
        <v>13571.428571428571</v>
      </c>
      <c r="M82" s="4"/>
      <c r="N82" s="4"/>
    </row>
    <row r="83" spans="1:14" ht="15.75" x14ac:dyDescent="0.25">
      <c r="A83" s="17"/>
      <c r="B83" s="66" t="s">
        <v>80</v>
      </c>
      <c r="C83" s="86" t="s">
        <v>6</v>
      </c>
      <c r="D83" s="9">
        <v>9000</v>
      </c>
      <c r="E83" s="9">
        <v>8000</v>
      </c>
      <c r="F83" s="16">
        <v>9000</v>
      </c>
      <c r="G83" s="8">
        <v>8000</v>
      </c>
      <c r="H83" s="9">
        <v>7000</v>
      </c>
      <c r="I83" s="16">
        <v>9000</v>
      </c>
      <c r="J83" s="72">
        <v>8000</v>
      </c>
      <c r="K83" s="67">
        <f t="shared" si="1"/>
        <v>8285.7142857142862</v>
      </c>
      <c r="M83" s="4"/>
      <c r="N83" s="4"/>
    </row>
    <row r="84" spans="1:14" ht="15.75" x14ac:dyDescent="0.25">
      <c r="A84" s="17"/>
      <c r="B84" s="66" t="s">
        <v>81</v>
      </c>
      <c r="C84" s="86" t="s">
        <v>82</v>
      </c>
      <c r="D84" s="9">
        <v>2000</v>
      </c>
      <c r="E84" s="9">
        <v>1500</v>
      </c>
      <c r="F84" s="9">
        <v>2000</v>
      </c>
      <c r="G84" s="8">
        <v>2000</v>
      </c>
      <c r="H84" s="9">
        <v>1500</v>
      </c>
      <c r="I84" s="9">
        <v>2000</v>
      </c>
      <c r="J84" s="79">
        <v>1500</v>
      </c>
      <c r="K84" s="67">
        <f t="shared" si="1"/>
        <v>1785.7142857142858</v>
      </c>
      <c r="L84" s="4"/>
      <c r="M84" s="4"/>
      <c r="N84" s="4"/>
    </row>
    <row r="85" spans="1:14" x14ac:dyDescent="0.25">
      <c r="A85" s="17"/>
      <c r="B85" s="66" t="s">
        <v>83</v>
      </c>
      <c r="C85" s="86" t="s">
        <v>82</v>
      </c>
      <c r="D85" s="9">
        <v>1500</v>
      </c>
      <c r="E85" s="9">
        <v>1500</v>
      </c>
      <c r="F85" s="9">
        <v>1500</v>
      </c>
      <c r="G85" s="8">
        <v>2000</v>
      </c>
      <c r="H85" s="9">
        <v>1500</v>
      </c>
      <c r="I85" s="9">
        <v>1500</v>
      </c>
      <c r="J85" s="79">
        <v>1000</v>
      </c>
      <c r="K85" s="67">
        <f t="shared" si="1"/>
        <v>1500</v>
      </c>
    </row>
    <row r="86" spans="1:14" x14ac:dyDescent="0.25">
      <c r="A86" s="17"/>
      <c r="B86" s="66" t="s">
        <v>84</v>
      </c>
      <c r="C86" s="86" t="s">
        <v>82</v>
      </c>
      <c r="D86" s="9" t="s">
        <v>99</v>
      </c>
      <c r="E86" s="9">
        <v>2000</v>
      </c>
      <c r="F86" s="9" t="s">
        <v>99</v>
      </c>
      <c r="G86" s="8" t="s">
        <v>99</v>
      </c>
      <c r="H86" s="9">
        <v>2500</v>
      </c>
      <c r="I86" s="9" t="s">
        <v>99</v>
      </c>
      <c r="J86" s="79">
        <v>2000</v>
      </c>
      <c r="K86" s="67">
        <f t="shared" si="1"/>
        <v>2166.6666666666665</v>
      </c>
    </row>
    <row r="87" spans="1:14" x14ac:dyDescent="0.25">
      <c r="A87" s="17">
        <v>22</v>
      </c>
      <c r="B87" s="60" t="s">
        <v>85</v>
      </c>
      <c r="C87" s="91"/>
      <c r="D87" s="22"/>
      <c r="E87" s="10"/>
      <c r="F87" s="10" t="s">
        <v>102</v>
      </c>
      <c r="G87" s="22"/>
      <c r="H87" s="10"/>
      <c r="I87" s="10"/>
      <c r="J87" s="77"/>
      <c r="K87" s="71"/>
    </row>
    <row r="88" spans="1:14" x14ac:dyDescent="0.25">
      <c r="A88" s="17"/>
      <c r="B88" s="66" t="s">
        <v>86</v>
      </c>
      <c r="C88" s="86" t="s">
        <v>87</v>
      </c>
      <c r="D88" s="9" t="s">
        <v>99</v>
      </c>
      <c r="E88" s="9" t="s">
        <v>99</v>
      </c>
      <c r="F88" s="9">
        <v>18000</v>
      </c>
      <c r="G88" s="8">
        <v>17000</v>
      </c>
      <c r="H88" s="10" t="s">
        <v>99</v>
      </c>
      <c r="I88" s="16">
        <v>18000</v>
      </c>
      <c r="J88" s="79">
        <v>18000</v>
      </c>
      <c r="K88" s="67">
        <f t="shared" si="1"/>
        <v>17750</v>
      </c>
    </row>
  </sheetData>
  <mergeCells count="28">
    <mergeCell ref="A63:A66"/>
    <mergeCell ref="A69:A73"/>
    <mergeCell ref="A21:A25"/>
    <mergeCell ref="A26:A32"/>
    <mergeCell ref="A33:A35"/>
    <mergeCell ref="A43:A45"/>
    <mergeCell ref="A46:A48"/>
    <mergeCell ref="A52:A53"/>
    <mergeCell ref="A54:A55"/>
    <mergeCell ref="A56:A60"/>
    <mergeCell ref="E4:E6"/>
    <mergeCell ref="F4:F6"/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J4:J6"/>
    <mergeCell ref="H4:H6"/>
    <mergeCell ref="A7:A12"/>
    <mergeCell ref="A13:A15"/>
    <mergeCell ref="A16:A17"/>
    <mergeCell ref="A19:A20"/>
    <mergeCell ref="D4:D6"/>
  </mergeCells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31846-4AF0-41DC-8B3B-75D2E4824DD9}">
  <dimension ref="A1:N88"/>
  <sheetViews>
    <sheetView workbookViewId="0">
      <selection activeCell="A4" sqref="A4:A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3.37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3.37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3.37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3.37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3.37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3.37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3.37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3.37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3.37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3.37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3.37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3.37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3.37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3.37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3.37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3.37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3.37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3.37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3.37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3.37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3.37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3.37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3.37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3.37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3.37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3.37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3.37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3.37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3.37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3.37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3.37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3.37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3.37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3.37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3.37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3.37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3.37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3.37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3.37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3.37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3.37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3.37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3.37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3.37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3.37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3.37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3.37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3.37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3.37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3.37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3.37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3.37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3.37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3.37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3.37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3.37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3.37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3.37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3.37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3.37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3.37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3.37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3.37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3.37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02" t="s">
        <v>88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M1" s="4"/>
      <c r="N1" s="4"/>
    </row>
    <row r="2" spans="1:14" ht="27.75" customHeight="1" x14ac:dyDescent="0.25">
      <c r="A2" s="103" t="s">
        <v>89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M2" s="4"/>
      <c r="N2" s="4"/>
    </row>
    <row r="3" spans="1:14" ht="27.75" customHeight="1" thickBot="1" x14ac:dyDescent="0.3">
      <c r="A3" s="104" t="s">
        <v>138</v>
      </c>
      <c r="B3" s="104"/>
      <c r="C3" s="104"/>
      <c r="D3" s="104"/>
      <c r="E3" s="104"/>
      <c r="F3" s="104"/>
      <c r="G3" s="104"/>
      <c r="H3" s="104"/>
      <c r="I3" s="104"/>
      <c r="J3" s="104"/>
      <c r="K3" s="105"/>
      <c r="M3" s="4"/>
      <c r="N3" s="4"/>
    </row>
    <row r="4" spans="1:14" ht="25.5" customHeight="1" x14ac:dyDescent="0.25">
      <c r="A4" s="96" t="s">
        <v>1</v>
      </c>
      <c r="B4" s="99" t="s">
        <v>2</v>
      </c>
      <c r="C4" s="96" t="s">
        <v>90</v>
      </c>
      <c r="D4" s="110" t="s">
        <v>91</v>
      </c>
      <c r="E4" s="113" t="s">
        <v>92</v>
      </c>
      <c r="F4" s="125" t="s">
        <v>93</v>
      </c>
      <c r="G4" s="128" t="s">
        <v>94</v>
      </c>
      <c r="H4" s="116" t="s">
        <v>95</v>
      </c>
      <c r="I4" s="119" t="s">
        <v>96</v>
      </c>
      <c r="J4" s="106" t="s">
        <v>97</v>
      </c>
      <c r="K4" s="122" t="s">
        <v>98</v>
      </c>
      <c r="M4" s="4"/>
      <c r="N4" s="4"/>
    </row>
    <row r="5" spans="1:14" ht="15" customHeight="1" x14ac:dyDescent="0.25">
      <c r="A5" s="97"/>
      <c r="B5" s="100"/>
      <c r="C5" s="97"/>
      <c r="D5" s="111"/>
      <c r="E5" s="114"/>
      <c r="F5" s="126"/>
      <c r="G5" s="129"/>
      <c r="H5" s="117"/>
      <c r="I5" s="120"/>
      <c r="J5" s="107"/>
      <c r="K5" s="123"/>
      <c r="M5" s="4"/>
      <c r="N5" s="4"/>
    </row>
    <row r="6" spans="1:14" ht="16.5" thickBot="1" x14ac:dyDescent="0.3">
      <c r="A6" s="98"/>
      <c r="B6" s="109"/>
      <c r="C6" s="98"/>
      <c r="D6" s="112"/>
      <c r="E6" s="115"/>
      <c r="F6" s="127"/>
      <c r="G6" s="130"/>
      <c r="H6" s="118"/>
      <c r="I6" s="121"/>
      <c r="J6" s="108"/>
      <c r="K6" s="124"/>
      <c r="M6" s="4"/>
      <c r="N6" s="4"/>
    </row>
    <row r="7" spans="1:14" ht="15.75" x14ac:dyDescent="0.25">
      <c r="A7" s="101">
        <v>1</v>
      </c>
      <c r="B7" s="60" t="s">
        <v>4</v>
      </c>
      <c r="C7" s="61"/>
      <c r="D7" s="62"/>
      <c r="E7" s="17" t="s">
        <v>102</v>
      </c>
      <c r="F7" s="17"/>
      <c r="G7" s="63"/>
      <c r="H7" s="63" t="s">
        <v>1</v>
      </c>
      <c r="I7" s="64"/>
      <c r="J7" s="63"/>
      <c r="K7" s="65"/>
      <c r="M7" s="4"/>
      <c r="N7" s="4"/>
    </row>
    <row r="8" spans="1:14" ht="15.75" x14ac:dyDescent="0.25">
      <c r="A8" s="101"/>
      <c r="B8" s="66" t="s">
        <v>107</v>
      </c>
      <c r="C8" s="17" t="s">
        <v>6</v>
      </c>
      <c r="D8" s="9">
        <v>15500</v>
      </c>
      <c r="E8" s="9">
        <v>15500</v>
      </c>
      <c r="F8" s="9">
        <v>15500</v>
      </c>
      <c r="G8" s="9">
        <v>15500</v>
      </c>
      <c r="H8" s="9">
        <v>17000</v>
      </c>
      <c r="I8" s="9">
        <v>16500</v>
      </c>
      <c r="J8" s="16">
        <v>17000</v>
      </c>
      <c r="K8" s="67">
        <f>AVERAGE(D8:J8)</f>
        <v>16071.428571428571</v>
      </c>
      <c r="L8" s="1"/>
      <c r="M8" s="7"/>
      <c r="N8" s="4"/>
    </row>
    <row r="9" spans="1:14" ht="15.75" x14ac:dyDescent="0.25">
      <c r="A9" s="101"/>
      <c r="B9" s="66" t="s">
        <v>115</v>
      </c>
      <c r="C9" s="17" t="s">
        <v>6</v>
      </c>
      <c r="D9" s="9">
        <v>10900</v>
      </c>
      <c r="E9" s="9">
        <v>10900</v>
      </c>
      <c r="F9" s="9">
        <v>10900</v>
      </c>
      <c r="G9" s="8">
        <v>10900</v>
      </c>
      <c r="H9" s="9">
        <v>12000</v>
      </c>
      <c r="I9" s="9">
        <v>10900</v>
      </c>
      <c r="J9" s="16" t="s">
        <v>99</v>
      </c>
      <c r="K9" s="67">
        <f t="shared" ref="K9:K80" si="0">AVERAGE(D9:J9)</f>
        <v>11083.333333333334</v>
      </c>
      <c r="M9" s="4"/>
      <c r="N9" s="4"/>
    </row>
    <row r="10" spans="1:14" ht="15.75" x14ac:dyDescent="0.25">
      <c r="A10" s="101"/>
      <c r="B10" s="66" t="s">
        <v>108</v>
      </c>
      <c r="C10" s="17" t="s">
        <v>6</v>
      </c>
      <c r="D10" s="9" t="s">
        <v>99</v>
      </c>
      <c r="E10" s="9" t="s">
        <v>99</v>
      </c>
      <c r="F10" s="9" t="s">
        <v>99</v>
      </c>
      <c r="G10" s="8" t="s">
        <v>99</v>
      </c>
      <c r="H10" s="9" t="s">
        <v>99</v>
      </c>
      <c r="I10" s="9" t="s">
        <v>99</v>
      </c>
      <c r="J10" s="16" t="s">
        <v>99</v>
      </c>
      <c r="K10" s="67">
        <v>0</v>
      </c>
      <c r="M10" s="4"/>
      <c r="N10" s="4"/>
    </row>
    <row r="11" spans="1:14" ht="15.75" x14ac:dyDescent="0.25">
      <c r="A11" s="101"/>
      <c r="B11" s="66" t="s">
        <v>9</v>
      </c>
      <c r="C11" s="17" t="s">
        <v>6</v>
      </c>
      <c r="D11" s="9" t="s">
        <v>99</v>
      </c>
      <c r="E11" s="9">
        <v>10000</v>
      </c>
      <c r="F11" s="16">
        <v>12000</v>
      </c>
      <c r="G11" s="8">
        <v>10000</v>
      </c>
      <c r="H11" s="9">
        <v>10000</v>
      </c>
      <c r="I11" s="16">
        <v>12000</v>
      </c>
      <c r="J11" s="16">
        <v>10000</v>
      </c>
      <c r="K11" s="67">
        <f>AVERAGE(D11:J11)</f>
        <v>10666.666666666666</v>
      </c>
      <c r="M11" s="4"/>
      <c r="N11" s="4"/>
    </row>
    <row r="12" spans="1:14" ht="15.75" x14ac:dyDescent="0.25">
      <c r="A12" s="101"/>
      <c r="B12" s="66" t="s">
        <v>10</v>
      </c>
      <c r="C12" s="17" t="s">
        <v>6</v>
      </c>
      <c r="D12" s="9" t="s">
        <v>99</v>
      </c>
      <c r="E12" s="9">
        <v>21000</v>
      </c>
      <c r="F12" s="16">
        <v>16000</v>
      </c>
      <c r="G12" s="8">
        <v>18000</v>
      </c>
      <c r="H12" s="9">
        <v>25000</v>
      </c>
      <c r="I12" s="16">
        <v>17000</v>
      </c>
      <c r="J12" s="16">
        <v>17000</v>
      </c>
      <c r="K12" s="67">
        <f t="shared" si="0"/>
        <v>19000</v>
      </c>
      <c r="M12" s="4"/>
      <c r="N12" s="12"/>
    </row>
    <row r="13" spans="1:14" ht="15.75" x14ac:dyDescent="0.25">
      <c r="A13" s="101">
        <v>2</v>
      </c>
      <c r="B13" s="60" t="s">
        <v>11</v>
      </c>
      <c r="C13" s="68"/>
      <c r="D13" s="62"/>
      <c r="E13" s="92"/>
      <c r="F13" s="17"/>
      <c r="G13" s="70"/>
      <c r="H13" s="70"/>
      <c r="I13" s="70"/>
      <c r="J13" s="70"/>
      <c r="K13" s="71"/>
      <c r="M13" s="4"/>
      <c r="N13" s="4"/>
    </row>
    <row r="14" spans="1:14" ht="15.75" x14ac:dyDescent="0.25">
      <c r="A14" s="101"/>
      <c r="B14" s="66" t="s">
        <v>116</v>
      </c>
      <c r="C14" s="17" t="s">
        <v>6</v>
      </c>
      <c r="D14" s="9">
        <v>16000</v>
      </c>
      <c r="E14" s="9">
        <v>16500</v>
      </c>
      <c r="F14" s="9">
        <v>16000</v>
      </c>
      <c r="G14" s="16">
        <v>16000</v>
      </c>
      <c r="H14" s="9">
        <v>16500</v>
      </c>
      <c r="I14" s="9">
        <v>16500</v>
      </c>
      <c r="J14" s="72">
        <v>16500</v>
      </c>
      <c r="K14" s="67">
        <f t="shared" si="0"/>
        <v>16285.714285714286</v>
      </c>
      <c r="M14" s="4"/>
      <c r="N14" s="4"/>
    </row>
    <row r="15" spans="1:14" ht="15.75" x14ac:dyDescent="0.25">
      <c r="A15" s="101"/>
      <c r="B15" s="66" t="s">
        <v>13</v>
      </c>
      <c r="C15" s="17" t="s">
        <v>6</v>
      </c>
      <c r="D15" s="9">
        <v>17000</v>
      </c>
      <c r="E15" s="9">
        <v>16000</v>
      </c>
      <c r="F15" s="16">
        <v>16000</v>
      </c>
      <c r="G15" s="8">
        <v>16000</v>
      </c>
      <c r="H15" s="9">
        <v>17000</v>
      </c>
      <c r="I15" s="9">
        <v>16000</v>
      </c>
      <c r="J15" s="72">
        <v>18000</v>
      </c>
      <c r="K15" s="67">
        <f>AVERAGE(D15:J15)</f>
        <v>16571.428571428572</v>
      </c>
      <c r="M15" s="4"/>
      <c r="N15" s="4"/>
    </row>
    <row r="16" spans="1:14" ht="15.75" x14ac:dyDescent="0.25">
      <c r="A16" s="101">
        <v>3</v>
      </c>
      <c r="B16" s="60" t="s">
        <v>14</v>
      </c>
      <c r="C16" s="73"/>
      <c r="D16" s="74"/>
      <c r="E16" s="15"/>
      <c r="F16" s="15"/>
      <c r="G16" s="15"/>
      <c r="H16" s="15"/>
      <c r="I16" s="15" t="s">
        <v>130</v>
      </c>
      <c r="J16" s="75"/>
      <c r="K16" s="71"/>
      <c r="M16" s="4"/>
      <c r="N16" s="4"/>
    </row>
    <row r="17" spans="1:14" ht="15.75" x14ac:dyDescent="0.25">
      <c r="A17" s="101"/>
      <c r="B17" s="66" t="s">
        <v>15</v>
      </c>
      <c r="C17" s="17" t="s">
        <v>6</v>
      </c>
      <c r="D17" s="9">
        <v>15000</v>
      </c>
      <c r="E17" s="9">
        <v>15000</v>
      </c>
      <c r="F17" s="9">
        <v>14000</v>
      </c>
      <c r="G17" s="9">
        <v>15000</v>
      </c>
      <c r="H17" s="9">
        <v>16000</v>
      </c>
      <c r="I17" s="9">
        <v>16000</v>
      </c>
      <c r="J17" s="72">
        <v>16000</v>
      </c>
      <c r="K17" s="67">
        <f t="shared" si="0"/>
        <v>15285.714285714286</v>
      </c>
      <c r="M17" s="4"/>
      <c r="N17" s="4"/>
    </row>
    <row r="18" spans="1:14" ht="15.75" x14ac:dyDescent="0.25">
      <c r="A18" s="59"/>
      <c r="B18" s="66" t="s">
        <v>109</v>
      </c>
      <c r="C18" s="17" t="s">
        <v>110</v>
      </c>
      <c r="D18" s="9">
        <v>14000</v>
      </c>
      <c r="E18" s="9">
        <v>14000</v>
      </c>
      <c r="F18" s="9">
        <v>14000</v>
      </c>
      <c r="G18" s="9">
        <v>14000</v>
      </c>
      <c r="H18" s="9" t="s">
        <v>99</v>
      </c>
      <c r="I18" s="9">
        <v>14000</v>
      </c>
      <c r="J18" s="72">
        <v>14000</v>
      </c>
      <c r="K18" s="67">
        <f t="shared" si="0"/>
        <v>14000</v>
      </c>
      <c r="M18" s="4"/>
      <c r="N18" s="4"/>
    </row>
    <row r="19" spans="1:14" ht="17.25" customHeight="1" x14ac:dyDescent="0.25">
      <c r="A19" s="101">
        <v>4</v>
      </c>
      <c r="B19" s="60" t="s">
        <v>16</v>
      </c>
      <c r="C19" s="73"/>
      <c r="D19" s="74"/>
      <c r="E19" s="15"/>
      <c r="F19" s="15"/>
      <c r="G19" s="76"/>
      <c r="H19" s="15"/>
      <c r="I19" s="15"/>
      <c r="J19" s="75"/>
      <c r="K19" s="71"/>
      <c r="M19" s="4"/>
      <c r="N19" s="4"/>
    </row>
    <row r="20" spans="1:14" ht="15.75" x14ac:dyDescent="0.25">
      <c r="A20" s="101"/>
      <c r="B20" s="66" t="s">
        <v>17</v>
      </c>
      <c r="C20" s="17" t="s">
        <v>6</v>
      </c>
      <c r="D20" s="9">
        <v>20000</v>
      </c>
      <c r="E20" s="9">
        <v>20000</v>
      </c>
      <c r="F20" s="16">
        <v>20000</v>
      </c>
      <c r="G20" s="8">
        <v>22000</v>
      </c>
      <c r="H20" s="16">
        <v>33000</v>
      </c>
      <c r="I20" s="16">
        <v>20000</v>
      </c>
      <c r="J20" s="77" t="s">
        <v>99</v>
      </c>
      <c r="K20" s="67">
        <f t="shared" si="0"/>
        <v>22500</v>
      </c>
      <c r="M20" s="4"/>
      <c r="N20" s="4"/>
    </row>
    <row r="21" spans="1:14" ht="15.75" x14ac:dyDescent="0.25">
      <c r="A21" s="101">
        <v>5</v>
      </c>
      <c r="B21" s="60" t="s">
        <v>18</v>
      </c>
      <c r="C21" s="73"/>
      <c r="D21" s="74"/>
      <c r="E21" s="17"/>
      <c r="F21" s="15" t="s">
        <v>1</v>
      </c>
      <c r="G21" s="76"/>
      <c r="H21" s="15"/>
      <c r="I21" s="15"/>
      <c r="J21" s="75"/>
      <c r="K21" s="71"/>
      <c r="M21" s="4"/>
      <c r="N21" s="4"/>
    </row>
    <row r="22" spans="1:14" ht="15.75" x14ac:dyDescent="0.25">
      <c r="A22" s="101"/>
      <c r="B22" s="66" t="s">
        <v>19</v>
      </c>
      <c r="C22" s="17" t="s">
        <v>6</v>
      </c>
      <c r="D22" s="9">
        <v>120000</v>
      </c>
      <c r="E22" s="9">
        <v>120000</v>
      </c>
      <c r="F22" s="9">
        <v>120000</v>
      </c>
      <c r="G22" s="9">
        <v>120000</v>
      </c>
      <c r="H22" s="9">
        <v>120000</v>
      </c>
      <c r="I22" s="8">
        <v>120000</v>
      </c>
      <c r="J22" s="72" t="s">
        <v>99</v>
      </c>
      <c r="K22" s="67">
        <f t="shared" si="0"/>
        <v>120000</v>
      </c>
      <c r="M22" s="4"/>
      <c r="N22" s="4"/>
    </row>
    <row r="23" spans="1:14" ht="15.75" x14ac:dyDescent="0.25">
      <c r="A23" s="101"/>
      <c r="B23" s="66" t="s">
        <v>20</v>
      </c>
      <c r="C23" s="17" t="s">
        <v>6</v>
      </c>
      <c r="D23" s="9">
        <v>110000</v>
      </c>
      <c r="E23" s="9">
        <v>110000</v>
      </c>
      <c r="F23" s="9">
        <v>110000</v>
      </c>
      <c r="G23" s="9">
        <v>110000</v>
      </c>
      <c r="H23" s="9">
        <v>115000</v>
      </c>
      <c r="I23" s="9">
        <v>110000</v>
      </c>
      <c r="J23" s="72">
        <v>110000</v>
      </c>
      <c r="K23" s="67">
        <f t="shared" si="0"/>
        <v>110714.28571428571</v>
      </c>
      <c r="M23" s="4"/>
      <c r="N23" s="4"/>
    </row>
    <row r="24" spans="1:14" ht="15.75" x14ac:dyDescent="0.25">
      <c r="A24" s="101"/>
      <c r="B24" s="66" t="s">
        <v>21</v>
      </c>
      <c r="C24" s="17" t="s">
        <v>6</v>
      </c>
      <c r="D24" s="9">
        <v>90000</v>
      </c>
      <c r="E24" s="9">
        <v>90000</v>
      </c>
      <c r="F24" s="9">
        <v>100000</v>
      </c>
      <c r="G24" s="9">
        <v>105000</v>
      </c>
      <c r="H24" s="9">
        <v>110000</v>
      </c>
      <c r="I24" s="8">
        <v>100000</v>
      </c>
      <c r="J24" s="72">
        <v>105000</v>
      </c>
      <c r="K24" s="67">
        <f t="shared" si="0"/>
        <v>100000</v>
      </c>
      <c r="M24" s="4"/>
      <c r="N24" s="4"/>
    </row>
    <row r="25" spans="1:14" ht="15.75" x14ac:dyDescent="0.25">
      <c r="A25" s="101"/>
      <c r="B25" s="66" t="s">
        <v>22</v>
      </c>
      <c r="C25" s="17" t="s">
        <v>6</v>
      </c>
      <c r="D25" s="9">
        <v>34000</v>
      </c>
      <c r="E25" s="9">
        <v>31000</v>
      </c>
      <c r="F25" s="9">
        <v>33000</v>
      </c>
      <c r="G25" s="9">
        <v>32000</v>
      </c>
      <c r="H25" s="72">
        <v>33000</v>
      </c>
      <c r="I25" s="9">
        <v>34000</v>
      </c>
      <c r="J25" s="72">
        <v>35000</v>
      </c>
      <c r="K25" s="67">
        <f t="shared" si="0"/>
        <v>33142.857142857145</v>
      </c>
      <c r="M25" s="4"/>
      <c r="N25" s="4"/>
    </row>
    <row r="26" spans="1:14" ht="15.75" x14ac:dyDescent="0.25">
      <c r="A26" s="101">
        <v>6</v>
      </c>
      <c r="B26" s="60" t="s">
        <v>23</v>
      </c>
      <c r="C26" s="73"/>
      <c r="D26" s="74"/>
      <c r="E26" s="17"/>
      <c r="F26" s="76"/>
      <c r="G26" s="15"/>
      <c r="H26" s="75"/>
      <c r="I26" s="15"/>
      <c r="J26" s="75"/>
      <c r="K26" s="71"/>
      <c r="M26" s="4"/>
      <c r="N26" s="4"/>
    </row>
    <row r="27" spans="1:14" ht="15.75" x14ac:dyDescent="0.25">
      <c r="A27" s="101"/>
      <c r="B27" s="66" t="s">
        <v>24</v>
      </c>
      <c r="C27" s="17" t="s">
        <v>6</v>
      </c>
      <c r="D27" s="9">
        <v>34000</v>
      </c>
      <c r="E27" s="9">
        <v>35000</v>
      </c>
      <c r="F27" s="9" t="s">
        <v>99</v>
      </c>
      <c r="G27" s="9">
        <v>40000</v>
      </c>
      <c r="H27" s="9">
        <v>30000</v>
      </c>
      <c r="I27" s="9" t="s">
        <v>99</v>
      </c>
      <c r="J27" s="72">
        <v>30000</v>
      </c>
      <c r="K27" s="67">
        <f t="shared" si="0"/>
        <v>33800</v>
      </c>
      <c r="L27" t="s">
        <v>100</v>
      </c>
      <c r="M27" s="4"/>
      <c r="N27" s="4"/>
    </row>
    <row r="28" spans="1:14" ht="15.75" x14ac:dyDescent="0.25">
      <c r="A28" s="101"/>
      <c r="B28" s="66" t="s">
        <v>25</v>
      </c>
      <c r="C28" s="17" t="s">
        <v>6</v>
      </c>
      <c r="D28" s="9">
        <v>36000</v>
      </c>
      <c r="E28" s="9">
        <v>28000</v>
      </c>
      <c r="F28" s="9">
        <v>35000</v>
      </c>
      <c r="G28" s="8">
        <v>30000</v>
      </c>
      <c r="H28" s="9">
        <v>22000</v>
      </c>
      <c r="I28" s="9">
        <v>30000</v>
      </c>
      <c r="J28" s="78">
        <v>30000</v>
      </c>
      <c r="K28" s="67">
        <f t="shared" si="0"/>
        <v>30142.857142857141</v>
      </c>
      <c r="M28" s="4"/>
      <c r="N28" s="4"/>
    </row>
    <row r="29" spans="1:14" ht="15.75" x14ac:dyDescent="0.25">
      <c r="A29" s="101"/>
      <c r="B29" s="66" t="s">
        <v>26</v>
      </c>
      <c r="C29" s="17" t="s">
        <v>6</v>
      </c>
      <c r="D29" s="9">
        <v>60000</v>
      </c>
      <c r="E29" s="9">
        <v>60000</v>
      </c>
      <c r="F29" s="16">
        <v>60000</v>
      </c>
      <c r="G29" s="8">
        <v>70000</v>
      </c>
      <c r="H29" s="9">
        <v>63000</v>
      </c>
      <c r="I29" s="9">
        <v>60000</v>
      </c>
      <c r="J29" s="79">
        <v>60000</v>
      </c>
      <c r="K29" s="67">
        <f t="shared" si="0"/>
        <v>61857.142857142855</v>
      </c>
      <c r="M29" s="4"/>
      <c r="N29" s="4"/>
    </row>
    <row r="30" spans="1:14" ht="15.75" x14ac:dyDescent="0.25">
      <c r="A30" s="101"/>
      <c r="B30" s="66" t="s">
        <v>27</v>
      </c>
      <c r="C30" s="17" t="s">
        <v>6</v>
      </c>
      <c r="D30" s="9">
        <v>25000</v>
      </c>
      <c r="E30" s="9" t="s">
        <v>99</v>
      </c>
      <c r="F30" s="10" t="s">
        <v>99</v>
      </c>
      <c r="G30" s="8">
        <v>25000</v>
      </c>
      <c r="H30" s="9">
        <v>23000</v>
      </c>
      <c r="I30" s="9" t="s">
        <v>99</v>
      </c>
      <c r="J30" s="79">
        <v>26000</v>
      </c>
      <c r="K30" s="67">
        <f t="shared" si="0"/>
        <v>24750</v>
      </c>
      <c r="M30" s="4"/>
      <c r="N30" s="4"/>
    </row>
    <row r="31" spans="1:14" ht="15.75" x14ac:dyDescent="0.25">
      <c r="A31" s="101"/>
      <c r="B31" s="66" t="s">
        <v>28</v>
      </c>
      <c r="C31" s="17" t="s">
        <v>6</v>
      </c>
      <c r="D31" s="9">
        <v>35000</v>
      </c>
      <c r="E31" s="9">
        <v>36000</v>
      </c>
      <c r="F31" s="9">
        <v>40000</v>
      </c>
      <c r="G31" s="9">
        <v>40000</v>
      </c>
      <c r="H31" s="9">
        <v>28000</v>
      </c>
      <c r="I31" s="9">
        <v>36000</v>
      </c>
      <c r="J31" s="72">
        <v>35000</v>
      </c>
      <c r="K31" s="67">
        <f t="shared" si="0"/>
        <v>35714.285714285717</v>
      </c>
      <c r="M31" s="4"/>
      <c r="N31" s="4"/>
    </row>
    <row r="32" spans="1:14" ht="15.75" x14ac:dyDescent="0.25">
      <c r="A32" s="101"/>
      <c r="B32" s="66" t="s">
        <v>29</v>
      </c>
      <c r="C32" s="17" t="s">
        <v>6</v>
      </c>
      <c r="D32" s="9" t="s">
        <v>99</v>
      </c>
      <c r="E32" s="9">
        <v>100000</v>
      </c>
      <c r="F32" s="9">
        <v>100000</v>
      </c>
      <c r="G32" s="9" t="s">
        <v>99</v>
      </c>
      <c r="H32" s="9">
        <v>80000</v>
      </c>
      <c r="I32" s="9" t="s">
        <v>99</v>
      </c>
      <c r="J32" s="79">
        <v>70000</v>
      </c>
      <c r="K32" s="67">
        <f t="shared" si="0"/>
        <v>87500</v>
      </c>
      <c r="M32" s="4"/>
      <c r="N32" s="4"/>
    </row>
    <row r="33" spans="1:14" ht="15.75" x14ac:dyDescent="0.25">
      <c r="A33" s="101">
        <v>7</v>
      </c>
      <c r="B33" s="60" t="s">
        <v>30</v>
      </c>
      <c r="C33" s="73"/>
      <c r="D33" s="74"/>
      <c r="E33" s="17"/>
      <c r="F33" s="76"/>
      <c r="G33" s="76"/>
      <c r="H33" s="15"/>
      <c r="I33" s="15"/>
      <c r="J33" s="75"/>
      <c r="K33" s="71"/>
      <c r="M33" s="4"/>
      <c r="N33" s="4"/>
    </row>
    <row r="34" spans="1:14" ht="15.75" x14ac:dyDescent="0.25">
      <c r="A34" s="101"/>
      <c r="B34" s="66" t="s">
        <v>31</v>
      </c>
      <c r="C34" s="17" t="s">
        <v>6</v>
      </c>
      <c r="D34" s="9">
        <v>27000</v>
      </c>
      <c r="E34" s="9">
        <v>26500</v>
      </c>
      <c r="F34" s="9">
        <v>26000</v>
      </c>
      <c r="G34" s="9">
        <v>26000</v>
      </c>
      <c r="H34" s="9">
        <v>26000</v>
      </c>
      <c r="I34" s="9">
        <v>27000</v>
      </c>
      <c r="J34" s="72">
        <v>27500</v>
      </c>
      <c r="K34" s="67">
        <f t="shared" si="0"/>
        <v>26571.428571428572</v>
      </c>
      <c r="M34" s="4"/>
      <c r="N34" s="4"/>
    </row>
    <row r="35" spans="1:14" ht="15.75" x14ac:dyDescent="0.25">
      <c r="A35" s="101"/>
      <c r="B35" s="66" t="s">
        <v>32</v>
      </c>
      <c r="C35" s="17" t="s">
        <v>33</v>
      </c>
      <c r="D35" s="9">
        <v>3000</v>
      </c>
      <c r="E35" s="9">
        <v>2500</v>
      </c>
      <c r="F35" s="9">
        <v>2500</v>
      </c>
      <c r="G35" s="9">
        <v>2800</v>
      </c>
      <c r="H35" s="9">
        <v>2500</v>
      </c>
      <c r="I35" s="9">
        <v>3000</v>
      </c>
      <c r="J35" s="72">
        <v>3000</v>
      </c>
      <c r="K35" s="67">
        <f t="shared" si="0"/>
        <v>2757.1428571428573</v>
      </c>
      <c r="M35" s="4"/>
      <c r="N35" s="4"/>
    </row>
    <row r="36" spans="1:14" ht="15.75" x14ac:dyDescent="0.25">
      <c r="A36" s="59">
        <v>8</v>
      </c>
      <c r="B36" s="73" t="s">
        <v>117</v>
      </c>
      <c r="C36" s="80"/>
      <c r="D36" s="9"/>
      <c r="E36" s="9"/>
      <c r="F36" s="9"/>
      <c r="G36" s="9"/>
      <c r="H36" s="9"/>
      <c r="I36" s="9"/>
      <c r="J36" s="72"/>
      <c r="K36" s="81"/>
      <c r="M36" s="4"/>
      <c r="N36" s="4"/>
    </row>
    <row r="37" spans="1:14" ht="15.75" x14ac:dyDescent="0.25">
      <c r="A37" s="59"/>
      <c r="B37" s="66" t="s">
        <v>118</v>
      </c>
      <c r="C37" s="17" t="s">
        <v>6</v>
      </c>
      <c r="D37" s="9">
        <v>10000</v>
      </c>
      <c r="E37" s="9">
        <v>1250</v>
      </c>
      <c r="F37" s="9">
        <v>9000</v>
      </c>
      <c r="G37" s="9">
        <v>9000</v>
      </c>
      <c r="H37" s="9">
        <v>16000</v>
      </c>
      <c r="I37" s="9">
        <v>9000</v>
      </c>
      <c r="J37" s="72">
        <v>3000</v>
      </c>
      <c r="K37" s="67">
        <f t="shared" si="0"/>
        <v>8178.5714285714284</v>
      </c>
      <c r="M37" s="4"/>
      <c r="N37" s="4"/>
    </row>
    <row r="38" spans="1:14" ht="15.75" x14ac:dyDescent="0.25">
      <c r="A38" s="59"/>
      <c r="B38" s="66" t="s">
        <v>119</v>
      </c>
      <c r="C38" s="17" t="s">
        <v>6</v>
      </c>
      <c r="D38" s="9" t="s">
        <v>99</v>
      </c>
      <c r="E38" s="9">
        <v>10000</v>
      </c>
      <c r="F38" s="9">
        <v>12000</v>
      </c>
      <c r="G38" s="9">
        <v>14000</v>
      </c>
      <c r="H38" s="9" t="s">
        <v>99</v>
      </c>
      <c r="I38" s="9">
        <v>12000</v>
      </c>
      <c r="J38" s="72">
        <v>12000</v>
      </c>
      <c r="K38" s="67">
        <f>AVERAGE(D38:J38)</f>
        <v>12000</v>
      </c>
      <c r="M38" s="4"/>
      <c r="N38" s="4"/>
    </row>
    <row r="39" spans="1:14" ht="15.75" x14ac:dyDescent="0.25">
      <c r="A39" s="59">
        <v>9</v>
      </c>
      <c r="B39" s="82" t="s">
        <v>120</v>
      </c>
      <c r="C39" s="83"/>
      <c r="D39" s="9"/>
      <c r="E39" s="9"/>
      <c r="F39" s="9"/>
      <c r="G39" s="9"/>
      <c r="H39" s="9"/>
      <c r="I39" s="9"/>
      <c r="J39" s="72"/>
      <c r="K39" s="81"/>
      <c r="M39" s="4"/>
      <c r="N39" s="4"/>
    </row>
    <row r="40" spans="1:14" ht="15.75" x14ac:dyDescent="0.25">
      <c r="A40" s="59"/>
      <c r="B40" s="66" t="s">
        <v>121</v>
      </c>
      <c r="C40" s="17" t="s">
        <v>6</v>
      </c>
      <c r="D40" s="9" t="s">
        <v>99</v>
      </c>
      <c r="E40" s="9" t="s">
        <v>99</v>
      </c>
      <c r="F40" s="9" t="s">
        <v>99</v>
      </c>
      <c r="G40" s="9">
        <v>16000</v>
      </c>
      <c r="H40" s="9">
        <v>14000</v>
      </c>
      <c r="I40" s="9" t="s">
        <v>99</v>
      </c>
      <c r="J40" s="72">
        <v>15000</v>
      </c>
      <c r="K40" s="67">
        <f t="shared" si="0"/>
        <v>15000</v>
      </c>
      <c r="M40" s="4"/>
      <c r="N40" s="4"/>
    </row>
    <row r="41" spans="1:14" ht="15.75" x14ac:dyDescent="0.25">
      <c r="A41" s="59"/>
      <c r="B41" s="66" t="s">
        <v>122</v>
      </c>
      <c r="C41" s="17" t="s">
        <v>6</v>
      </c>
      <c r="D41" s="9" t="s">
        <v>99</v>
      </c>
      <c r="E41" s="9" t="s">
        <v>99</v>
      </c>
      <c r="F41" s="9">
        <v>6000</v>
      </c>
      <c r="G41" s="9" t="s">
        <v>99</v>
      </c>
      <c r="H41" s="9" t="s">
        <v>99</v>
      </c>
      <c r="I41" s="9">
        <v>6000</v>
      </c>
      <c r="J41" s="72" t="s">
        <v>99</v>
      </c>
      <c r="K41" s="67">
        <f t="shared" si="0"/>
        <v>6000</v>
      </c>
      <c r="M41" s="4"/>
      <c r="N41" s="4"/>
    </row>
    <row r="42" spans="1:14" ht="15.75" x14ac:dyDescent="0.25">
      <c r="A42" s="59"/>
      <c r="B42" s="66" t="s">
        <v>123</v>
      </c>
      <c r="C42" s="17" t="s">
        <v>6</v>
      </c>
      <c r="D42" s="9" t="s">
        <v>99</v>
      </c>
      <c r="E42" s="9">
        <v>2500</v>
      </c>
      <c r="F42" s="9" t="s">
        <v>99</v>
      </c>
      <c r="G42" s="9" t="s">
        <v>99</v>
      </c>
      <c r="H42" s="9" t="s">
        <v>99</v>
      </c>
      <c r="I42" s="9" t="s">
        <v>99</v>
      </c>
      <c r="J42" s="72" t="s">
        <v>99</v>
      </c>
      <c r="K42" s="67">
        <f t="shared" si="0"/>
        <v>2500</v>
      </c>
      <c r="M42" s="4"/>
      <c r="N42" s="4"/>
    </row>
    <row r="43" spans="1:14" ht="15.75" x14ac:dyDescent="0.25">
      <c r="A43" s="101">
        <v>10</v>
      </c>
      <c r="B43" s="60" t="s">
        <v>34</v>
      </c>
      <c r="C43" s="73"/>
      <c r="D43" s="74"/>
      <c r="E43" s="17"/>
      <c r="F43" s="76"/>
      <c r="G43" s="15"/>
      <c r="H43" s="15"/>
      <c r="I43" s="15"/>
      <c r="J43" s="84"/>
      <c r="K43" s="71"/>
      <c r="M43" s="4"/>
      <c r="N43" s="4"/>
    </row>
    <row r="44" spans="1:14" ht="15.75" x14ac:dyDescent="0.25">
      <c r="A44" s="101"/>
      <c r="B44" s="66" t="s">
        <v>35</v>
      </c>
      <c r="C44" s="17" t="s">
        <v>36</v>
      </c>
      <c r="D44" s="9">
        <v>12000</v>
      </c>
      <c r="E44" s="9">
        <v>12000</v>
      </c>
      <c r="F44" s="9">
        <v>12500</v>
      </c>
      <c r="G44" s="9">
        <v>12500</v>
      </c>
      <c r="H44" s="10" t="s">
        <v>99</v>
      </c>
      <c r="I44" s="16">
        <v>12500</v>
      </c>
      <c r="J44" s="72">
        <v>12500</v>
      </c>
      <c r="K44" s="67">
        <f t="shared" si="0"/>
        <v>12333.333333333334</v>
      </c>
      <c r="M44" s="4"/>
      <c r="N44" s="4"/>
    </row>
    <row r="45" spans="1:14" ht="15.75" x14ac:dyDescent="0.25">
      <c r="A45" s="101"/>
      <c r="B45" s="66" t="s">
        <v>124</v>
      </c>
      <c r="C45" s="17" t="s">
        <v>36</v>
      </c>
      <c r="D45" s="9">
        <v>12000</v>
      </c>
      <c r="E45" s="9">
        <v>13000</v>
      </c>
      <c r="F45" s="16">
        <v>12500</v>
      </c>
      <c r="G45" s="9">
        <v>12500</v>
      </c>
      <c r="H45" s="10" t="s">
        <v>99</v>
      </c>
      <c r="I45" s="16">
        <v>12500</v>
      </c>
      <c r="J45" s="79">
        <v>12500</v>
      </c>
      <c r="K45" s="67">
        <f>AVERAGE(D45:J45)</f>
        <v>12500</v>
      </c>
      <c r="M45" s="4"/>
      <c r="N45" s="4"/>
    </row>
    <row r="46" spans="1:14" ht="15.75" x14ac:dyDescent="0.25">
      <c r="A46" s="101">
        <v>11</v>
      </c>
      <c r="B46" s="60" t="s">
        <v>38</v>
      </c>
      <c r="C46" s="73"/>
      <c r="D46" s="74"/>
      <c r="E46" s="17"/>
      <c r="F46" s="15"/>
      <c r="G46" s="76"/>
      <c r="H46" s="15"/>
      <c r="I46" s="15"/>
      <c r="J46" s="75"/>
      <c r="K46" s="71"/>
      <c r="M46" s="4"/>
      <c r="N46" s="4"/>
    </row>
    <row r="47" spans="1:14" ht="15.75" x14ac:dyDescent="0.25">
      <c r="A47" s="101"/>
      <c r="B47" s="66" t="s">
        <v>39</v>
      </c>
      <c r="C47" s="17" t="s">
        <v>40</v>
      </c>
      <c r="D47" s="9" t="s">
        <v>99</v>
      </c>
      <c r="E47" s="9" t="s">
        <v>99</v>
      </c>
      <c r="F47" s="10" t="s">
        <v>99</v>
      </c>
      <c r="G47" s="8" t="s">
        <v>99</v>
      </c>
      <c r="H47" s="9">
        <v>17500</v>
      </c>
      <c r="I47" s="16" t="s">
        <v>99</v>
      </c>
      <c r="J47" s="79" t="s">
        <v>99</v>
      </c>
      <c r="K47" s="67">
        <f t="shared" si="0"/>
        <v>17500</v>
      </c>
      <c r="M47" s="4"/>
      <c r="N47" s="4"/>
    </row>
    <row r="48" spans="1:14" ht="15.75" x14ac:dyDescent="0.25">
      <c r="A48" s="101"/>
      <c r="B48" s="66" t="s">
        <v>41</v>
      </c>
      <c r="C48" s="17" t="s">
        <v>42</v>
      </c>
      <c r="D48" s="9" t="s">
        <v>99</v>
      </c>
      <c r="E48" s="9" t="s">
        <v>99</v>
      </c>
      <c r="F48" s="10" t="s">
        <v>99</v>
      </c>
      <c r="G48" s="8" t="s">
        <v>99</v>
      </c>
      <c r="H48" s="9">
        <v>2000</v>
      </c>
      <c r="I48" s="16" t="s">
        <v>99</v>
      </c>
      <c r="J48" s="79" t="s">
        <v>99</v>
      </c>
      <c r="K48" s="67">
        <f t="shared" si="0"/>
        <v>2000</v>
      </c>
      <c r="M48" s="4"/>
      <c r="N48" s="4"/>
    </row>
    <row r="49" spans="1:14" ht="15.75" x14ac:dyDescent="0.25">
      <c r="A49" s="59">
        <v>12</v>
      </c>
      <c r="B49" s="85" t="s">
        <v>43</v>
      </c>
      <c r="C49" s="80"/>
      <c r="D49" s="19"/>
      <c r="E49" s="10"/>
      <c r="F49" s="10"/>
      <c r="G49" s="22"/>
      <c r="H49" s="10"/>
      <c r="I49" s="10"/>
      <c r="J49" s="77"/>
      <c r="K49" s="71"/>
      <c r="M49" s="4"/>
      <c r="N49" s="4"/>
    </row>
    <row r="50" spans="1:14" ht="15.75" x14ac:dyDescent="0.25">
      <c r="A50" s="59"/>
      <c r="B50" s="66" t="s">
        <v>44</v>
      </c>
      <c r="C50" s="86" t="s">
        <v>6</v>
      </c>
      <c r="D50" s="9" t="s">
        <v>99</v>
      </c>
      <c r="E50" s="9">
        <v>8000</v>
      </c>
      <c r="F50" s="9">
        <v>10000</v>
      </c>
      <c r="G50" s="9">
        <v>10000</v>
      </c>
      <c r="H50" s="9">
        <v>15000</v>
      </c>
      <c r="I50" s="8">
        <v>15000</v>
      </c>
      <c r="J50" s="72">
        <v>15000</v>
      </c>
      <c r="K50" s="67">
        <f t="shared" si="0"/>
        <v>12166.666666666666</v>
      </c>
      <c r="M50" s="4" t="s">
        <v>101</v>
      </c>
      <c r="N50" s="4"/>
    </row>
    <row r="51" spans="1:14" ht="15.75" x14ac:dyDescent="0.25">
      <c r="A51" s="59"/>
      <c r="B51" s="66" t="s">
        <v>45</v>
      </c>
      <c r="C51" s="86" t="s">
        <v>6</v>
      </c>
      <c r="D51" s="9">
        <v>15000</v>
      </c>
      <c r="E51" s="9">
        <v>10000</v>
      </c>
      <c r="F51" s="8">
        <v>9000</v>
      </c>
      <c r="G51" s="9">
        <v>10000</v>
      </c>
      <c r="H51" s="9">
        <v>12000</v>
      </c>
      <c r="I51" s="9">
        <v>12000</v>
      </c>
      <c r="J51" s="72">
        <v>10000</v>
      </c>
      <c r="K51" s="67">
        <f t="shared" si="0"/>
        <v>11142.857142857143</v>
      </c>
      <c r="M51" s="4"/>
      <c r="N51" s="23"/>
    </row>
    <row r="52" spans="1:14" ht="15.75" x14ac:dyDescent="0.25">
      <c r="A52" s="101">
        <v>13</v>
      </c>
      <c r="B52" s="60" t="s">
        <v>46</v>
      </c>
      <c r="C52" s="73"/>
      <c r="D52" s="74"/>
      <c r="E52" s="17"/>
      <c r="F52" s="76"/>
      <c r="G52" s="76"/>
      <c r="H52" s="15"/>
      <c r="I52" s="15"/>
      <c r="J52" s="84"/>
      <c r="K52" s="71"/>
      <c r="M52" s="4"/>
      <c r="N52" s="4"/>
    </row>
    <row r="53" spans="1:14" ht="15.75" x14ac:dyDescent="0.25">
      <c r="A53" s="101"/>
      <c r="B53" s="66" t="s">
        <v>47</v>
      </c>
      <c r="C53" s="17" t="s">
        <v>125</v>
      </c>
      <c r="D53" s="9">
        <v>3000</v>
      </c>
      <c r="E53" s="9">
        <v>4000</v>
      </c>
      <c r="F53" s="9">
        <v>5000</v>
      </c>
      <c r="G53" s="9">
        <v>5000</v>
      </c>
      <c r="H53" s="9">
        <v>2500</v>
      </c>
      <c r="I53" s="16">
        <v>5000</v>
      </c>
      <c r="J53" s="72">
        <v>2500</v>
      </c>
      <c r="K53" s="67">
        <f t="shared" si="0"/>
        <v>3857.1428571428573</v>
      </c>
      <c r="M53" s="4"/>
      <c r="N53" s="4"/>
    </row>
    <row r="54" spans="1:14" ht="15.75" x14ac:dyDescent="0.25">
      <c r="A54" s="101">
        <v>14</v>
      </c>
      <c r="B54" s="60" t="s">
        <v>49</v>
      </c>
      <c r="C54" s="80"/>
      <c r="D54" s="62"/>
      <c r="E54" s="17"/>
      <c r="F54" s="20"/>
      <c r="G54" s="20"/>
      <c r="H54" s="17"/>
      <c r="I54" s="17"/>
      <c r="J54" s="87"/>
      <c r="K54" s="71"/>
      <c r="M54" s="4"/>
      <c r="N54" s="4"/>
    </row>
    <row r="55" spans="1:14" ht="15.75" x14ac:dyDescent="0.25">
      <c r="A55" s="101"/>
      <c r="B55" s="88" t="s">
        <v>50</v>
      </c>
      <c r="C55" s="86" t="s">
        <v>6</v>
      </c>
      <c r="D55" s="9">
        <v>10000</v>
      </c>
      <c r="E55" s="9">
        <v>10500</v>
      </c>
      <c r="F55" s="9">
        <v>10000</v>
      </c>
      <c r="G55" s="9">
        <v>11000</v>
      </c>
      <c r="H55" s="9">
        <v>12000</v>
      </c>
      <c r="I55" s="9">
        <v>10000</v>
      </c>
      <c r="J55" s="72">
        <v>10000</v>
      </c>
      <c r="K55" s="67">
        <f t="shared" si="0"/>
        <v>10500</v>
      </c>
      <c r="M55" s="4"/>
      <c r="N55" s="4"/>
    </row>
    <row r="56" spans="1:14" ht="15.75" x14ac:dyDescent="0.25">
      <c r="A56" s="101">
        <v>15</v>
      </c>
      <c r="B56" s="60" t="s">
        <v>51</v>
      </c>
      <c r="C56" s="73"/>
      <c r="D56" s="74"/>
      <c r="E56" s="17"/>
      <c r="F56" s="76"/>
      <c r="G56" s="15"/>
      <c r="H56" s="15"/>
      <c r="I56" s="15"/>
      <c r="J56" s="84"/>
      <c r="K56" s="71"/>
      <c r="M56" s="4"/>
      <c r="N56" s="4"/>
    </row>
    <row r="57" spans="1:14" ht="15.75" x14ac:dyDescent="0.25">
      <c r="A57" s="101"/>
      <c r="B57" s="66" t="s">
        <v>52</v>
      </c>
      <c r="C57" s="17" t="s">
        <v>6</v>
      </c>
      <c r="D57" s="9">
        <v>16000</v>
      </c>
      <c r="E57" s="9">
        <v>13000</v>
      </c>
      <c r="F57" s="9">
        <v>14000</v>
      </c>
      <c r="G57" s="9">
        <v>14000</v>
      </c>
      <c r="H57" s="9">
        <v>11500</v>
      </c>
      <c r="I57" s="9">
        <v>17000</v>
      </c>
      <c r="J57" s="72" t="s">
        <v>99</v>
      </c>
      <c r="K57" s="67">
        <f t="shared" si="0"/>
        <v>14250</v>
      </c>
      <c r="M57" s="4"/>
      <c r="N57" s="4"/>
    </row>
    <row r="58" spans="1:14" ht="15.75" x14ac:dyDescent="0.25">
      <c r="A58" s="101"/>
      <c r="B58" s="66" t="s">
        <v>53</v>
      </c>
      <c r="C58" s="17" t="s">
        <v>6</v>
      </c>
      <c r="D58" s="9" t="s">
        <v>99</v>
      </c>
      <c r="E58" s="9" t="s">
        <v>99</v>
      </c>
      <c r="F58" s="16">
        <v>15000</v>
      </c>
      <c r="G58" s="22" t="s">
        <v>99</v>
      </c>
      <c r="H58" s="9">
        <v>13000</v>
      </c>
      <c r="I58" s="8">
        <v>15000</v>
      </c>
      <c r="J58" s="72">
        <v>14000</v>
      </c>
      <c r="K58" s="67">
        <f t="shared" si="0"/>
        <v>14250</v>
      </c>
      <c r="M58" s="4"/>
      <c r="N58" s="4"/>
    </row>
    <row r="59" spans="1:14" ht="15.75" x14ac:dyDescent="0.25">
      <c r="A59" s="101"/>
      <c r="B59" s="66" t="s">
        <v>54</v>
      </c>
      <c r="C59" s="17" t="s">
        <v>6</v>
      </c>
      <c r="D59" s="9">
        <v>22000</v>
      </c>
      <c r="E59" s="9">
        <v>23000</v>
      </c>
      <c r="F59" s="9">
        <v>23000</v>
      </c>
      <c r="G59" s="9">
        <v>23000</v>
      </c>
      <c r="H59" s="9">
        <v>20000</v>
      </c>
      <c r="I59" s="9">
        <v>23000</v>
      </c>
      <c r="J59" s="72">
        <v>24000</v>
      </c>
      <c r="K59" s="67">
        <f t="shared" si="0"/>
        <v>22571.428571428572</v>
      </c>
      <c r="M59" s="4"/>
      <c r="N59" s="4"/>
    </row>
    <row r="60" spans="1:14" ht="15.75" x14ac:dyDescent="0.25">
      <c r="A60" s="101"/>
      <c r="B60" s="66" t="s">
        <v>55</v>
      </c>
      <c r="C60" s="17" t="s">
        <v>6</v>
      </c>
      <c r="D60" s="9">
        <v>26000</v>
      </c>
      <c r="E60" s="9">
        <v>30000</v>
      </c>
      <c r="F60" s="9">
        <v>28000</v>
      </c>
      <c r="G60" s="9">
        <v>30000</v>
      </c>
      <c r="H60" s="9">
        <v>27000</v>
      </c>
      <c r="I60" s="9">
        <v>28000</v>
      </c>
      <c r="J60" s="72">
        <v>28000</v>
      </c>
      <c r="K60" s="67">
        <f t="shared" si="0"/>
        <v>28142.857142857141</v>
      </c>
      <c r="M60" s="4"/>
      <c r="N60" s="4"/>
    </row>
    <row r="61" spans="1:14" ht="15.75" x14ac:dyDescent="0.25">
      <c r="A61" s="17">
        <v>16</v>
      </c>
      <c r="B61" s="60" t="s">
        <v>56</v>
      </c>
      <c r="C61" s="80"/>
      <c r="D61" s="89"/>
      <c r="E61" s="10"/>
      <c r="F61" s="22"/>
      <c r="G61" s="10"/>
      <c r="H61" s="10"/>
      <c r="I61" s="10"/>
      <c r="J61" s="90"/>
      <c r="K61" s="71"/>
      <c r="M61" s="4"/>
      <c r="N61" s="4"/>
    </row>
    <row r="62" spans="1:14" ht="15.75" x14ac:dyDescent="0.25">
      <c r="A62" s="17"/>
      <c r="B62" s="66" t="s">
        <v>57</v>
      </c>
      <c r="C62" s="86" t="s">
        <v>58</v>
      </c>
      <c r="D62" s="9">
        <v>3000</v>
      </c>
      <c r="E62" s="9">
        <v>3200</v>
      </c>
      <c r="F62" s="9">
        <v>3000</v>
      </c>
      <c r="G62" s="9">
        <v>3000</v>
      </c>
      <c r="H62" s="10" t="s">
        <v>99</v>
      </c>
      <c r="I62" s="16">
        <v>3000</v>
      </c>
      <c r="J62" s="72">
        <v>3500</v>
      </c>
      <c r="K62" s="67">
        <f t="shared" si="0"/>
        <v>3116.6666666666665</v>
      </c>
      <c r="M62" s="4"/>
      <c r="N62" s="4"/>
    </row>
    <row r="63" spans="1:14" ht="15.75" x14ac:dyDescent="0.25">
      <c r="A63" s="101">
        <v>17</v>
      </c>
      <c r="B63" s="60" t="s">
        <v>59</v>
      </c>
      <c r="C63" s="73"/>
      <c r="D63" s="74"/>
      <c r="E63" s="17"/>
      <c r="F63" s="76"/>
      <c r="G63" s="76"/>
      <c r="H63" s="15"/>
      <c r="I63" s="15"/>
      <c r="J63" s="84"/>
      <c r="K63" s="71"/>
      <c r="M63" s="4"/>
      <c r="N63" s="4"/>
    </row>
    <row r="64" spans="1:14" ht="15.75" x14ac:dyDescent="0.25">
      <c r="A64" s="101"/>
      <c r="B64" s="66" t="s">
        <v>60</v>
      </c>
      <c r="C64" s="17" t="s">
        <v>6</v>
      </c>
      <c r="D64" s="9">
        <v>70000</v>
      </c>
      <c r="E64" s="9">
        <v>70000</v>
      </c>
      <c r="F64" s="9">
        <v>60000</v>
      </c>
      <c r="G64" s="9">
        <v>60000</v>
      </c>
      <c r="H64" s="9">
        <v>65000</v>
      </c>
      <c r="I64" s="9">
        <v>60000</v>
      </c>
      <c r="J64" s="72">
        <v>70000</v>
      </c>
      <c r="K64" s="67">
        <f t="shared" si="0"/>
        <v>65000</v>
      </c>
      <c r="M64" s="4"/>
      <c r="N64" s="4"/>
    </row>
    <row r="65" spans="1:14" ht="15.75" x14ac:dyDescent="0.25">
      <c r="A65" s="101"/>
      <c r="B65" s="66" t="s">
        <v>61</v>
      </c>
      <c r="C65" s="17" t="s">
        <v>6</v>
      </c>
      <c r="D65" s="9">
        <v>70000</v>
      </c>
      <c r="E65" s="9">
        <v>48000</v>
      </c>
      <c r="F65" s="9">
        <v>57000</v>
      </c>
      <c r="G65" s="9">
        <v>50000</v>
      </c>
      <c r="H65" s="9">
        <v>60000</v>
      </c>
      <c r="I65" s="8">
        <v>60000</v>
      </c>
      <c r="J65" s="72">
        <v>65000</v>
      </c>
      <c r="K65" s="67">
        <f t="shared" si="0"/>
        <v>58571.428571428572</v>
      </c>
      <c r="M65" s="4"/>
      <c r="N65" s="4"/>
    </row>
    <row r="66" spans="1:14" ht="15.75" x14ac:dyDescent="0.25">
      <c r="A66" s="101"/>
      <c r="B66" s="66" t="s">
        <v>62</v>
      </c>
      <c r="C66" s="17" t="s">
        <v>6</v>
      </c>
      <c r="D66" s="9">
        <v>44000</v>
      </c>
      <c r="E66" s="9">
        <v>30000</v>
      </c>
      <c r="F66" s="9">
        <v>42000</v>
      </c>
      <c r="G66" s="9">
        <v>40000</v>
      </c>
      <c r="H66" s="9">
        <v>50000</v>
      </c>
      <c r="I66" s="9">
        <v>50000</v>
      </c>
      <c r="J66" s="72">
        <v>50000</v>
      </c>
      <c r="K66" s="67">
        <f t="shared" si="0"/>
        <v>43714.285714285717</v>
      </c>
      <c r="M66" s="4"/>
      <c r="N66" s="4"/>
    </row>
    <row r="67" spans="1:14" ht="15.75" x14ac:dyDescent="0.25">
      <c r="A67" s="17">
        <v>18</v>
      </c>
      <c r="B67" s="60" t="s">
        <v>63</v>
      </c>
      <c r="C67" s="80"/>
      <c r="D67" s="24"/>
      <c r="E67" s="10"/>
      <c r="F67" s="22"/>
      <c r="G67" s="10"/>
      <c r="H67" s="10" t="s">
        <v>1</v>
      </c>
      <c r="I67" s="10"/>
      <c r="J67" s="77"/>
      <c r="K67" s="71"/>
      <c r="M67" s="4"/>
      <c r="N67" s="4"/>
    </row>
    <row r="68" spans="1:14" ht="15.75" x14ac:dyDescent="0.25">
      <c r="A68" s="17"/>
      <c r="B68" s="66" t="s">
        <v>64</v>
      </c>
      <c r="C68" s="17" t="s">
        <v>65</v>
      </c>
      <c r="D68" s="9">
        <v>20000</v>
      </c>
      <c r="E68" s="9">
        <v>18000</v>
      </c>
      <c r="F68" s="9">
        <v>18000</v>
      </c>
      <c r="G68" s="9">
        <v>18000</v>
      </c>
      <c r="H68" s="10" t="s">
        <v>99</v>
      </c>
      <c r="I68" s="9">
        <v>18000</v>
      </c>
      <c r="J68" s="79">
        <v>18000</v>
      </c>
      <c r="K68" s="67">
        <f t="shared" si="0"/>
        <v>18333.333333333332</v>
      </c>
      <c r="M68" s="4"/>
      <c r="N68" s="4"/>
    </row>
    <row r="69" spans="1:14" ht="15.75" x14ac:dyDescent="0.25">
      <c r="A69" s="101">
        <v>19</v>
      </c>
      <c r="B69" s="60" t="s">
        <v>66</v>
      </c>
      <c r="C69" s="60"/>
      <c r="D69" s="74"/>
      <c r="E69" s="17"/>
      <c r="F69" s="15"/>
      <c r="G69" s="15"/>
      <c r="H69" s="15"/>
      <c r="I69" s="15"/>
      <c r="J69" s="75"/>
      <c r="K69" s="71"/>
      <c r="M69" s="4"/>
      <c r="N69" s="4"/>
    </row>
    <row r="70" spans="1:14" ht="15.75" x14ac:dyDescent="0.25">
      <c r="A70" s="101"/>
      <c r="B70" s="66" t="s">
        <v>67</v>
      </c>
      <c r="C70" s="17" t="s">
        <v>6</v>
      </c>
      <c r="D70" s="9">
        <v>36000</v>
      </c>
      <c r="E70" s="9">
        <v>35000</v>
      </c>
      <c r="F70" s="9">
        <v>36000</v>
      </c>
      <c r="G70" s="9">
        <v>35000</v>
      </c>
      <c r="H70" s="9">
        <v>37000</v>
      </c>
      <c r="I70" s="9">
        <v>40000</v>
      </c>
      <c r="J70" s="72">
        <v>40000</v>
      </c>
      <c r="K70" s="67">
        <f t="shared" si="0"/>
        <v>37000</v>
      </c>
      <c r="M70" s="4"/>
      <c r="N70" s="4"/>
    </row>
    <row r="71" spans="1:14" ht="15.75" x14ac:dyDescent="0.25">
      <c r="A71" s="101"/>
      <c r="B71" s="66" t="s">
        <v>68</v>
      </c>
      <c r="C71" s="17" t="s">
        <v>6</v>
      </c>
      <c r="D71" s="9">
        <v>34000</v>
      </c>
      <c r="E71" s="9">
        <v>32000</v>
      </c>
      <c r="F71" s="9">
        <v>34000</v>
      </c>
      <c r="G71" s="9">
        <v>32000</v>
      </c>
      <c r="H71" s="9">
        <v>32000</v>
      </c>
      <c r="I71" s="9">
        <v>35000</v>
      </c>
      <c r="J71" s="72">
        <v>33000</v>
      </c>
      <c r="K71" s="67">
        <f t="shared" si="0"/>
        <v>33142.857142857145</v>
      </c>
      <c r="M71" s="4"/>
      <c r="N71" s="4"/>
    </row>
    <row r="72" spans="1:14" ht="15.75" x14ac:dyDescent="0.25">
      <c r="A72" s="101"/>
      <c r="B72" s="66" t="s">
        <v>69</v>
      </c>
      <c r="C72" s="17" t="s">
        <v>6</v>
      </c>
      <c r="D72" s="9">
        <v>26000</v>
      </c>
      <c r="E72" s="9">
        <v>28000</v>
      </c>
      <c r="F72" s="9">
        <v>24000</v>
      </c>
      <c r="G72" s="9">
        <v>28000</v>
      </c>
      <c r="H72" s="9">
        <v>23000</v>
      </c>
      <c r="I72" s="9">
        <v>30000</v>
      </c>
      <c r="J72" s="72">
        <v>20000</v>
      </c>
      <c r="K72" s="67">
        <f t="shared" si="0"/>
        <v>25571.428571428572</v>
      </c>
      <c r="M72" s="4"/>
      <c r="N72" s="4"/>
    </row>
    <row r="73" spans="1:14" ht="15.75" x14ac:dyDescent="0.25">
      <c r="A73" s="101"/>
      <c r="B73" s="66" t="s">
        <v>70</v>
      </c>
      <c r="C73" s="17" t="s">
        <v>6</v>
      </c>
      <c r="D73" s="9">
        <v>28000</v>
      </c>
      <c r="E73" s="9">
        <v>25000</v>
      </c>
      <c r="F73" s="16">
        <v>28000</v>
      </c>
      <c r="G73" s="8">
        <v>30000</v>
      </c>
      <c r="H73" s="9">
        <v>25000</v>
      </c>
      <c r="I73" s="9">
        <v>25000</v>
      </c>
      <c r="J73" s="72">
        <v>30000</v>
      </c>
      <c r="K73" s="67">
        <f t="shared" si="0"/>
        <v>27285.714285714286</v>
      </c>
      <c r="M73" s="4"/>
      <c r="N73" s="4"/>
    </row>
    <row r="74" spans="1:14" ht="15.75" x14ac:dyDescent="0.25">
      <c r="A74" s="17">
        <v>20</v>
      </c>
      <c r="B74" s="60" t="s">
        <v>71</v>
      </c>
      <c r="C74" s="91"/>
      <c r="D74" s="24"/>
      <c r="E74" s="10"/>
      <c r="F74" s="10"/>
      <c r="G74" s="89"/>
      <c r="H74" s="10"/>
      <c r="I74" s="10"/>
      <c r="J74" s="90"/>
      <c r="K74" s="71"/>
      <c r="M74" s="4"/>
      <c r="N74" s="4"/>
    </row>
    <row r="75" spans="1:14" ht="15.75" x14ac:dyDescent="0.25">
      <c r="A75" s="17"/>
      <c r="B75" s="66" t="s">
        <v>72</v>
      </c>
      <c r="C75" s="86" t="s">
        <v>6</v>
      </c>
      <c r="D75" s="9">
        <v>7000</v>
      </c>
      <c r="E75" s="9">
        <v>7000</v>
      </c>
      <c r="F75" s="9">
        <v>5000</v>
      </c>
      <c r="G75" s="9">
        <v>6000</v>
      </c>
      <c r="H75" s="9">
        <v>5000</v>
      </c>
      <c r="I75" s="9">
        <v>5000</v>
      </c>
      <c r="J75" s="72">
        <v>5000</v>
      </c>
      <c r="K75" s="67">
        <f t="shared" si="0"/>
        <v>5714.2857142857147</v>
      </c>
      <c r="M75" s="4"/>
      <c r="N75" s="4"/>
    </row>
    <row r="76" spans="1:14" ht="15.75" x14ac:dyDescent="0.25">
      <c r="A76" s="17"/>
      <c r="B76" s="66" t="s">
        <v>73</v>
      </c>
      <c r="C76" s="86" t="s">
        <v>6</v>
      </c>
      <c r="D76" s="9">
        <v>7000</v>
      </c>
      <c r="E76" s="9">
        <v>6000</v>
      </c>
      <c r="F76" s="16">
        <v>6000</v>
      </c>
      <c r="G76" s="8">
        <v>6000</v>
      </c>
      <c r="H76" s="9">
        <v>5000</v>
      </c>
      <c r="I76" s="9">
        <v>6000</v>
      </c>
      <c r="J76" s="79">
        <v>6000</v>
      </c>
      <c r="K76" s="67">
        <f t="shared" si="0"/>
        <v>6000</v>
      </c>
      <c r="M76" s="4"/>
      <c r="N76" s="4"/>
    </row>
    <row r="77" spans="1:14" ht="15.75" x14ac:dyDescent="0.25">
      <c r="A77" s="17">
        <v>21</v>
      </c>
      <c r="B77" s="60" t="s">
        <v>74</v>
      </c>
      <c r="C77" s="91"/>
      <c r="D77" s="19"/>
      <c r="E77" s="10"/>
      <c r="F77" s="10"/>
      <c r="G77" s="22"/>
      <c r="H77" s="10"/>
      <c r="I77" s="10"/>
      <c r="J77" s="77"/>
      <c r="K77" s="71"/>
      <c r="M77" s="4"/>
      <c r="N77" s="4"/>
    </row>
    <row r="78" spans="1:14" ht="15.75" x14ac:dyDescent="0.25">
      <c r="A78" s="17"/>
      <c r="B78" s="66" t="s">
        <v>75</v>
      </c>
      <c r="C78" s="86" t="s">
        <v>6</v>
      </c>
      <c r="D78" s="9">
        <v>8000</v>
      </c>
      <c r="E78" s="9">
        <v>8000</v>
      </c>
      <c r="F78" s="9">
        <v>10000</v>
      </c>
      <c r="G78" s="9">
        <v>8000</v>
      </c>
      <c r="H78" s="9">
        <v>6000</v>
      </c>
      <c r="I78" s="16">
        <v>9000</v>
      </c>
      <c r="J78" s="72" t="s">
        <v>99</v>
      </c>
      <c r="K78" s="67">
        <f t="shared" si="0"/>
        <v>8166.666666666667</v>
      </c>
      <c r="M78" s="4"/>
      <c r="N78" s="4"/>
    </row>
    <row r="79" spans="1:14" ht="15.75" x14ac:dyDescent="0.25">
      <c r="A79" s="17"/>
      <c r="B79" s="66" t="s">
        <v>76</v>
      </c>
      <c r="C79" s="86" t="s">
        <v>6</v>
      </c>
      <c r="D79" s="9">
        <v>8000</v>
      </c>
      <c r="E79" s="9">
        <v>10000</v>
      </c>
      <c r="F79" s="9">
        <v>20000</v>
      </c>
      <c r="G79" s="9">
        <v>12000</v>
      </c>
      <c r="H79" s="9">
        <v>6000</v>
      </c>
      <c r="I79" s="16">
        <v>14000</v>
      </c>
      <c r="J79" s="72">
        <v>15000</v>
      </c>
      <c r="K79" s="67">
        <f t="shared" si="0"/>
        <v>12142.857142857143</v>
      </c>
      <c r="M79" s="4"/>
      <c r="N79" s="4"/>
    </row>
    <row r="80" spans="1:14" ht="15.75" x14ac:dyDescent="0.25">
      <c r="A80" s="17"/>
      <c r="B80" s="66" t="s">
        <v>77</v>
      </c>
      <c r="C80" s="86" t="s">
        <v>6</v>
      </c>
      <c r="D80" s="9">
        <v>18000</v>
      </c>
      <c r="E80" s="9">
        <v>16000</v>
      </c>
      <c r="F80" s="9">
        <v>17000</v>
      </c>
      <c r="G80" s="9">
        <v>16000</v>
      </c>
      <c r="H80" s="9">
        <v>15000</v>
      </c>
      <c r="I80" s="9">
        <v>18000</v>
      </c>
      <c r="J80" s="72">
        <v>18000</v>
      </c>
      <c r="K80" s="67">
        <f t="shared" si="0"/>
        <v>16857.142857142859</v>
      </c>
      <c r="M80" s="4"/>
      <c r="N80" s="4"/>
    </row>
    <row r="81" spans="1:14" ht="15.75" x14ac:dyDescent="0.25">
      <c r="A81" s="17"/>
      <c r="B81" s="66" t="s">
        <v>78</v>
      </c>
      <c r="C81" s="86" t="s">
        <v>6</v>
      </c>
      <c r="D81" s="9">
        <v>22000</v>
      </c>
      <c r="E81" s="9">
        <v>15000</v>
      </c>
      <c r="F81" s="9">
        <v>10000</v>
      </c>
      <c r="G81" s="9">
        <v>15000</v>
      </c>
      <c r="H81" s="9">
        <v>20000</v>
      </c>
      <c r="I81" s="8">
        <v>23000</v>
      </c>
      <c r="J81" s="72">
        <v>20000</v>
      </c>
      <c r="K81" s="67">
        <f t="shared" ref="K81:K88" si="1">AVERAGE(D81:J81)</f>
        <v>17857.142857142859</v>
      </c>
      <c r="M81" s="4"/>
      <c r="N81" s="4"/>
    </row>
    <row r="82" spans="1:14" ht="15.75" x14ac:dyDescent="0.25">
      <c r="A82" s="17"/>
      <c r="B82" s="66" t="s">
        <v>79</v>
      </c>
      <c r="C82" s="86" t="s">
        <v>6</v>
      </c>
      <c r="D82" s="9">
        <v>14000</v>
      </c>
      <c r="E82" s="9">
        <v>12000</v>
      </c>
      <c r="F82" s="9">
        <v>14000</v>
      </c>
      <c r="G82" s="9">
        <v>12000</v>
      </c>
      <c r="H82" s="9">
        <v>10000</v>
      </c>
      <c r="I82" s="9">
        <v>18000</v>
      </c>
      <c r="J82" s="72">
        <v>15000</v>
      </c>
      <c r="K82" s="67">
        <f t="shared" si="1"/>
        <v>13571.428571428571</v>
      </c>
      <c r="M82" s="4"/>
      <c r="N82" s="4"/>
    </row>
    <row r="83" spans="1:14" ht="15.75" x14ac:dyDescent="0.25">
      <c r="A83" s="17"/>
      <c r="B83" s="66" t="s">
        <v>80</v>
      </c>
      <c r="C83" s="86" t="s">
        <v>6</v>
      </c>
      <c r="D83" s="9">
        <v>9000</v>
      </c>
      <c r="E83" s="9">
        <v>8000</v>
      </c>
      <c r="F83" s="16">
        <v>9000</v>
      </c>
      <c r="G83" s="8">
        <v>8000</v>
      </c>
      <c r="H83" s="9">
        <v>7000</v>
      </c>
      <c r="I83" s="16">
        <v>9000</v>
      </c>
      <c r="J83" s="72">
        <v>8000</v>
      </c>
      <c r="K83" s="67">
        <f t="shared" si="1"/>
        <v>8285.7142857142862</v>
      </c>
      <c r="M83" s="4"/>
      <c r="N83" s="4"/>
    </row>
    <row r="84" spans="1:14" ht="15.75" x14ac:dyDescent="0.25">
      <c r="A84" s="17"/>
      <c r="B84" s="66" t="s">
        <v>81</v>
      </c>
      <c r="C84" s="86" t="s">
        <v>82</v>
      </c>
      <c r="D84" s="9">
        <v>2000</v>
      </c>
      <c r="E84" s="9">
        <v>1500</v>
      </c>
      <c r="F84" s="9">
        <v>2000</v>
      </c>
      <c r="G84" s="8">
        <v>2000</v>
      </c>
      <c r="H84" s="9">
        <v>1500</v>
      </c>
      <c r="I84" s="9">
        <v>2000</v>
      </c>
      <c r="J84" s="79">
        <v>1500</v>
      </c>
      <c r="K84" s="67">
        <f t="shared" si="1"/>
        <v>1785.7142857142858</v>
      </c>
      <c r="L84" s="4"/>
      <c r="M84" s="4"/>
      <c r="N84" s="4"/>
    </row>
    <row r="85" spans="1:14" x14ac:dyDescent="0.25">
      <c r="A85" s="17"/>
      <c r="B85" s="66" t="s">
        <v>83</v>
      </c>
      <c r="C85" s="86" t="s">
        <v>82</v>
      </c>
      <c r="D85" s="9">
        <v>1500</v>
      </c>
      <c r="E85" s="9">
        <v>1500</v>
      </c>
      <c r="F85" s="9">
        <v>1500</v>
      </c>
      <c r="G85" s="8">
        <v>2000</v>
      </c>
      <c r="H85" s="9">
        <v>1500</v>
      </c>
      <c r="I85" s="9">
        <v>1500</v>
      </c>
      <c r="J85" s="79">
        <v>1000</v>
      </c>
      <c r="K85" s="67">
        <f t="shared" si="1"/>
        <v>1500</v>
      </c>
    </row>
    <row r="86" spans="1:14" x14ac:dyDescent="0.25">
      <c r="A86" s="17"/>
      <c r="B86" s="66" t="s">
        <v>84</v>
      </c>
      <c r="C86" s="86" t="s">
        <v>82</v>
      </c>
      <c r="D86" s="9" t="s">
        <v>99</v>
      </c>
      <c r="E86" s="9">
        <v>2000</v>
      </c>
      <c r="F86" s="9" t="s">
        <v>99</v>
      </c>
      <c r="G86" s="8" t="s">
        <v>99</v>
      </c>
      <c r="H86" s="9">
        <v>2500</v>
      </c>
      <c r="I86" s="9" t="s">
        <v>99</v>
      </c>
      <c r="J86" s="79">
        <v>2000</v>
      </c>
      <c r="K86" s="67">
        <f t="shared" si="1"/>
        <v>2166.6666666666665</v>
      </c>
    </row>
    <row r="87" spans="1:14" x14ac:dyDescent="0.25">
      <c r="A87" s="17">
        <v>22</v>
      </c>
      <c r="B87" s="60" t="s">
        <v>85</v>
      </c>
      <c r="C87" s="91"/>
      <c r="D87" s="22"/>
      <c r="E87" s="10"/>
      <c r="F87" s="10" t="s">
        <v>102</v>
      </c>
      <c r="G87" s="22"/>
      <c r="H87" s="10"/>
      <c r="I87" s="10"/>
      <c r="J87" s="77"/>
      <c r="K87" s="71"/>
    </row>
    <row r="88" spans="1:14" x14ac:dyDescent="0.25">
      <c r="A88" s="17"/>
      <c r="B88" s="66" t="s">
        <v>86</v>
      </c>
      <c r="C88" s="86" t="s">
        <v>87</v>
      </c>
      <c r="D88" s="9" t="s">
        <v>99</v>
      </c>
      <c r="E88" s="9" t="s">
        <v>99</v>
      </c>
      <c r="F88" s="9">
        <v>18000</v>
      </c>
      <c r="G88" s="8">
        <v>17000</v>
      </c>
      <c r="H88" s="10" t="s">
        <v>99</v>
      </c>
      <c r="I88" s="16">
        <v>18000</v>
      </c>
      <c r="J88" s="79">
        <v>18000</v>
      </c>
      <c r="K88" s="67">
        <f t="shared" si="1"/>
        <v>17750</v>
      </c>
    </row>
  </sheetData>
  <mergeCells count="28">
    <mergeCell ref="A63:A66"/>
    <mergeCell ref="A69:A73"/>
    <mergeCell ref="J4:J6"/>
    <mergeCell ref="H4:H6"/>
    <mergeCell ref="A7:A12"/>
    <mergeCell ref="A13:A15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D4:D6"/>
    <mergeCell ref="E4:E6"/>
    <mergeCell ref="F4:F6"/>
  </mergeCells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4062-2693-41C3-B097-F47CA014F996}">
  <dimension ref="A1:N88"/>
  <sheetViews>
    <sheetView zoomScale="55" zoomScaleNormal="55" workbookViewId="0">
      <selection activeCell="K11" sqref="K11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02" t="s">
        <v>88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M1" s="4"/>
      <c r="N1" s="4"/>
    </row>
    <row r="2" spans="1:14" ht="27.75" customHeight="1" x14ac:dyDescent="0.25">
      <c r="A2" s="103" t="s">
        <v>89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M2" s="4"/>
      <c r="N2" s="4"/>
    </row>
    <row r="3" spans="1:14" ht="27.75" customHeight="1" thickBot="1" x14ac:dyDescent="0.3">
      <c r="A3" s="104" t="s">
        <v>139</v>
      </c>
      <c r="B3" s="104"/>
      <c r="C3" s="104"/>
      <c r="D3" s="104"/>
      <c r="E3" s="104"/>
      <c r="F3" s="104"/>
      <c r="G3" s="104"/>
      <c r="H3" s="104"/>
      <c r="I3" s="104"/>
      <c r="J3" s="104"/>
      <c r="K3" s="105"/>
      <c r="M3" s="4"/>
      <c r="N3" s="4"/>
    </row>
    <row r="4" spans="1:14" ht="25.5" customHeight="1" x14ac:dyDescent="0.25">
      <c r="A4" s="96" t="s">
        <v>1</v>
      </c>
      <c r="B4" s="99" t="s">
        <v>2</v>
      </c>
      <c r="C4" s="96" t="s">
        <v>90</v>
      </c>
      <c r="D4" s="110" t="s">
        <v>91</v>
      </c>
      <c r="E4" s="113" t="s">
        <v>92</v>
      </c>
      <c r="F4" s="125" t="s">
        <v>93</v>
      </c>
      <c r="G4" s="128" t="s">
        <v>94</v>
      </c>
      <c r="H4" s="116" t="s">
        <v>95</v>
      </c>
      <c r="I4" s="119" t="s">
        <v>96</v>
      </c>
      <c r="J4" s="106" t="s">
        <v>97</v>
      </c>
      <c r="K4" s="122" t="s">
        <v>98</v>
      </c>
      <c r="M4" s="4"/>
      <c r="N4" s="4"/>
    </row>
    <row r="5" spans="1:14" ht="15" customHeight="1" x14ac:dyDescent="0.25">
      <c r="A5" s="97"/>
      <c r="B5" s="100"/>
      <c r="C5" s="97"/>
      <c r="D5" s="111"/>
      <c r="E5" s="114"/>
      <c r="F5" s="126"/>
      <c r="G5" s="129"/>
      <c r="H5" s="117"/>
      <c r="I5" s="120"/>
      <c r="J5" s="107"/>
      <c r="K5" s="123"/>
      <c r="M5" s="4"/>
      <c r="N5" s="4"/>
    </row>
    <row r="6" spans="1:14" ht="16.5" thickBot="1" x14ac:dyDescent="0.3">
      <c r="A6" s="98"/>
      <c r="B6" s="109"/>
      <c r="C6" s="98"/>
      <c r="D6" s="112"/>
      <c r="E6" s="115"/>
      <c r="F6" s="127"/>
      <c r="G6" s="130"/>
      <c r="H6" s="118"/>
      <c r="I6" s="121"/>
      <c r="J6" s="108"/>
      <c r="K6" s="124"/>
      <c r="M6" s="4"/>
      <c r="N6" s="4"/>
    </row>
    <row r="7" spans="1:14" ht="15.75" x14ac:dyDescent="0.25">
      <c r="A7" s="101">
        <v>1</v>
      </c>
      <c r="B7" s="60" t="s">
        <v>4</v>
      </c>
      <c r="C7" s="61"/>
      <c r="D7" s="62"/>
      <c r="E7" s="17" t="s">
        <v>102</v>
      </c>
      <c r="F7" s="17"/>
      <c r="G7" s="63"/>
      <c r="H7" s="63" t="s">
        <v>1</v>
      </c>
      <c r="I7" s="64"/>
      <c r="J7" s="63"/>
      <c r="K7" s="65"/>
      <c r="M7" s="4"/>
      <c r="N7" s="4"/>
    </row>
    <row r="8" spans="1:14" ht="15.75" x14ac:dyDescent="0.25">
      <c r="A8" s="101"/>
      <c r="B8" s="66" t="s">
        <v>107</v>
      </c>
      <c r="C8" s="17" t="s">
        <v>6</v>
      </c>
      <c r="D8" s="9">
        <v>15500</v>
      </c>
      <c r="E8" s="9">
        <v>15500</v>
      </c>
      <c r="F8" s="9">
        <v>15500</v>
      </c>
      <c r="G8" s="9">
        <v>15500</v>
      </c>
      <c r="H8" s="9">
        <v>17000</v>
      </c>
      <c r="I8" s="9">
        <v>16500</v>
      </c>
      <c r="J8" s="16">
        <v>17000</v>
      </c>
      <c r="K8" s="67">
        <f>AVERAGE(D8:J8)</f>
        <v>16071.428571428571</v>
      </c>
      <c r="L8" s="1"/>
      <c r="M8" s="7"/>
      <c r="N8" s="4"/>
    </row>
    <row r="9" spans="1:14" ht="15.75" x14ac:dyDescent="0.25">
      <c r="A9" s="101"/>
      <c r="B9" s="66" t="s">
        <v>115</v>
      </c>
      <c r="C9" s="17" t="s">
        <v>6</v>
      </c>
      <c r="D9" s="9">
        <v>10900</v>
      </c>
      <c r="E9" s="9">
        <v>10900</v>
      </c>
      <c r="F9" s="9">
        <v>10900</v>
      </c>
      <c r="G9" s="8">
        <v>10900</v>
      </c>
      <c r="H9" s="9">
        <v>12000</v>
      </c>
      <c r="I9" s="9">
        <v>10900</v>
      </c>
      <c r="J9" s="16" t="s">
        <v>99</v>
      </c>
      <c r="K9" s="67">
        <f t="shared" ref="K9:K80" si="0">AVERAGE(D9:J9)</f>
        <v>11083.333333333334</v>
      </c>
      <c r="M9" s="4"/>
      <c r="N9" s="4"/>
    </row>
    <row r="10" spans="1:14" ht="15.75" x14ac:dyDescent="0.25">
      <c r="A10" s="101"/>
      <c r="B10" s="66" t="s">
        <v>108</v>
      </c>
      <c r="C10" s="17" t="s">
        <v>6</v>
      </c>
      <c r="D10" s="9" t="s">
        <v>99</v>
      </c>
      <c r="E10" s="9" t="s">
        <v>99</v>
      </c>
      <c r="F10" s="9" t="s">
        <v>99</v>
      </c>
      <c r="G10" s="8" t="s">
        <v>99</v>
      </c>
      <c r="H10" s="9" t="s">
        <v>99</v>
      </c>
      <c r="I10" s="9" t="s">
        <v>99</v>
      </c>
      <c r="J10" s="16" t="s">
        <v>99</v>
      </c>
      <c r="K10" s="67">
        <v>0</v>
      </c>
      <c r="M10" s="4"/>
      <c r="N10" s="4"/>
    </row>
    <row r="11" spans="1:14" ht="15.75" x14ac:dyDescent="0.25">
      <c r="A11" s="101"/>
      <c r="B11" s="66" t="s">
        <v>9</v>
      </c>
      <c r="C11" s="17" t="s">
        <v>6</v>
      </c>
      <c r="D11" s="9" t="s">
        <v>99</v>
      </c>
      <c r="E11" s="9">
        <v>10000</v>
      </c>
      <c r="F11" s="16">
        <v>12000</v>
      </c>
      <c r="G11" s="8">
        <v>10000</v>
      </c>
      <c r="H11" s="9">
        <v>10000</v>
      </c>
      <c r="I11" s="16">
        <v>12000</v>
      </c>
      <c r="J11" s="16">
        <v>10000</v>
      </c>
      <c r="K11" s="67">
        <f>AVERAGE(D11:J11)</f>
        <v>10666.666666666666</v>
      </c>
      <c r="M11" s="4"/>
      <c r="N11" s="4"/>
    </row>
    <row r="12" spans="1:14" ht="15.75" x14ac:dyDescent="0.25">
      <c r="A12" s="101"/>
      <c r="B12" s="66" t="s">
        <v>10</v>
      </c>
      <c r="C12" s="17" t="s">
        <v>6</v>
      </c>
      <c r="D12" s="9" t="s">
        <v>99</v>
      </c>
      <c r="E12" s="9">
        <v>21000</v>
      </c>
      <c r="F12" s="16">
        <v>16000</v>
      </c>
      <c r="G12" s="8">
        <v>18000</v>
      </c>
      <c r="H12" s="9">
        <v>25000</v>
      </c>
      <c r="I12" s="16">
        <v>17000</v>
      </c>
      <c r="J12" s="16">
        <v>17000</v>
      </c>
      <c r="K12" s="67">
        <f t="shared" si="0"/>
        <v>19000</v>
      </c>
      <c r="M12" s="4"/>
      <c r="N12" s="12"/>
    </row>
    <row r="13" spans="1:14" ht="15.75" x14ac:dyDescent="0.25">
      <c r="A13" s="101">
        <v>2</v>
      </c>
      <c r="B13" s="60" t="s">
        <v>11</v>
      </c>
      <c r="C13" s="68"/>
      <c r="D13" s="62"/>
      <c r="E13" s="92"/>
      <c r="F13" s="17"/>
      <c r="G13" s="70"/>
      <c r="H13" s="70"/>
      <c r="I13" s="70"/>
      <c r="J13" s="70"/>
      <c r="K13" s="71"/>
      <c r="M13" s="4"/>
      <c r="N13" s="4"/>
    </row>
    <row r="14" spans="1:14" ht="15.75" x14ac:dyDescent="0.25">
      <c r="A14" s="101"/>
      <c r="B14" s="66" t="s">
        <v>116</v>
      </c>
      <c r="C14" s="17" t="s">
        <v>6</v>
      </c>
      <c r="D14" s="9">
        <v>16000</v>
      </c>
      <c r="E14" s="9">
        <v>16500</v>
      </c>
      <c r="F14" s="9">
        <v>16000</v>
      </c>
      <c r="G14" s="16">
        <v>16000</v>
      </c>
      <c r="H14" s="9">
        <v>16500</v>
      </c>
      <c r="I14" s="9">
        <v>16500</v>
      </c>
      <c r="J14" s="72">
        <v>16500</v>
      </c>
      <c r="K14" s="67">
        <f t="shared" si="0"/>
        <v>16285.714285714286</v>
      </c>
      <c r="M14" s="4"/>
      <c r="N14" s="4"/>
    </row>
    <row r="15" spans="1:14" ht="15.75" x14ac:dyDescent="0.25">
      <c r="A15" s="101"/>
      <c r="B15" s="66" t="s">
        <v>13</v>
      </c>
      <c r="C15" s="17" t="s">
        <v>6</v>
      </c>
      <c r="D15" s="9">
        <v>17000</v>
      </c>
      <c r="E15" s="9">
        <v>16000</v>
      </c>
      <c r="F15" s="16">
        <v>16000</v>
      </c>
      <c r="G15" s="8">
        <v>16000</v>
      </c>
      <c r="H15" s="9">
        <v>17000</v>
      </c>
      <c r="I15" s="9">
        <v>16000</v>
      </c>
      <c r="J15" s="72">
        <v>18000</v>
      </c>
      <c r="K15" s="67">
        <f>AVERAGE(D15:J15)</f>
        <v>16571.428571428572</v>
      </c>
      <c r="M15" s="4"/>
      <c r="N15" s="4"/>
    </row>
    <row r="16" spans="1:14" ht="15.75" x14ac:dyDescent="0.25">
      <c r="A16" s="101">
        <v>3</v>
      </c>
      <c r="B16" s="60" t="s">
        <v>14</v>
      </c>
      <c r="C16" s="73"/>
      <c r="D16" s="74"/>
      <c r="E16" s="15"/>
      <c r="F16" s="15"/>
      <c r="G16" s="15"/>
      <c r="H16" s="15"/>
      <c r="I16" s="15" t="s">
        <v>130</v>
      </c>
      <c r="J16" s="75"/>
      <c r="K16" s="71"/>
      <c r="M16" s="4"/>
      <c r="N16" s="4"/>
    </row>
    <row r="17" spans="1:14" ht="15.75" x14ac:dyDescent="0.25">
      <c r="A17" s="101"/>
      <c r="B17" s="66" t="s">
        <v>15</v>
      </c>
      <c r="C17" s="17" t="s">
        <v>6</v>
      </c>
      <c r="D17" s="9">
        <v>15000</v>
      </c>
      <c r="E17" s="9">
        <v>15000</v>
      </c>
      <c r="F17" s="9">
        <v>14000</v>
      </c>
      <c r="G17" s="9">
        <v>15000</v>
      </c>
      <c r="H17" s="9">
        <v>16000</v>
      </c>
      <c r="I17" s="9">
        <v>16000</v>
      </c>
      <c r="J17" s="72">
        <v>16000</v>
      </c>
      <c r="K17" s="67">
        <f t="shared" si="0"/>
        <v>15285.714285714286</v>
      </c>
      <c r="M17" s="4"/>
      <c r="N17" s="4"/>
    </row>
    <row r="18" spans="1:14" ht="15.75" x14ac:dyDescent="0.25">
      <c r="A18" s="59"/>
      <c r="B18" s="66" t="s">
        <v>109</v>
      </c>
      <c r="C18" s="17" t="s">
        <v>110</v>
      </c>
      <c r="D18" s="9">
        <v>14000</v>
      </c>
      <c r="E18" s="9">
        <v>14000</v>
      </c>
      <c r="F18" s="9">
        <v>14000</v>
      </c>
      <c r="G18" s="9">
        <v>14000</v>
      </c>
      <c r="H18" s="9" t="s">
        <v>99</v>
      </c>
      <c r="I18" s="9">
        <v>14000</v>
      </c>
      <c r="J18" s="72">
        <v>14000</v>
      </c>
      <c r="K18" s="67">
        <f t="shared" si="0"/>
        <v>14000</v>
      </c>
      <c r="M18" s="4"/>
      <c r="N18" s="4"/>
    </row>
    <row r="19" spans="1:14" ht="17.25" customHeight="1" x14ac:dyDescent="0.25">
      <c r="A19" s="101">
        <v>4</v>
      </c>
      <c r="B19" s="60" t="s">
        <v>16</v>
      </c>
      <c r="C19" s="73"/>
      <c r="D19" s="74"/>
      <c r="E19" s="15"/>
      <c r="F19" s="15"/>
      <c r="G19" s="76"/>
      <c r="H19" s="15"/>
      <c r="I19" s="15"/>
      <c r="J19" s="75"/>
      <c r="K19" s="71"/>
      <c r="M19" s="4"/>
      <c r="N19" s="4"/>
    </row>
    <row r="20" spans="1:14" ht="15.75" x14ac:dyDescent="0.25">
      <c r="A20" s="101"/>
      <c r="B20" s="66" t="s">
        <v>17</v>
      </c>
      <c r="C20" s="17" t="s">
        <v>6</v>
      </c>
      <c r="D20" s="9">
        <v>20000</v>
      </c>
      <c r="E20" s="9">
        <v>20000</v>
      </c>
      <c r="F20" s="16">
        <v>20000</v>
      </c>
      <c r="G20" s="8">
        <v>22000</v>
      </c>
      <c r="H20" s="16">
        <v>33000</v>
      </c>
      <c r="I20" s="16">
        <v>20000</v>
      </c>
      <c r="J20" s="77" t="s">
        <v>99</v>
      </c>
      <c r="K20" s="67">
        <f t="shared" si="0"/>
        <v>22500</v>
      </c>
      <c r="M20" s="4"/>
      <c r="N20" s="4"/>
    </row>
    <row r="21" spans="1:14" ht="15.75" x14ac:dyDescent="0.25">
      <c r="A21" s="101">
        <v>5</v>
      </c>
      <c r="B21" s="60" t="s">
        <v>18</v>
      </c>
      <c r="C21" s="73"/>
      <c r="D21" s="74"/>
      <c r="E21" s="17"/>
      <c r="F21" s="15" t="s">
        <v>1</v>
      </c>
      <c r="G21" s="76"/>
      <c r="H21" s="15"/>
      <c r="I21" s="15"/>
      <c r="J21" s="75"/>
      <c r="K21" s="71"/>
      <c r="M21" s="4"/>
      <c r="N21" s="4"/>
    </row>
    <row r="22" spans="1:14" ht="15.75" x14ac:dyDescent="0.25">
      <c r="A22" s="101"/>
      <c r="B22" s="66" t="s">
        <v>19</v>
      </c>
      <c r="C22" s="17" t="s">
        <v>6</v>
      </c>
      <c r="D22" s="9">
        <v>120000</v>
      </c>
      <c r="E22" s="9">
        <v>120000</v>
      </c>
      <c r="F22" s="9">
        <v>120000</v>
      </c>
      <c r="G22" s="9">
        <v>120000</v>
      </c>
      <c r="H22" s="9">
        <v>120000</v>
      </c>
      <c r="I22" s="8">
        <v>120000</v>
      </c>
      <c r="J22" s="72" t="s">
        <v>99</v>
      </c>
      <c r="K22" s="67">
        <f t="shared" si="0"/>
        <v>120000</v>
      </c>
      <c r="M22" s="4"/>
      <c r="N22" s="4"/>
    </row>
    <row r="23" spans="1:14" ht="15.75" x14ac:dyDescent="0.25">
      <c r="A23" s="101"/>
      <c r="B23" s="66" t="s">
        <v>20</v>
      </c>
      <c r="C23" s="17" t="s">
        <v>6</v>
      </c>
      <c r="D23" s="9">
        <v>110000</v>
      </c>
      <c r="E23" s="9">
        <v>110000</v>
      </c>
      <c r="F23" s="9">
        <v>110000</v>
      </c>
      <c r="G23" s="9">
        <v>110000</v>
      </c>
      <c r="H23" s="9">
        <v>115000</v>
      </c>
      <c r="I23" s="9">
        <v>110000</v>
      </c>
      <c r="J23" s="72">
        <v>110000</v>
      </c>
      <c r="K23" s="67">
        <f t="shared" si="0"/>
        <v>110714.28571428571</v>
      </c>
      <c r="M23" s="4"/>
      <c r="N23" s="4"/>
    </row>
    <row r="24" spans="1:14" ht="15.75" x14ac:dyDescent="0.25">
      <c r="A24" s="101"/>
      <c r="B24" s="66" t="s">
        <v>21</v>
      </c>
      <c r="C24" s="17" t="s">
        <v>6</v>
      </c>
      <c r="D24" s="9">
        <v>90000</v>
      </c>
      <c r="E24" s="9">
        <v>90000</v>
      </c>
      <c r="F24" s="9">
        <v>100000</v>
      </c>
      <c r="G24" s="9">
        <v>105000</v>
      </c>
      <c r="H24" s="9">
        <v>110000</v>
      </c>
      <c r="I24" s="8">
        <v>100000</v>
      </c>
      <c r="J24" s="72">
        <v>105000</v>
      </c>
      <c r="K24" s="67">
        <f t="shared" si="0"/>
        <v>100000</v>
      </c>
      <c r="M24" s="4"/>
      <c r="N24" s="4"/>
    </row>
    <row r="25" spans="1:14" ht="15.75" x14ac:dyDescent="0.25">
      <c r="A25" s="101"/>
      <c r="B25" s="66" t="s">
        <v>22</v>
      </c>
      <c r="C25" s="17" t="s">
        <v>6</v>
      </c>
      <c r="D25" s="9">
        <v>34000</v>
      </c>
      <c r="E25" s="9">
        <v>31000</v>
      </c>
      <c r="F25" s="9">
        <v>32000</v>
      </c>
      <c r="G25" s="9">
        <v>32000</v>
      </c>
      <c r="H25" s="72">
        <v>33000</v>
      </c>
      <c r="I25" s="9">
        <v>34000</v>
      </c>
      <c r="J25" s="72">
        <v>35000</v>
      </c>
      <c r="K25" s="67">
        <f t="shared" si="0"/>
        <v>33000</v>
      </c>
      <c r="M25" s="4"/>
      <c r="N25" s="4"/>
    </row>
    <row r="26" spans="1:14" ht="15.75" x14ac:dyDescent="0.25">
      <c r="A26" s="101">
        <v>6</v>
      </c>
      <c r="B26" s="60" t="s">
        <v>23</v>
      </c>
      <c r="C26" s="73"/>
      <c r="D26" s="74"/>
      <c r="E26" s="17"/>
      <c r="F26" s="76"/>
      <c r="G26" s="15"/>
      <c r="H26" s="75"/>
      <c r="I26" s="15"/>
      <c r="J26" s="75"/>
      <c r="K26" s="71"/>
      <c r="M26" s="4"/>
      <c r="N26" s="4"/>
    </row>
    <row r="27" spans="1:14" ht="15.75" x14ac:dyDescent="0.25">
      <c r="A27" s="101"/>
      <c r="B27" s="66" t="s">
        <v>24</v>
      </c>
      <c r="C27" s="17" t="s">
        <v>6</v>
      </c>
      <c r="D27" s="9">
        <v>34000</v>
      </c>
      <c r="E27" s="9">
        <v>35000</v>
      </c>
      <c r="F27" s="9" t="s">
        <v>99</v>
      </c>
      <c r="G27" s="9">
        <v>40000</v>
      </c>
      <c r="H27" s="9">
        <v>30000</v>
      </c>
      <c r="I27" s="9" t="s">
        <v>99</v>
      </c>
      <c r="J27" s="72">
        <v>30000</v>
      </c>
      <c r="K27" s="67">
        <f t="shared" si="0"/>
        <v>33800</v>
      </c>
      <c r="L27" t="s">
        <v>100</v>
      </c>
      <c r="M27" s="4"/>
      <c r="N27" s="4"/>
    </row>
    <row r="28" spans="1:14" ht="15.75" x14ac:dyDescent="0.25">
      <c r="A28" s="101"/>
      <c r="B28" s="66" t="s">
        <v>25</v>
      </c>
      <c r="C28" s="17" t="s">
        <v>6</v>
      </c>
      <c r="D28" s="9">
        <v>36000</v>
      </c>
      <c r="E28" s="9">
        <v>28000</v>
      </c>
      <c r="F28" s="9">
        <v>35000</v>
      </c>
      <c r="G28" s="8">
        <v>30000</v>
      </c>
      <c r="H28" s="9">
        <v>22000</v>
      </c>
      <c r="I28" s="9">
        <v>30000</v>
      </c>
      <c r="J28" s="78">
        <v>30000</v>
      </c>
      <c r="K28" s="67">
        <f t="shared" si="0"/>
        <v>30142.857142857141</v>
      </c>
      <c r="M28" s="4"/>
      <c r="N28" s="4"/>
    </row>
    <row r="29" spans="1:14" ht="15.75" x14ac:dyDescent="0.25">
      <c r="A29" s="101"/>
      <c r="B29" s="66" t="s">
        <v>26</v>
      </c>
      <c r="C29" s="17" t="s">
        <v>6</v>
      </c>
      <c r="D29" s="9">
        <v>60000</v>
      </c>
      <c r="E29" s="9">
        <v>60000</v>
      </c>
      <c r="F29" s="16">
        <v>60000</v>
      </c>
      <c r="G29" s="8">
        <v>70000</v>
      </c>
      <c r="H29" s="9">
        <v>63000</v>
      </c>
      <c r="I29" s="9">
        <v>60000</v>
      </c>
      <c r="J29" s="79">
        <v>60000</v>
      </c>
      <c r="K29" s="67">
        <f t="shared" si="0"/>
        <v>61857.142857142855</v>
      </c>
      <c r="M29" s="4"/>
      <c r="N29" s="4"/>
    </row>
    <row r="30" spans="1:14" ht="15.75" x14ac:dyDescent="0.25">
      <c r="A30" s="101"/>
      <c r="B30" s="66" t="s">
        <v>27</v>
      </c>
      <c r="C30" s="17" t="s">
        <v>6</v>
      </c>
      <c r="D30" s="9">
        <v>25000</v>
      </c>
      <c r="E30" s="9" t="s">
        <v>99</v>
      </c>
      <c r="F30" s="10" t="s">
        <v>99</v>
      </c>
      <c r="G30" s="8">
        <v>25000</v>
      </c>
      <c r="H30" s="9">
        <v>23000</v>
      </c>
      <c r="I30" s="9" t="s">
        <v>99</v>
      </c>
      <c r="J30" s="79">
        <v>26000</v>
      </c>
      <c r="K30" s="67">
        <f t="shared" si="0"/>
        <v>24750</v>
      </c>
      <c r="M30" s="4"/>
      <c r="N30" s="4"/>
    </row>
    <row r="31" spans="1:14" ht="15.75" x14ac:dyDescent="0.25">
      <c r="A31" s="101"/>
      <c r="B31" s="66" t="s">
        <v>28</v>
      </c>
      <c r="C31" s="17" t="s">
        <v>6</v>
      </c>
      <c r="D31" s="9">
        <v>35000</v>
      </c>
      <c r="E31" s="9">
        <v>36000</v>
      </c>
      <c r="F31" s="9">
        <v>40000</v>
      </c>
      <c r="G31" s="9">
        <v>40000</v>
      </c>
      <c r="H31" s="9">
        <v>28000</v>
      </c>
      <c r="I31" s="9">
        <v>36000</v>
      </c>
      <c r="J31" s="72">
        <v>35000</v>
      </c>
      <c r="K31" s="67">
        <f t="shared" si="0"/>
        <v>35714.285714285717</v>
      </c>
      <c r="M31" s="4"/>
      <c r="N31" s="4"/>
    </row>
    <row r="32" spans="1:14" ht="15.75" x14ac:dyDescent="0.25">
      <c r="A32" s="101"/>
      <c r="B32" s="66" t="s">
        <v>29</v>
      </c>
      <c r="C32" s="17" t="s">
        <v>6</v>
      </c>
      <c r="D32" s="9" t="s">
        <v>99</v>
      </c>
      <c r="E32" s="9">
        <v>100000</v>
      </c>
      <c r="F32" s="9">
        <v>100000</v>
      </c>
      <c r="G32" s="9" t="s">
        <v>99</v>
      </c>
      <c r="H32" s="9">
        <v>80000</v>
      </c>
      <c r="I32" s="9" t="s">
        <v>99</v>
      </c>
      <c r="J32" s="79">
        <v>70000</v>
      </c>
      <c r="K32" s="67">
        <f t="shared" si="0"/>
        <v>87500</v>
      </c>
      <c r="M32" s="4"/>
      <c r="N32" s="4"/>
    </row>
    <row r="33" spans="1:14" ht="15.75" x14ac:dyDescent="0.25">
      <c r="A33" s="101">
        <v>7</v>
      </c>
      <c r="B33" s="60" t="s">
        <v>30</v>
      </c>
      <c r="C33" s="73"/>
      <c r="D33" s="74"/>
      <c r="E33" s="17"/>
      <c r="F33" s="76"/>
      <c r="G33" s="76"/>
      <c r="H33" s="15"/>
      <c r="I33" s="15"/>
      <c r="J33" s="75"/>
      <c r="K33" s="71"/>
      <c r="M33" s="4"/>
      <c r="N33" s="4"/>
    </row>
    <row r="34" spans="1:14" ht="15.75" x14ac:dyDescent="0.25">
      <c r="A34" s="101"/>
      <c r="B34" s="66" t="s">
        <v>31</v>
      </c>
      <c r="C34" s="17" t="s">
        <v>6</v>
      </c>
      <c r="D34" s="9">
        <v>27000</v>
      </c>
      <c r="E34" s="9">
        <v>26500</v>
      </c>
      <c r="F34" s="9">
        <v>26000</v>
      </c>
      <c r="G34" s="9">
        <v>26000</v>
      </c>
      <c r="H34" s="9">
        <v>26000</v>
      </c>
      <c r="I34" s="9">
        <v>27000</v>
      </c>
      <c r="J34" s="72">
        <v>27500</v>
      </c>
      <c r="K34" s="67">
        <f t="shared" si="0"/>
        <v>26571.428571428572</v>
      </c>
      <c r="M34" s="4"/>
      <c r="N34" s="4"/>
    </row>
    <row r="35" spans="1:14" ht="15.75" x14ac:dyDescent="0.25">
      <c r="A35" s="101"/>
      <c r="B35" s="66" t="s">
        <v>32</v>
      </c>
      <c r="C35" s="17" t="s">
        <v>33</v>
      </c>
      <c r="D35" s="9">
        <v>3000</v>
      </c>
      <c r="E35" s="9">
        <v>2500</v>
      </c>
      <c r="F35" s="9">
        <v>2500</v>
      </c>
      <c r="G35" s="9">
        <v>2800</v>
      </c>
      <c r="H35" s="9">
        <v>2500</v>
      </c>
      <c r="I35" s="9">
        <v>3000</v>
      </c>
      <c r="J35" s="72">
        <v>3000</v>
      </c>
      <c r="K35" s="67">
        <f t="shared" si="0"/>
        <v>2757.1428571428573</v>
      </c>
      <c r="M35" s="4"/>
      <c r="N35" s="4"/>
    </row>
    <row r="36" spans="1:14" ht="15.75" x14ac:dyDescent="0.25">
      <c r="A36" s="59">
        <v>8</v>
      </c>
      <c r="B36" s="73" t="s">
        <v>117</v>
      </c>
      <c r="C36" s="80"/>
      <c r="D36" s="9"/>
      <c r="E36" s="9"/>
      <c r="F36" s="9"/>
      <c r="G36" s="9"/>
      <c r="H36" s="9"/>
      <c r="I36" s="9"/>
      <c r="J36" s="72"/>
      <c r="K36" s="81"/>
      <c r="M36" s="4"/>
      <c r="N36" s="4"/>
    </row>
    <row r="37" spans="1:14" ht="15.75" x14ac:dyDescent="0.25">
      <c r="A37" s="59"/>
      <c r="B37" s="66" t="s">
        <v>118</v>
      </c>
      <c r="C37" s="17" t="s">
        <v>6</v>
      </c>
      <c r="D37" s="9">
        <v>10000</v>
      </c>
      <c r="E37" s="9">
        <v>1250</v>
      </c>
      <c r="F37" s="9">
        <v>9000</v>
      </c>
      <c r="G37" s="9">
        <v>9000</v>
      </c>
      <c r="H37" s="9">
        <v>16000</v>
      </c>
      <c r="I37" s="9">
        <v>9000</v>
      </c>
      <c r="J37" s="72">
        <v>3000</v>
      </c>
      <c r="K37" s="67">
        <f t="shared" si="0"/>
        <v>8178.5714285714284</v>
      </c>
      <c r="M37" s="4"/>
      <c r="N37" s="4"/>
    </row>
    <row r="38" spans="1:14" ht="15.75" x14ac:dyDescent="0.25">
      <c r="A38" s="59"/>
      <c r="B38" s="66" t="s">
        <v>119</v>
      </c>
      <c r="C38" s="17" t="s">
        <v>6</v>
      </c>
      <c r="D38" s="9" t="s">
        <v>99</v>
      </c>
      <c r="E38" s="9">
        <v>10000</v>
      </c>
      <c r="F38" s="9">
        <v>12000</v>
      </c>
      <c r="G38" s="9">
        <v>14000</v>
      </c>
      <c r="H38" s="9" t="s">
        <v>99</v>
      </c>
      <c r="I38" s="9">
        <v>12000</v>
      </c>
      <c r="J38" s="72">
        <v>12000</v>
      </c>
      <c r="K38" s="67">
        <f>AVERAGE(D38:J38)</f>
        <v>12000</v>
      </c>
      <c r="M38" s="4"/>
      <c r="N38" s="4"/>
    </row>
    <row r="39" spans="1:14" ht="15.75" x14ac:dyDescent="0.25">
      <c r="A39" s="59">
        <v>9</v>
      </c>
      <c r="B39" s="82" t="s">
        <v>120</v>
      </c>
      <c r="C39" s="83"/>
      <c r="D39" s="9"/>
      <c r="E39" s="9"/>
      <c r="F39" s="9"/>
      <c r="G39" s="9"/>
      <c r="H39" s="9"/>
      <c r="I39" s="9"/>
      <c r="J39" s="72"/>
      <c r="K39" s="81"/>
      <c r="M39" s="4"/>
      <c r="N39" s="4"/>
    </row>
    <row r="40" spans="1:14" ht="15.75" x14ac:dyDescent="0.25">
      <c r="A40" s="59"/>
      <c r="B40" s="66" t="s">
        <v>121</v>
      </c>
      <c r="C40" s="17" t="s">
        <v>6</v>
      </c>
      <c r="D40" s="9" t="s">
        <v>99</v>
      </c>
      <c r="E40" s="9" t="s">
        <v>99</v>
      </c>
      <c r="F40" s="9" t="s">
        <v>99</v>
      </c>
      <c r="G40" s="9">
        <v>16000</v>
      </c>
      <c r="H40" s="9">
        <v>14000</v>
      </c>
      <c r="I40" s="9" t="s">
        <v>99</v>
      </c>
      <c r="J40" s="72">
        <v>15000</v>
      </c>
      <c r="K40" s="67">
        <f t="shared" si="0"/>
        <v>15000</v>
      </c>
      <c r="M40" s="4"/>
      <c r="N40" s="4"/>
    </row>
    <row r="41" spans="1:14" ht="15.75" x14ac:dyDescent="0.25">
      <c r="A41" s="59"/>
      <c r="B41" s="66" t="s">
        <v>122</v>
      </c>
      <c r="C41" s="17" t="s">
        <v>6</v>
      </c>
      <c r="D41" s="9" t="s">
        <v>99</v>
      </c>
      <c r="E41" s="9" t="s">
        <v>99</v>
      </c>
      <c r="F41" s="9">
        <v>6000</v>
      </c>
      <c r="G41" s="9" t="s">
        <v>99</v>
      </c>
      <c r="H41" s="9" t="s">
        <v>99</v>
      </c>
      <c r="I41" s="9">
        <v>6000</v>
      </c>
      <c r="J41" s="72" t="s">
        <v>99</v>
      </c>
      <c r="K41" s="67">
        <f t="shared" si="0"/>
        <v>6000</v>
      </c>
      <c r="M41" s="4"/>
      <c r="N41" s="4"/>
    </row>
    <row r="42" spans="1:14" ht="15.75" x14ac:dyDescent="0.25">
      <c r="A42" s="59"/>
      <c r="B42" s="66" t="s">
        <v>123</v>
      </c>
      <c r="C42" s="17" t="s">
        <v>6</v>
      </c>
      <c r="D42" s="9" t="s">
        <v>99</v>
      </c>
      <c r="E42" s="9">
        <v>2500</v>
      </c>
      <c r="F42" s="9" t="s">
        <v>99</v>
      </c>
      <c r="G42" s="9" t="s">
        <v>99</v>
      </c>
      <c r="H42" s="9" t="s">
        <v>99</v>
      </c>
      <c r="I42" s="9" t="s">
        <v>99</v>
      </c>
      <c r="J42" s="72" t="s">
        <v>99</v>
      </c>
      <c r="K42" s="67">
        <f t="shared" si="0"/>
        <v>2500</v>
      </c>
      <c r="M42" s="4"/>
      <c r="N42" s="4"/>
    </row>
    <row r="43" spans="1:14" ht="15.75" x14ac:dyDescent="0.25">
      <c r="A43" s="101">
        <v>10</v>
      </c>
      <c r="B43" s="60" t="s">
        <v>34</v>
      </c>
      <c r="C43" s="73"/>
      <c r="D43" s="74"/>
      <c r="E43" s="17"/>
      <c r="F43" s="76"/>
      <c r="G43" s="15"/>
      <c r="H43" s="15"/>
      <c r="I43" s="15"/>
      <c r="J43" s="84"/>
      <c r="K43" s="71"/>
      <c r="M43" s="4"/>
      <c r="N43" s="4"/>
    </row>
    <row r="44" spans="1:14" ht="15.75" x14ac:dyDescent="0.25">
      <c r="A44" s="101"/>
      <c r="B44" s="66" t="s">
        <v>35</v>
      </c>
      <c r="C44" s="17" t="s">
        <v>36</v>
      </c>
      <c r="D44" s="9">
        <v>12000</v>
      </c>
      <c r="E44" s="9">
        <v>12000</v>
      </c>
      <c r="F44" s="9">
        <v>12500</v>
      </c>
      <c r="G44" s="9">
        <v>12500</v>
      </c>
      <c r="H44" s="10" t="s">
        <v>99</v>
      </c>
      <c r="I44" s="16">
        <v>12500</v>
      </c>
      <c r="J44" s="72">
        <v>12500</v>
      </c>
      <c r="K44" s="67">
        <f t="shared" si="0"/>
        <v>12333.333333333334</v>
      </c>
      <c r="M44" s="4"/>
      <c r="N44" s="4"/>
    </row>
    <row r="45" spans="1:14" ht="15.75" x14ac:dyDescent="0.25">
      <c r="A45" s="101"/>
      <c r="B45" s="66" t="s">
        <v>124</v>
      </c>
      <c r="C45" s="17" t="s">
        <v>36</v>
      </c>
      <c r="D45" s="9">
        <v>12000</v>
      </c>
      <c r="E45" s="9">
        <v>13000</v>
      </c>
      <c r="F45" s="16">
        <v>12500</v>
      </c>
      <c r="G45" s="9">
        <v>12500</v>
      </c>
      <c r="H45" s="10" t="s">
        <v>99</v>
      </c>
      <c r="I45" s="16">
        <v>12500</v>
      </c>
      <c r="J45" s="79">
        <v>12500</v>
      </c>
      <c r="K45" s="67">
        <f>AVERAGE(D45:J45)</f>
        <v>12500</v>
      </c>
      <c r="M45" s="4"/>
      <c r="N45" s="4"/>
    </row>
    <row r="46" spans="1:14" ht="15.75" x14ac:dyDescent="0.25">
      <c r="A46" s="101">
        <v>11</v>
      </c>
      <c r="B46" s="60" t="s">
        <v>38</v>
      </c>
      <c r="C46" s="73"/>
      <c r="D46" s="74"/>
      <c r="E46" s="17"/>
      <c r="F46" s="15"/>
      <c r="G46" s="76"/>
      <c r="H46" s="15"/>
      <c r="I46" s="15"/>
      <c r="J46" s="75"/>
      <c r="K46" s="71"/>
      <c r="M46" s="4"/>
      <c r="N46" s="4"/>
    </row>
    <row r="47" spans="1:14" ht="15.75" x14ac:dyDescent="0.25">
      <c r="A47" s="101"/>
      <c r="B47" s="66" t="s">
        <v>39</v>
      </c>
      <c r="C47" s="17" t="s">
        <v>40</v>
      </c>
      <c r="D47" s="9" t="s">
        <v>99</v>
      </c>
      <c r="E47" s="9" t="s">
        <v>99</v>
      </c>
      <c r="F47" s="10" t="s">
        <v>99</v>
      </c>
      <c r="G47" s="8" t="s">
        <v>99</v>
      </c>
      <c r="H47" s="9">
        <v>17500</v>
      </c>
      <c r="I47" s="16" t="s">
        <v>99</v>
      </c>
      <c r="J47" s="79" t="s">
        <v>99</v>
      </c>
      <c r="K47" s="67">
        <f t="shared" si="0"/>
        <v>17500</v>
      </c>
      <c r="M47" s="4"/>
      <c r="N47" s="4"/>
    </row>
    <row r="48" spans="1:14" ht="15.75" x14ac:dyDescent="0.25">
      <c r="A48" s="101"/>
      <c r="B48" s="66" t="s">
        <v>41</v>
      </c>
      <c r="C48" s="17" t="s">
        <v>42</v>
      </c>
      <c r="D48" s="9" t="s">
        <v>99</v>
      </c>
      <c r="E48" s="9" t="s">
        <v>99</v>
      </c>
      <c r="F48" s="10" t="s">
        <v>99</v>
      </c>
      <c r="G48" s="8" t="s">
        <v>99</v>
      </c>
      <c r="H48" s="9">
        <v>2000</v>
      </c>
      <c r="I48" s="16" t="s">
        <v>99</v>
      </c>
      <c r="J48" s="79" t="s">
        <v>99</v>
      </c>
      <c r="K48" s="67">
        <f t="shared" si="0"/>
        <v>2000</v>
      </c>
      <c r="M48" s="4"/>
      <c r="N48" s="4"/>
    </row>
    <row r="49" spans="1:14" ht="15.75" x14ac:dyDescent="0.25">
      <c r="A49" s="59">
        <v>12</v>
      </c>
      <c r="B49" s="85" t="s">
        <v>43</v>
      </c>
      <c r="C49" s="80"/>
      <c r="D49" s="19"/>
      <c r="E49" s="10"/>
      <c r="F49" s="10"/>
      <c r="G49" s="22"/>
      <c r="H49" s="10"/>
      <c r="I49" s="10"/>
      <c r="J49" s="77"/>
      <c r="K49" s="71"/>
      <c r="M49" s="4"/>
      <c r="N49" s="4"/>
    </row>
    <row r="50" spans="1:14" ht="15.75" x14ac:dyDescent="0.25">
      <c r="A50" s="59"/>
      <c r="B50" s="66" t="s">
        <v>44</v>
      </c>
      <c r="C50" s="86" t="s">
        <v>6</v>
      </c>
      <c r="D50" s="9" t="s">
        <v>99</v>
      </c>
      <c r="E50" s="9">
        <v>8000</v>
      </c>
      <c r="F50" s="9">
        <v>10000</v>
      </c>
      <c r="G50" s="9">
        <v>10000</v>
      </c>
      <c r="H50" s="9">
        <v>15000</v>
      </c>
      <c r="I50" s="8">
        <v>15000</v>
      </c>
      <c r="J50" s="72">
        <v>15000</v>
      </c>
      <c r="K50" s="67">
        <f t="shared" si="0"/>
        <v>12166.666666666666</v>
      </c>
      <c r="M50" s="4" t="s">
        <v>101</v>
      </c>
      <c r="N50" s="4"/>
    </row>
    <row r="51" spans="1:14" ht="15.75" x14ac:dyDescent="0.25">
      <c r="A51" s="59"/>
      <c r="B51" s="66" t="s">
        <v>45</v>
      </c>
      <c r="C51" s="86" t="s">
        <v>6</v>
      </c>
      <c r="D51" s="9">
        <v>15000</v>
      </c>
      <c r="E51" s="9">
        <v>10000</v>
      </c>
      <c r="F51" s="8">
        <v>9000</v>
      </c>
      <c r="G51" s="9">
        <v>10000</v>
      </c>
      <c r="H51" s="9">
        <v>12000</v>
      </c>
      <c r="I51" s="9">
        <v>12000</v>
      </c>
      <c r="J51" s="72">
        <v>10000</v>
      </c>
      <c r="K51" s="67">
        <f t="shared" si="0"/>
        <v>11142.857142857143</v>
      </c>
      <c r="M51" s="4"/>
      <c r="N51" s="23"/>
    </row>
    <row r="52" spans="1:14" ht="15.75" x14ac:dyDescent="0.25">
      <c r="A52" s="101">
        <v>13</v>
      </c>
      <c r="B52" s="60" t="s">
        <v>46</v>
      </c>
      <c r="C52" s="73"/>
      <c r="D52" s="74"/>
      <c r="E52" s="17"/>
      <c r="F52" s="76"/>
      <c r="G52" s="76"/>
      <c r="H52" s="15"/>
      <c r="I52" s="15"/>
      <c r="J52" s="84"/>
      <c r="K52" s="71"/>
      <c r="M52" s="4"/>
      <c r="N52" s="4"/>
    </row>
    <row r="53" spans="1:14" ht="15.75" x14ac:dyDescent="0.25">
      <c r="A53" s="101"/>
      <c r="B53" s="66" t="s">
        <v>47</v>
      </c>
      <c r="C53" s="17" t="s">
        <v>125</v>
      </c>
      <c r="D53" s="9">
        <v>3000</v>
      </c>
      <c r="E53" s="9">
        <v>4000</v>
      </c>
      <c r="F53" s="9">
        <v>5000</v>
      </c>
      <c r="G53" s="9">
        <v>5000</v>
      </c>
      <c r="H53" s="9">
        <v>2500</v>
      </c>
      <c r="I53" s="16">
        <v>5000</v>
      </c>
      <c r="J53" s="72">
        <v>2500</v>
      </c>
      <c r="K53" s="67">
        <f t="shared" si="0"/>
        <v>3857.1428571428573</v>
      </c>
      <c r="M53" s="4"/>
      <c r="N53" s="4"/>
    </row>
    <row r="54" spans="1:14" ht="15.75" x14ac:dyDescent="0.25">
      <c r="A54" s="101">
        <v>14</v>
      </c>
      <c r="B54" s="60" t="s">
        <v>49</v>
      </c>
      <c r="C54" s="80"/>
      <c r="D54" s="62"/>
      <c r="E54" s="17"/>
      <c r="F54" s="20"/>
      <c r="G54" s="20"/>
      <c r="H54" s="17"/>
      <c r="I54" s="17"/>
      <c r="J54" s="87"/>
      <c r="K54" s="71"/>
      <c r="M54" s="4"/>
      <c r="N54" s="4"/>
    </row>
    <row r="55" spans="1:14" ht="15.75" x14ac:dyDescent="0.25">
      <c r="A55" s="101"/>
      <c r="B55" s="88" t="s">
        <v>50</v>
      </c>
      <c r="C55" s="86" t="s">
        <v>6</v>
      </c>
      <c r="D55" s="9">
        <v>10000</v>
      </c>
      <c r="E55" s="9">
        <v>10500</v>
      </c>
      <c r="F55" s="9">
        <v>10000</v>
      </c>
      <c r="G55" s="9">
        <v>11000</v>
      </c>
      <c r="H55" s="9">
        <v>12000</v>
      </c>
      <c r="I55" s="9">
        <v>10000</v>
      </c>
      <c r="J55" s="72">
        <v>10000</v>
      </c>
      <c r="K55" s="67">
        <f t="shared" si="0"/>
        <v>10500</v>
      </c>
      <c r="M55" s="4"/>
      <c r="N55" s="4"/>
    </row>
    <row r="56" spans="1:14" ht="15.75" x14ac:dyDescent="0.25">
      <c r="A56" s="101">
        <v>15</v>
      </c>
      <c r="B56" s="60" t="s">
        <v>51</v>
      </c>
      <c r="C56" s="73"/>
      <c r="D56" s="74"/>
      <c r="E56" s="17"/>
      <c r="F56" s="76"/>
      <c r="G56" s="15"/>
      <c r="H56" s="15"/>
      <c r="I56" s="15"/>
      <c r="J56" s="84"/>
      <c r="K56" s="71"/>
      <c r="M56" s="4"/>
      <c r="N56" s="4"/>
    </row>
    <row r="57" spans="1:14" ht="15.75" x14ac:dyDescent="0.25">
      <c r="A57" s="101"/>
      <c r="B57" s="66" t="s">
        <v>52</v>
      </c>
      <c r="C57" s="17" t="s">
        <v>6</v>
      </c>
      <c r="D57" s="9">
        <v>16000</v>
      </c>
      <c r="E57" s="9">
        <v>13000</v>
      </c>
      <c r="F57" s="9">
        <v>14000</v>
      </c>
      <c r="G57" s="9">
        <v>14000</v>
      </c>
      <c r="H57" s="9">
        <v>11500</v>
      </c>
      <c r="I57" s="9">
        <v>17000</v>
      </c>
      <c r="J57" s="72" t="s">
        <v>99</v>
      </c>
      <c r="K57" s="67">
        <f t="shared" si="0"/>
        <v>14250</v>
      </c>
      <c r="M57" s="4"/>
      <c r="N57" s="4"/>
    </row>
    <row r="58" spans="1:14" ht="15.75" x14ac:dyDescent="0.25">
      <c r="A58" s="101"/>
      <c r="B58" s="66" t="s">
        <v>53</v>
      </c>
      <c r="C58" s="17" t="s">
        <v>6</v>
      </c>
      <c r="D58" s="9" t="s">
        <v>99</v>
      </c>
      <c r="E58" s="9" t="s">
        <v>99</v>
      </c>
      <c r="F58" s="16">
        <v>15000</v>
      </c>
      <c r="G58" s="22" t="s">
        <v>99</v>
      </c>
      <c r="H58" s="9">
        <v>13000</v>
      </c>
      <c r="I58" s="8">
        <v>15000</v>
      </c>
      <c r="J58" s="72">
        <v>14000</v>
      </c>
      <c r="K58" s="67">
        <f t="shared" si="0"/>
        <v>14250</v>
      </c>
      <c r="M58" s="4"/>
      <c r="N58" s="4"/>
    </row>
    <row r="59" spans="1:14" ht="15.75" x14ac:dyDescent="0.25">
      <c r="A59" s="101"/>
      <c r="B59" s="66" t="s">
        <v>54</v>
      </c>
      <c r="C59" s="17" t="s">
        <v>6</v>
      </c>
      <c r="D59" s="9">
        <v>22000</v>
      </c>
      <c r="E59" s="9">
        <v>23000</v>
      </c>
      <c r="F59" s="9">
        <v>23000</v>
      </c>
      <c r="G59" s="9">
        <v>23000</v>
      </c>
      <c r="H59" s="9">
        <v>20000</v>
      </c>
      <c r="I59" s="9">
        <v>23000</v>
      </c>
      <c r="J59" s="72">
        <v>24000</v>
      </c>
      <c r="K59" s="67">
        <f t="shared" si="0"/>
        <v>22571.428571428572</v>
      </c>
      <c r="M59" s="4"/>
      <c r="N59" s="4"/>
    </row>
    <row r="60" spans="1:14" ht="15.75" x14ac:dyDescent="0.25">
      <c r="A60" s="101"/>
      <c r="B60" s="66" t="s">
        <v>55</v>
      </c>
      <c r="C60" s="17" t="s">
        <v>6</v>
      </c>
      <c r="D60" s="9">
        <v>26000</v>
      </c>
      <c r="E60" s="9">
        <v>30000</v>
      </c>
      <c r="F60" s="9">
        <v>28000</v>
      </c>
      <c r="G60" s="9">
        <v>30000</v>
      </c>
      <c r="H60" s="9">
        <v>27000</v>
      </c>
      <c r="I60" s="9">
        <v>28000</v>
      </c>
      <c r="J60" s="72">
        <v>28000</v>
      </c>
      <c r="K60" s="67">
        <f t="shared" si="0"/>
        <v>28142.857142857141</v>
      </c>
      <c r="M60" s="4"/>
      <c r="N60" s="4"/>
    </row>
    <row r="61" spans="1:14" ht="15.75" x14ac:dyDescent="0.25">
      <c r="A61" s="17">
        <v>16</v>
      </c>
      <c r="B61" s="60" t="s">
        <v>56</v>
      </c>
      <c r="C61" s="80"/>
      <c r="D61" s="89"/>
      <c r="E61" s="10"/>
      <c r="F61" s="22"/>
      <c r="G61" s="10"/>
      <c r="H61" s="10"/>
      <c r="I61" s="10"/>
      <c r="J61" s="90"/>
      <c r="K61" s="71"/>
      <c r="M61" s="4"/>
      <c r="N61" s="4"/>
    </row>
    <row r="62" spans="1:14" ht="15.75" x14ac:dyDescent="0.25">
      <c r="A62" s="17"/>
      <c r="B62" s="66" t="s">
        <v>57</v>
      </c>
      <c r="C62" s="86" t="s">
        <v>58</v>
      </c>
      <c r="D62" s="9">
        <v>3000</v>
      </c>
      <c r="E62" s="9">
        <v>3200</v>
      </c>
      <c r="F62" s="9">
        <v>3000</v>
      </c>
      <c r="G62" s="9">
        <v>3000</v>
      </c>
      <c r="H62" s="10" t="s">
        <v>99</v>
      </c>
      <c r="I62" s="16">
        <v>3000</v>
      </c>
      <c r="J62" s="72">
        <v>3500</v>
      </c>
      <c r="K62" s="67">
        <f t="shared" si="0"/>
        <v>3116.6666666666665</v>
      </c>
      <c r="M62" s="4"/>
      <c r="N62" s="4"/>
    </row>
    <row r="63" spans="1:14" ht="15.75" x14ac:dyDescent="0.25">
      <c r="A63" s="101">
        <v>17</v>
      </c>
      <c r="B63" s="60" t="s">
        <v>59</v>
      </c>
      <c r="C63" s="73"/>
      <c r="D63" s="74"/>
      <c r="E63" s="17"/>
      <c r="F63" s="76"/>
      <c r="G63" s="76"/>
      <c r="H63" s="15"/>
      <c r="I63" s="15"/>
      <c r="J63" s="84"/>
      <c r="K63" s="71"/>
      <c r="M63" s="4"/>
      <c r="N63" s="4"/>
    </row>
    <row r="64" spans="1:14" ht="15.75" x14ac:dyDescent="0.25">
      <c r="A64" s="101"/>
      <c r="B64" s="66" t="s">
        <v>60</v>
      </c>
      <c r="C64" s="17" t="s">
        <v>6</v>
      </c>
      <c r="D64" s="9">
        <v>70000</v>
      </c>
      <c r="E64" s="9">
        <v>70000</v>
      </c>
      <c r="F64" s="9">
        <v>60000</v>
      </c>
      <c r="G64" s="9">
        <v>60000</v>
      </c>
      <c r="H64" s="9">
        <v>65000</v>
      </c>
      <c r="I64" s="9">
        <v>60000</v>
      </c>
      <c r="J64" s="72">
        <v>70000</v>
      </c>
      <c r="K64" s="67">
        <f t="shared" si="0"/>
        <v>65000</v>
      </c>
      <c r="M64" s="4"/>
      <c r="N64" s="4"/>
    </row>
    <row r="65" spans="1:14" ht="15.75" x14ac:dyDescent="0.25">
      <c r="A65" s="101"/>
      <c r="B65" s="66" t="s">
        <v>61</v>
      </c>
      <c r="C65" s="17" t="s">
        <v>6</v>
      </c>
      <c r="D65" s="9">
        <v>70000</v>
      </c>
      <c r="E65" s="9">
        <v>48000</v>
      </c>
      <c r="F65" s="9">
        <v>57000</v>
      </c>
      <c r="G65" s="9">
        <v>50000</v>
      </c>
      <c r="H65" s="9">
        <v>55000</v>
      </c>
      <c r="I65" s="8">
        <v>60000</v>
      </c>
      <c r="J65" s="72">
        <v>65000</v>
      </c>
      <c r="K65" s="67">
        <f t="shared" si="0"/>
        <v>57857.142857142855</v>
      </c>
      <c r="M65" s="4"/>
      <c r="N65" s="4"/>
    </row>
    <row r="66" spans="1:14" ht="15.75" x14ac:dyDescent="0.25">
      <c r="A66" s="101"/>
      <c r="B66" s="66" t="s">
        <v>62</v>
      </c>
      <c r="C66" s="17" t="s">
        <v>6</v>
      </c>
      <c r="D66" s="9">
        <v>44000</v>
      </c>
      <c r="E66" s="9">
        <v>30000</v>
      </c>
      <c r="F66" s="9">
        <v>57000</v>
      </c>
      <c r="G66" s="9">
        <v>40000</v>
      </c>
      <c r="H66" s="9">
        <v>55000</v>
      </c>
      <c r="I66" s="9">
        <v>50000</v>
      </c>
      <c r="J66" s="72">
        <v>60000</v>
      </c>
      <c r="K66" s="67">
        <f t="shared" si="0"/>
        <v>48000</v>
      </c>
      <c r="M66" s="4"/>
      <c r="N66" s="4"/>
    </row>
    <row r="67" spans="1:14" ht="15.75" x14ac:dyDescent="0.25">
      <c r="A67" s="17">
        <v>18</v>
      </c>
      <c r="B67" s="60" t="s">
        <v>63</v>
      </c>
      <c r="C67" s="80"/>
      <c r="D67" s="24"/>
      <c r="E67" s="10"/>
      <c r="F67" s="22"/>
      <c r="G67" s="10"/>
      <c r="H67" s="10" t="s">
        <v>1</v>
      </c>
      <c r="I67" s="10"/>
      <c r="J67" s="77"/>
      <c r="K67" s="71"/>
      <c r="M67" s="4"/>
      <c r="N67" s="4"/>
    </row>
    <row r="68" spans="1:14" ht="15.75" x14ac:dyDescent="0.25">
      <c r="A68" s="17"/>
      <c r="B68" s="66" t="s">
        <v>64</v>
      </c>
      <c r="C68" s="17" t="s">
        <v>65</v>
      </c>
      <c r="D68" s="9">
        <v>20000</v>
      </c>
      <c r="E68" s="9">
        <v>18000</v>
      </c>
      <c r="F68" s="9">
        <v>18000</v>
      </c>
      <c r="G68" s="9">
        <v>18000</v>
      </c>
      <c r="H68" s="10" t="s">
        <v>99</v>
      </c>
      <c r="I68" s="9">
        <v>18000</v>
      </c>
      <c r="J68" s="79">
        <v>18000</v>
      </c>
      <c r="K68" s="67">
        <f t="shared" si="0"/>
        <v>18333.333333333332</v>
      </c>
      <c r="M68" s="4"/>
      <c r="N68" s="4"/>
    </row>
    <row r="69" spans="1:14" ht="15.75" x14ac:dyDescent="0.25">
      <c r="A69" s="101">
        <v>19</v>
      </c>
      <c r="B69" s="60" t="s">
        <v>66</v>
      </c>
      <c r="C69" s="60"/>
      <c r="D69" s="74"/>
      <c r="E69" s="17"/>
      <c r="F69" s="15"/>
      <c r="G69" s="15"/>
      <c r="H69" s="15"/>
      <c r="I69" s="15"/>
      <c r="J69" s="75"/>
      <c r="K69" s="71"/>
      <c r="M69" s="4"/>
      <c r="N69" s="4"/>
    </row>
    <row r="70" spans="1:14" ht="15.75" x14ac:dyDescent="0.25">
      <c r="A70" s="101"/>
      <c r="B70" s="66" t="s">
        <v>67</v>
      </c>
      <c r="C70" s="17" t="s">
        <v>6</v>
      </c>
      <c r="D70" s="9">
        <v>36000</v>
      </c>
      <c r="E70" s="9">
        <v>35000</v>
      </c>
      <c r="F70" s="9">
        <v>36000</v>
      </c>
      <c r="G70" s="9">
        <v>35000</v>
      </c>
      <c r="H70" s="9">
        <v>36000</v>
      </c>
      <c r="I70" s="9">
        <v>40000</v>
      </c>
      <c r="J70" s="72">
        <v>40000</v>
      </c>
      <c r="K70" s="67">
        <f t="shared" si="0"/>
        <v>36857.142857142855</v>
      </c>
      <c r="M70" s="4"/>
      <c r="N70" s="4"/>
    </row>
    <row r="71" spans="1:14" ht="15.75" x14ac:dyDescent="0.25">
      <c r="A71" s="101"/>
      <c r="B71" s="66" t="s">
        <v>68</v>
      </c>
      <c r="C71" s="17" t="s">
        <v>6</v>
      </c>
      <c r="D71" s="9">
        <v>34000</v>
      </c>
      <c r="E71" s="9">
        <v>32000</v>
      </c>
      <c r="F71" s="9">
        <v>34000</v>
      </c>
      <c r="G71" s="9">
        <v>32000</v>
      </c>
      <c r="H71" s="9">
        <v>32000</v>
      </c>
      <c r="I71" s="9">
        <v>35000</v>
      </c>
      <c r="J71" s="72">
        <v>33000</v>
      </c>
      <c r="K71" s="67">
        <f t="shared" si="0"/>
        <v>33142.857142857145</v>
      </c>
      <c r="M71" s="4"/>
      <c r="N71" s="4"/>
    </row>
    <row r="72" spans="1:14" ht="15.75" x14ac:dyDescent="0.25">
      <c r="A72" s="101"/>
      <c r="B72" s="66" t="s">
        <v>69</v>
      </c>
      <c r="C72" s="17" t="s">
        <v>6</v>
      </c>
      <c r="D72" s="9">
        <v>26000</v>
      </c>
      <c r="E72" s="9">
        <v>28000</v>
      </c>
      <c r="F72" s="9">
        <v>24000</v>
      </c>
      <c r="G72" s="9">
        <v>28000</v>
      </c>
      <c r="H72" s="9">
        <v>22000</v>
      </c>
      <c r="I72" s="9">
        <v>30000</v>
      </c>
      <c r="J72" s="72">
        <v>20000</v>
      </c>
      <c r="K72" s="67">
        <f t="shared" si="0"/>
        <v>25428.571428571428</v>
      </c>
      <c r="M72" s="4"/>
      <c r="N72" s="4"/>
    </row>
    <row r="73" spans="1:14" ht="15.75" x14ac:dyDescent="0.25">
      <c r="A73" s="101"/>
      <c r="B73" s="66" t="s">
        <v>70</v>
      </c>
      <c r="C73" s="17" t="s">
        <v>6</v>
      </c>
      <c r="D73" s="9">
        <v>28000</v>
      </c>
      <c r="E73" s="9">
        <v>25000</v>
      </c>
      <c r="F73" s="16">
        <v>28000</v>
      </c>
      <c r="G73" s="8">
        <v>30000</v>
      </c>
      <c r="H73" s="9">
        <v>25000</v>
      </c>
      <c r="I73" s="9">
        <v>25000</v>
      </c>
      <c r="J73" s="72">
        <v>30000</v>
      </c>
      <c r="K73" s="67">
        <f t="shared" si="0"/>
        <v>27285.714285714286</v>
      </c>
      <c r="M73" s="4"/>
      <c r="N73" s="4"/>
    </row>
    <row r="74" spans="1:14" ht="15.75" x14ac:dyDescent="0.25">
      <c r="A74" s="17">
        <v>20</v>
      </c>
      <c r="B74" s="60" t="s">
        <v>71</v>
      </c>
      <c r="C74" s="91"/>
      <c r="D74" s="24"/>
      <c r="E74" s="10"/>
      <c r="F74" s="10"/>
      <c r="G74" s="89"/>
      <c r="H74" s="10"/>
      <c r="I74" s="10"/>
      <c r="J74" s="90"/>
      <c r="K74" s="71"/>
      <c r="M74" s="4"/>
      <c r="N74" s="4"/>
    </row>
    <row r="75" spans="1:14" ht="15.75" x14ac:dyDescent="0.25">
      <c r="A75" s="17"/>
      <c r="B75" s="66" t="s">
        <v>72</v>
      </c>
      <c r="C75" s="86" t="s">
        <v>6</v>
      </c>
      <c r="D75" s="9">
        <v>7000</v>
      </c>
      <c r="E75" s="9">
        <v>7000</v>
      </c>
      <c r="F75" s="9">
        <v>5000</v>
      </c>
      <c r="G75" s="9">
        <v>6000</v>
      </c>
      <c r="H75" s="9">
        <v>5000</v>
      </c>
      <c r="I75" s="9">
        <v>5000</v>
      </c>
      <c r="J75" s="72">
        <v>5000</v>
      </c>
      <c r="K75" s="67">
        <f t="shared" si="0"/>
        <v>5714.2857142857147</v>
      </c>
      <c r="M75" s="4"/>
      <c r="N75" s="4"/>
    </row>
    <row r="76" spans="1:14" ht="15.75" x14ac:dyDescent="0.25">
      <c r="A76" s="17"/>
      <c r="B76" s="66" t="s">
        <v>73</v>
      </c>
      <c r="C76" s="86" t="s">
        <v>6</v>
      </c>
      <c r="D76" s="9">
        <v>7000</v>
      </c>
      <c r="E76" s="9">
        <v>6000</v>
      </c>
      <c r="F76" s="16">
        <v>6000</v>
      </c>
      <c r="G76" s="8">
        <v>6000</v>
      </c>
      <c r="H76" s="9">
        <v>5000</v>
      </c>
      <c r="I76" s="9">
        <v>6000</v>
      </c>
      <c r="J76" s="79">
        <v>6000</v>
      </c>
      <c r="K76" s="67">
        <f t="shared" si="0"/>
        <v>6000</v>
      </c>
      <c r="M76" s="4"/>
      <c r="N76" s="4"/>
    </row>
    <row r="77" spans="1:14" ht="15.75" x14ac:dyDescent="0.25">
      <c r="A77" s="17">
        <v>21</v>
      </c>
      <c r="B77" s="60" t="s">
        <v>74</v>
      </c>
      <c r="C77" s="91"/>
      <c r="D77" s="19"/>
      <c r="E77" s="10"/>
      <c r="F77" s="10"/>
      <c r="G77" s="22"/>
      <c r="H77" s="10"/>
      <c r="I77" s="10"/>
      <c r="J77" s="77"/>
      <c r="K77" s="71"/>
      <c r="M77" s="4"/>
      <c r="N77" s="4"/>
    </row>
    <row r="78" spans="1:14" ht="15.75" x14ac:dyDescent="0.25">
      <c r="A78" s="17"/>
      <c r="B78" s="66" t="s">
        <v>75</v>
      </c>
      <c r="C78" s="86" t="s">
        <v>6</v>
      </c>
      <c r="D78" s="9">
        <v>8000</v>
      </c>
      <c r="E78" s="9">
        <v>8000</v>
      </c>
      <c r="F78" s="9">
        <v>10000</v>
      </c>
      <c r="G78" s="9">
        <v>8000</v>
      </c>
      <c r="H78" s="9">
        <v>6000</v>
      </c>
      <c r="I78" s="16">
        <v>9000</v>
      </c>
      <c r="J78" s="72" t="s">
        <v>99</v>
      </c>
      <c r="K78" s="67">
        <f t="shared" si="0"/>
        <v>8166.666666666667</v>
      </c>
      <c r="M78" s="4"/>
      <c r="N78" s="4"/>
    </row>
    <row r="79" spans="1:14" ht="15.75" x14ac:dyDescent="0.25">
      <c r="A79" s="17"/>
      <c r="B79" s="66" t="s">
        <v>76</v>
      </c>
      <c r="C79" s="86" t="s">
        <v>6</v>
      </c>
      <c r="D79" s="9">
        <v>8000</v>
      </c>
      <c r="E79" s="9">
        <v>10000</v>
      </c>
      <c r="F79" s="9">
        <v>20000</v>
      </c>
      <c r="G79" s="9">
        <v>12000</v>
      </c>
      <c r="H79" s="9">
        <v>6000</v>
      </c>
      <c r="I79" s="16">
        <v>14000</v>
      </c>
      <c r="J79" s="72">
        <v>15000</v>
      </c>
      <c r="K79" s="67">
        <f t="shared" si="0"/>
        <v>12142.857142857143</v>
      </c>
      <c r="M79" s="4"/>
      <c r="N79" s="4"/>
    </row>
    <row r="80" spans="1:14" ht="15.75" x14ac:dyDescent="0.25">
      <c r="A80" s="17"/>
      <c r="B80" s="66" t="s">
        <v>77</v>
      </c>
      <c r="C80" s="86" t="s">
        <v>6</v>
      </c>
      <c r="D80" s="9">
        <v>18000</v>
      </c>
      <c r="E80" s="9">
        <v>16000</v>
      </c>
      <c r="F80" s="9">
        <v>17000</v>
      </c>
      <c r="G80" s="9">
        <v>16000</v>
      </c>
      <c r="H80" s="9">
        <v>15000</v>
      </c>
      <c r="I80" s="9">
        <v>18000</v>
      </c>
      <c r="J80" s="72">
        <v>18000</v>
      </c>
      <c r="K80" s="67">
        <f t="shared" si="0"/>
        <v>16857.142857142859</v>
      </c>
      <c r="M80" s="4"/>
      <c r="N80" s="4"/>
    </row>
    <row r="81" spans="1:14" ht="15.75" x14ac:dyDescent="0.25">
      <c r="A81" s="17"/>
      <c r="B81" s="66" t="s">
        <v>78</v>
      </c>
      <c r="C81" s="86" t="s">
        <v>6</v>
      </c>
      <c r="D81" s="9">
        <v>22000</v>
      </c>
      <c r="E81" s="9">
        <v>15000</v>
      </c>
      <c r="F81" s="9">
        <v>10000</v>
      </c>
      <c r="G81" s="9">
        <v>15000</v>
      </c>
      <c r="H81" s="9">
        <v>20000</v>
      </c>
      <c r="I81" s="8">
        <v>23000</v>
      </c>
      <c r="J81" s="72">
        <v>20000</v>
      </c>
      <c r="K81" s="67">
        <f t="shared" ref="K81:K88" si="1">AVERAGE(D81:J81)</f>
        <v>17857.142857142859</v>
      </c>
      <c r="M81" s="4"/>
      <c r="N81" s="4"/>
    </row>
    <row r="82" spans="1:14" ht="15.75" x14ac:dyDescent="0.25">
      <c r="A82" s="17"/>
      <c r="B82" s="66" t="s">
        <v>79</v>
      </c>
      <c r="C82" s="86" t="s">
        <v>6</v>
      </c>
      <c r="D82" s="9">
        <v>14000</v>
      </c>
      <c r="E82" s="9">
        <v>12000</v>
      </c>
      <c r="F82" s="9">
        <v>14000</v>
      </c>
      <c r="G82" s="9">
        <v>12000</v>
      </c>
      <c r="H82" s="9">
        <v>10000</v>
      </c>
      <c r="I82" s="9">
        <v>18000</v>
      </c>
      <c r="J82" s="72">
        <v>15000</v>
      </c>
      <c r="K82" s="67">
        <f t="shared" si="1"/>
        <v>13571.428571428571</v>
      </c>
      <c r="M82" s="4"/>
      <c r="N82" s="4"/>
    </row>
    <row r="83" spans="1:14" ht="15.75" x14ac:dyDescent="0.25">
      <c r="A83" s="17"/>
      <c r="B83" s="66" t="s">
        <v>80</v>
      </c>
      <c r="C83" s="86" t="s">
        <v>6</v>
      </c>
      <c r="D83" s="9">
        <v>9000</v>
      </c>
      <c r="E83" s="9">
        <v>8000</v>
      </c>
      <c r="F83" s="16">
        <v>9000</v>
      </c>
      <c r="G83" s="8">
        <v>8000</v>
      </c>
      <c r="H83" s="9">
        <v>7000</v>
      </c>
      <c r="I83" s="16">
        <v>9000</v>
      </c>
      <c r="J83" s="72">
        <v>8000</v>
      </c>
      <c r="K83" s="67">
        <f t="shared" si="1"/>
        <v>8285.7142857142862</v>
      </c>
      <c r="M83" s="4"/>
      <c r="N83" s="4"/>
    </row>
    <row r="84" spans="1:14" ht="15.75" x14ac:dyDescent="0.25">
      <c r="A84" s="17"/>
      <c r="B84" s="66" t="s">
        <v>81</v>
      </c>
      <c r="C84" s="86" t="s">
        <v>82</v>
      </c>
      <c r="D84" s="9">
        <v>2000</v>
      </c>
      <c r="E84" s="9">
        <v>1500</v>
      </c>
      <c r="F84" s="9">
        <v>2000</v>
      </c>
      <c r="G84" s="8">
        <v>2000</v>
      </c>
      <c r="H84" s="9">
        <v>1500</v>
      </c>
      <c r="I84" s="9">
        <v>2000</v>
      </c>
      <c r="J84" s="79">
        <v>1500</v>
      </c>
      <c r="K84" s="67">
        <f t="shared" si="1"/>
        <v>1785.7142857142858</v>
      </c>
      <c r="L84" s="4"/>
      <c r="M84" s="4"/>
      <c r="N84" s="4"/>
    </row>
    <row r="85" spans="1:14" x14ac:dyDescent="0.25">
      <c r="A85" s="17"/>
      <c r="B85" s="66" t="s">
        <v>83</v>
      </c>
      <c r="C85" s="86" t="s">
        <v>82</v>
      </c>
      <c r="D85" s="9">
        <v>1500</v>
      </c>
      <c r="E85" s="9">
        <v>1500</v>
      </c>
      <c r="F85" s="9">
        <v>1500</v>
      </c>
      <c r="G85" s="8">
        <v>2000</v>
      </c>
      <c r="H85" s="9">
        <v>1500</v>
      </c>
      <c r="I85" s="9">
        <v>1500</v>
      </c>
      <c r="J85" s="79">
        <v>1000</v>
      </c>
      <c r="K85" s="67">
        <f t="shared" si="1"/>
        <v>1500</v>
      </c>
    </row>
    <row r="86" spans="1:14" x14ac:dyDescent="0.25">
      <c r="A86" s="17"/>
      <c r="B86" s="66" t="s">
        <v>84</v>
      </c>
      <c r="C86" s="86" t="s">
        <v>82</v>
      </c>
      <c r="D86" s="9" t="s">
        <v>99</v>
      </c>
      <c r="E86" s="9">
        <v>2000</v>
      </c>
      <c r="F86" s="9" t="s">
        <v>99</v>
      </c>
      <c r="G86" s="8" t="s">
        <v>99</v>
      </c>
      <c r="H86" s="9">
        <v>2500</v>
      </c>
      <c r="I86" s="9" t="s">
        <v>99</v>
      </c>
      <c r="J86" s="79">
        <v>2000</v>
      </c>
      <c r="K86" s="67">
        <f t="shared" si="1"/>
        <v>2166.6666666666665</v>
      </c>
    </row>
    <row r="87" spans="1:14" x14ac:dyDescent="0.25">
      <c r="A87" s="17">
        <v>22</v>
      </c>
      <c r="B87" s="60" t="s">
        <v>85</v>
      </c>
      <c r="C87" s="91"/>
      <c r="D87" s="22"/>
      <c r="E87" s="10"/>
      <c r="F87" s="10" t="s">
        <v>102</v>
      </c>
      <c r="G87" s="22"/>
      <c r="H87" s="10"/>
      <c r="I87" s="10"/>
      <c r="J87" s="77"/>
      <c r="K87" s="71"/>
    </row>
    <row r="88" spans="1:14" x14ac:dyDescent="0.25">
      <c r="A88" s="17"/>
      <c r="B88" s="66" t="s">
        <v>86</v>
      </c>
      <c r="C88" s="86" t="s">
        <v>87</v>
      </c>
      <c r="D88" s="9" t="s">
        <v>99</v>
      </c>
      <c r="E88" s="9" t="s">
        <v>99</v>
      </c>
      <c r="F88" s="9">
        <v>18000</v>
      </c>
      <c r="G88" s="8">
        <v>17000</v>
      </c>
      <c r="H88" s="10" t="s">
        <v>99</v>
      </c>
      <c r="I88" s="16">
        <v>18000</v>
      </c>
      <c r="J88" s="79">
        <v>18000</v>
      </c>
      <c r="K88" s="67">
        <f t="shared" si="1"/>
        <v>17750</v>
      </c>
    </row>
  </sheetData>
  <mergeCells count="28">
    <mergeCell ref="A7:A12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I4:I6"/>
    <mergeCell ref="A13:A15"/>
    <mergeCell ref="A16:A17"/>
    <mergeCell ref="A19:A20"/>
    <mergeCell ref="A21:A25"/>
    <mergeCell ref="A26:A32"/>
    <mergeCell ref="A56:A60"/>
    <mergeCell ref="A63:A66"/>
    <mergeCell ref="A69:A73"/>
    <mergeCell ref="A33:A35"/>
    <mergeCell ref="A43:A45"/>
    <mergeCell ref="A46:A48"/>
    <mergeCell ref="A52:A53"/>
    <mergeCell ref="A54:A55"/>
  </mergeCells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AC0B-7CF0-4138-8313-09721F8166DB}">
  <dimension ref="A1:N88"/>
  <sheetViews>
    <sheetView workbookViewId="0">
      <selection activeCell="A4" sqref="A4:A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02" t="s">
        <v>88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M1" s="4"/>
      <c r="N1" s="4"/>
    </row>
    <row r="2" spans="1:14" ht="27.75" customHeight="1" x14ac:dyDescent="0.25">
      <c r="A2" s="103" t="s">
        <v>89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M2" s="4"/>
      <c r="N2" s="4"/>
    </row>
    <row r="3" spans="1:14" ht="27.75" customHeight="1" thickBot="1" x14ac:dyDescent="0.3">
      <c r="A3" s="105" t="s">
        <v>140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M3" s="4"/>
      <c r="N3" s="4"/>
    </row>
    <row r="4" spans="1:14" ht="25.5" customHeight="1" x14ac:dyDescent="0.25">
      <c r="A4" s="96" t="s">
        <v>1</v>
      </c>
      <c r="B4" s="99" t="s">
        <v>2</v>
      </c>
      <c r="C4" s="96" t="s">
        <v>90</v>
      </c>
      <c r="D4" s="110" t="s">
        <v>91</v>
      </c>
      <c r="E4" s="113" t="s">
        <v>92</v>
      </c>
      <c r="F4" s="125" t="s">
        <v>93</v>
      </c>
      <c r="G4" s="128" t="s">
        <v>94</v>
      </c>
      <c r="H4" s="116" t="s">
        <v>95</v>
      </c>
      <c r="I4" s="119" t="s">
        <v>96</v>
      </c>
      <c r="J4" s="142" t="s">
        <v>97</v>
      </c>
      <c r="K4" s="122" t="s">
        <v>98</v>
      </c>
      <c r="M4" s="4"/>
      <c r="N4" s="4"/>
    </row>
    <row r="5" spans="1:14" ht="15" customHeight="1" x14ac:dyDescent="0.25">
      <c r="A5" s="97"/>
      <c r="B5" s="100"/>
      <c r="C5" s="97"/>
      <c r="D5" s="111"/>
      <c r="E5" s="145"/>
      <c r="F5" s="126"/>
      <c r="G5" s="129"/>
      <c r="H5" s="117"/>
      <c r="I5" s="120"/>
      <c r="J5" s="143"/>
      <c r="K5" s="123"/>
      <c r="M5" s="4"/>
      <c r="N5" s="4"/>
    </row>
    <row r="6" spans="1:14" ht="16.5" thickBot="1" x14ac:dyDescent="0.3">
      <c r="A6" s="98"/>
      <c r="B6" s="109"/>
      <c r="C6" s="98"/>
      <c r="D6" s="112"/>
      <c r="E6" s="146"/>
      <c r="F6" s="127"/>
      <c r="G6" s="130"/>
      <c r="H6" s="118"/>
      <c r="I6" s="121"/>
      <c r="J6" s="144"/>
      <c r="K6" s="124"/>
      <c r="M6" s="4"/>
      <c r="N6" s="4"/>
    </row>
    <row r="7" spans="1:14" ht="15.75" x14ac:dyDescent="0.25">
      <c r="A7" s="101">
        <v>1</v>
      </c>
      <c r="B7" s="60" t="s">
        <v>4</v>
      </c>
      <c r="C7" s="61"/>
      <c r="D7" s="62"/>
      <c r="E7" s="17" t="s">
        <v>102</v>
      </c>
      <c r="F7" s="17"/>
      <c r="G7" s="63"/>
      <c r="H7" s="63" t="s">
        <v>1</v>
      </c>
      <c r="I7" s="64"/>
      <c r="J7" s="63"/>
      <c r="K7" s="65"/>
      <c r="M7" s="4"/>
      <c r="N7" s="4"/>
    </row>
    <row r="8" spans="1:14" ht="15.75" x14ac:dyDescent="0.25">
      <c r="A8" s="101"/>
      <c r="B8" s="66" t="s">
        <v>107</v>
      </c>
      <c r="C8" s="17" t="s">
        <v>6</v>
      </c>
      <c r="D8" s="9">
        <v>15500</v>
      </c>
      <c r="E8" s="9">
        <v>15500</v>
      </c>
      <c r="F8" s="9">
        <v>15500</v>
      </c>
      <c r="G8" s="9">
        <v>15500</v>
      </c>
      <c r="H8" s="9">
        <v>17000</v>
      </c>
      <c r="I8" s="9">
        <v>16500</v>
      </c>
      <c r="J8" s="16">
        <v>17000</v>
      </c>
      <c r="K8" s="67">
        <f>AVERAGE(D8:J8)</f>
        <v>16071.428571428571</v>
      </c>
      <c r="L8" s="1"/>
      <c r="M8" s="7"/>
      <c r="N8" s="4"/>
    </row>
    <row r="9" spans="1:14" ht="15.75" x14ac:dyDescent="0.25">
      <c r="A9" s="101"/>
      <c r="B9" s="66" t="s">
        <v>115</v>
      </c>
      <c r="C9" s="17" t="s">
        <v>6</v>
      </c>
      <c r="D9" s="9">
        <v>10900</v>
      </c>
      <c r="E9" s="9">
        <v>10900</v>
      </c>
      <c r="F9" s="9">
        <v>10900</v>
      </c>
      <c r="G9" s="8">
        <v>10900</v>
      </c>
      <c r="H9" s="9">
        <v>12000</v>
      </c>
      <c r="I9" s="9">
        <v>10900</v>
      </c>
      <c r="J9" s="16" t="s">
        <v>99</v>
      </c>
      <c r="K9" s="67">
        <f t="shared" ref="K9:K80" si="0">AVERAGE(D9:J9)</f>
        <v>11083.333333333334</v>
      </c>
      <c r="M9" s="4"/>
      <c r="N9" s="4"/>
    </row>
    <row r="10" spans="1:14" ht="15.75" x14ac:dyDescent="0.25">
      <c r="A10" s="101"/>
      <c r="B10" s="66" t="s">
        <v>108</v>
      </c>
      <c r="C10" s="17" t="s">
        <v>6</v>
      </c>
      <c r="D10" s="9" t="s">
        <v>99</v>
      </c>
      <c r="E10" s="9" t="s">
        <v>99</v>
      </c>
      <c r="F10" s="9" t="s">
        <v>99</v>
      </c>
      <c r="G10" s="8" t="s">
        <v>99</v>
      </c>
      <c r="H10" s="9" t="s">
        <v>99</v>
      </c>
      <c r="I10" s="9" t="s">
        <v>99</v>
      </c>
      <c r="J10" s="16" t="s">
        <v>99</v>
      </c>
      <c r="K10" s="67">
        <v>0</v>
      </c>
      <c r="M10" s="4"/>
      <c r="N10" s="4"/>
    </row>
    <row r="11" spans="1:14" ht="15.75" x14ac:dyDescent="0.25">
      <c r="A11" s="101"/>
      <c r="B11" s="66" t="s">
        <v>9</v>
      </c>
      <c r="C11" s="17" t="s">
        <v>6</v>
      </c>
      <c r="D11" s="9" t="s">
        <v>99</v>
      </c>
      <c r="E11" s="9">
        <v>10000</v>
      </c>
      <c r="F11" s="16">
        <v>12000</v>
      </c>
      <c r="G11" s="8">
        <v>10000</v>
      </c>
      <c r="H11" s="9">
        <v>10000</v>
      </c>
      <c r="I11" s="16">
        <v>12000</v>
      </c>
      <c r="J11" s="16">
        <v>10000</v>
      </c>
      <c r="K11" s="67">
        <f>AVERAGE(D11:J11)</f>
        <v>10666.666666666666</v>
      </c>
      <c r="M11" s="4"/>
      <c r="N11" s="4"/>
    </row>
    <row r="12" spans="1:14" ht="15.75" x14ac:dyDescent="0.25">
      <c r="A12" s="101"/>
      <c r="B12" s="66" t="s">
        <v>10</v>
      </c>
      <c r="C12" s="17" t="s">
        <v>6</v>
      </c>
      <c r="D12" s="9" t="s">
        <v>99</v>
      </c>
      <c r="E12" s="9">
        <v>21000</v>
      </c>
      <c r="F12" s="16">
        <v>16000</v>
      </c>
      <c r="G12" s="8">
        <v>18000</v>
      </c>
      <c r="H12" s="9">
        <v>25000</v>
      </c>
      <c r="I12" s="16">
        <v>17000</v>
      </c>
      <c r="J12" s="16">
        <v>17000</v>
      </c>
      <c r="K12" s="67">
        <f t="shared" si="0"/>
        <v>19000</v>
      </c>
      <c r="M12" s="4"/>
      <c r="N12" s="12"/>
    </row>
    <row r="13" spans="1:14" ht="15.75" x14ac:dyDescent="0.25">
      <c r="A13" s="101">
        <v>2</v>
      </c>
      <c r="B13" s="60" t="s">
        <v>11</v>
      </c>
      <c r="C13" s="68"/>
      <c r="D13" s="62"/>
      <c r="E13" s="92"/>
      <c r="F13" s="17"/>
      <c r="G13" s="70"/>
      <c r="H13" s="70"/>
      <c r="I13" s="70"/>
      <c r="J13" s="70"/>
      <c r="K13" s="71"/>
      <c r="M13" s="4"/>
      <c r="N13" s="4"/>
    </row>
    <row r="14" spans="1:14" ht="15.75" x14ac:dyDescent="0.25">
      <c r="A14" s="101"/>
      <c r="B14" s="66" t="s">
        <v>116</v>
      </c>
      <c r="C14" s="17" t="s">
        <v>6</v>
      </c>
      <c r="D14" s="9">
        <v>16000</v>
      </c>
      <c r="E14" s="9">
        <v>16500</v>
      </c>
      <c r="F14" s="9">
        <v>16000</v>
      </c>
      <c r="G14" s="16">
        <v>16000</v>
      </c>
      <c r="H14" s="9">
        <v>16500</v>
      </c>
      <c r="I14" s="9">
        <v>16500</v>
      </c>
      <c r="J14" s="72">
        <v>16500</v>
      </c>
      <c r="K14" s="67">
        <f t="shared" si="0"/>
        <v>16285.714285714286</v>
      </c>
      <c r="M14" s="4"/>
      <c r="N14" s="4"/>
    </row>
    <row r="15" spans="1:14" ht="15.75" x14ac:dyDescent="0.25">
      <c r="A15" s="101"/>
      <c r="B15" s="66" t="s">
        <v>13</v>
      </c>
      <c r="C15" s="17" t="s">
        <v>6</v>
      </c>
      <c r="D15" s="9">
        <v>17000</v>
      </c>
      <c r="E15" s="9">
        <v>16000</v>
      </c>
      <c r="F15" s="16">
        <v>16000</v>
      </c>
      <c r="G15" s="8">
        <v>16000</v>
      </c>
      <c r="H15" s="9">
        <v>17000</v>
      </c>
      <c r="I15" s="9">
        <v>16000</v>
      </c>
      <c r="J15" s="72">
        <v>18000</v>
      </c>
      <c r="K15" s="67">
        <f>AVERAGE(D15:J15)</f>
        <v>16571.428571428572</v>
      </c>
      <c r="M15" s="4"/>
      <c r="N15" s="4"/>
    </row>
    <row r="16" spans="1:14" ht="15.75" x14ac:dyDescent="0.25">
      <c r="A16" s="101">
        <v>3</v>
      </c>
      <c r="B16" s="60" t="s">
        <v>14</v>
      </c>
      <c r="C16" s="73"/>
      <c r="D16" s="74"/>
      <c r="E16" s="15"/>
      <c r="F16" s="15"/>
      <c r="G16" s="15"/>
      <c r="H16" s="15"/>
      <c r="I16" s="15" t="s">
        <v>130</v>
      </c>
      <c r="J16" s="75"/>
      <c r="K16" s="71"/>
      <c r="M16" s="4"/>
      <c r="N16" s="4"/>
    </row>
    <row r="17" spans="1:14" ht="15.75" x14ac:dyDescent="0.25">
      <c r="A17" s="101"/>
      <c r="B17" s="66" t="s">
        <v>15</v>
      </c>
      <c r="C17" s="17" t="s">
        <v>6</v>
      </c>
      <c r="D17" s="9">
        <v>15000</v>
      </c>
      <c r="E17" s="9">
        <v>15000</v>
      </c>
      <c r="F17" s="9">
        <v>14000</v>
      </c>
      <c r="G17" s="9">
        <v>15000</v>
      </c>
      <c r="H17" s="9">
        <v>16000</v>
      </c>
      <c r="I17" s="9">
        <v>16000</v>
      </c>
      <c r="J17" s="72">
        <v>16000</v>
      </c>
      <c r="K17" s="67">
        <f t="shared" si="0"/>
        <v>15285.714285714286</v>
      </c>
      <c r="M17" s="4"/>
      <c r="N17" s="4"/>
    </row>
    <row r="18" spans="1:14" ht="15.75" x14ac:dyDescent="0.25">
      <c r="A18" s="59"/>
      <c r="B18" s="66" t="s">
        <v>109</v>
      </c>
      <c r="C18" s="17" t="s">
        <v>110</v>
      </c>
      <c r="D18" s="9">
        <v>14000</v>
      </c>
      <c r="E18" s="9">
        <v>14000</v>
      </c>
      <c r="F18" s="9">
        <v>14000</v>
      </c>
      <c r="G18" s="9">
        <v>14000</v>
      </c>
      <c r="H18" s="9" t="s">
        <v>99</v>
      </c>
      <c r="I18" s="9">
        <v>14000</v>
      </c>
      <c r="J18" s="72">
        <v>14000</v>
      </c>
      <c r="K18" s="67">
        <f t="shared" si="0"/>
        <v>14000</v>
      </c>
      <c r="M18" s="4"/>
      <c r="N18" s="4"/>
    </row>
    <row r="19" spans="1:14" ht="17.25" customHeight="1" x14ac:dyDescent="0.25">
      <c r="A19" s="101">
        <v>4</v>
      </c>
      <c r="B19" s="60" t="s">
        <v>16</v>
      </c>
      <c r="C19" s="73"/>
      <c r="D19" s="74"/>
      <c r="E19" s="15"/>
      <c r="F19" s="15"/>
      <c r="G19" s="76"/>
      <c r="H19" s="15"/>
      <c r="I19" s="15"/>
      <c r="J19" s="75"/>
      <c r="K19" s="71"/>
      <c r="M19" s="4"/>
      <c r="N19" s="4"/>
    </row>
    <row r="20" spans="1:14" ht="15.75" x14ac:dyDescent="0.25">
      <c r="A20" s="101"/>
      <c r="B20" s="66" t="s">
        <v>17</v>
      </c>
      <c r="C20" s="17" t="s">
        <v>6</v>
      </c>
      <c r="D20" s="9">
        <v>20000</v>
      </c>
      <c r="E20" s="9">
        <v>20000</v>
      </c>
      <c r="F20" s="16">
        <v>20000</v>
      </c>
      <c r="G20" s="8">
        <v>22000</v>
      </c>
      <c r="H20" s="16">
        <v>33000</v>
      </c>
      <c r="I20" s="16">
        <v>20000</v>
      </c>
      <c r="J20" s="77" t="s">
        <v>99</v>
      </c>
      <c r="K20" s="67">
        <f t="shared" si="0"/>
        <v>22500</v>
      </c>
      <c r="M20" s="4"/>
      <c r="N20" s="4"/>
    </row>
    <row r="21" spans="1:14" ht="15.75" x14ac:dyDescent="0.25">
      <c r="A21" s="101">
        <v>5</v>
      </c>
      <c r="B21" s="60" t="s">
        <v>18</v>
      </c>
      <c r="C21" s="73"/>
      <c r="D21" s="74"/>
      <c r="E21" s="17"/>
      <c r="F21" s="15" t="s">
        <v>1</v>
      </c>
      <c r="G21" s="76"/>
      <c r="H21" s="15"/>
      <c r="I21" s="15"/>
      <c r="J21" s="75"/>
      <c r="K21" s="71"/>
      <c r="M21" s="4"/>
      <c r="N21" s="4"/>
    </row>
    <row r="22" spans="1:14" ht="15.75" x14ac:dyDescent="0.25">
      <c r="A22" s="101"/>
      <c r="B22" s="66" t="s">
        <v>19</v>
      </c>
      <c r="C22" s="17" t="s">
        <v>6</v>
      </c>
      <c r="D22" s="9">
        <v>120000</v>
      </c>
      <c r="E22" s="9">
        <v>120000</v>
      </c>
      <c r="F22" s="9">
        <v>120000</v>
      </c>
      <c r="G22" s="9">
        <v>120000</v>
      </c>
      <c r="H22" s="9">
        <v>120000</v>
      </c>
      <c r="I22" s="8">
        <v>120000</v>
      </c>
      <c r="J22" s="72" t="s">
        <v>99</v>
      </c>
      <c r="K22" s="67">
        <f t="shared" si="0"/>
        <v>120000</v>
      </c>
      <c r="M22" s="4"/>
      <c r="N22" s="4"/>
    </row>
    <row r="23" spans="1:14" ht="15.75" x14ac:dyDescent="0.25">
      <c r="A23" s="101"/>
      <c r="B23" s="66" t="s">
        <v>20</v>
      </c>
      <c r="C23" s="17" t="s">
        <v>6</v>
      </c>
      <c r="D23" s="9">
        <v>110000</v>
      </c>
      <c r="E23" s="9">
        <v>110000</v>
      </c>
      <c r="F23" s="9">
        <v>110000</v>
      </c>
      <c r="G23" s="9">
        <v>110000</v>
      </c>
      <c r="H23" s="9">
        <v>115000</v>
      </c>
      <c r="I23" s="9">
        <v>110000</v>
      </c>
      <c r="J23" s="72">
        <v>110000</v>
      </c>
      <c r="K23" s="67">
        <f t="shared" si="0"/>
        <v>110714.28571428571</v>
      </c>
      <c r="M23" s="4"/>
      <c r="N23" s="4"/>
    </row>
    <row r="24" spans="1:14" ht="15.75" x14ac:dyDescent="0.25">
      <c r="A24" s="101"/>
      <c r="B24" s="66" t="s">
        <v>21</v>
      </c>
      <c r="C24" s="17" t="s">
        <v>6</v>
      </c>
      <c r="D24" s="9">
        <v>90000</v>
      </c>
      <c r="E24" s="9">
        <v>90000</v>
      </c>
      <c r="F24" s="9">
        <v>100000</v>
      </c>
      <c r="G24" s="9">
        <v>105000</v>
      </c>
      <c r="H24" s="9">
        <v>110000</v>
      </c>
      <c r="I24" s="8">
        <v>100000</v>
      </c>
      <c r="J24" s="72">
        <v>105000</v>
      </c>
      <c r="K24" s="67">
        <f t="shared" si="0"/>
        <v>100000</v>
      </c>
      <c r="M24" s="4"/>
      <c r="N24" s="4"/>
    </row>
    <row r="25" spans="1:14" ht="15.75" x14ac:dyDescent="0.25">
      <c r="A25" s="101"/>
      <c r="B25" s="66" t="s">
        <v>22</v>
      </c>
      <c r="C25" s="17" t="s">
        <v>6</v>
      </c>
      <c r="D25" s="9">
        <v>34000</v>
      </c>
      <c r="E25" s="9">
        <v>31000</v>
      </c>
      <c r="F25" s="9">
        <v>34000</v>
      </c>
      <c r="G25" s="9">
        <v>34000</v>
      </c>
      <c r="H25" s="72">
        <v>33000</v>
      </c>
      <c r="I25" s="9">
        <v>34000</v>
      </c>
      <c r="J25" s="72">
        <v>35000</v>
      </c>
      <c r="K25" s="67">
        <f t="shared" si="0"/>
        <v>33571.428571428572</v>
      </c>
      <c r="M25" s="4"/>
      <c r="N25" s="4"/>
    </row>
    <row r="26" spans="1:14" ht="15.75" x14ac:dyDescent="0.25">
      <c r="A26" s="101">
        <v>6</v>
      </c>
      <c r="B26" s="60" t="s">
        <v>23</v>
      </c>
      <c r="C26" s="73"/>
      <c r="D26" s="74"/>
      <c r="E26" s="17"/>
      <c r="F26" s="76"/>
      <c r="G26" s="15"/>
      <c r="H26" s="75"/>
      <c r="I26" s="15"/>
      <c r="J26" s="75"/>
      <c r="K26" s="71"/>
      <c r="M26" s="4"/>
      <c r="N26" s="4"/>
    </row>
    <row r="27" spans="1:14" ht="15.75" x14ac:dyDescent="0.25">
      <c r="A27" s="101"/>
      <c r="B27" s="66" t="s">
        <v>24</v>
      </c>
      <c r="C27" s="17" t="s">
        <v>6</v>
      </c>
      <c r="D27" s="9">
        <v>34000</v>
      </c>
      <c r="E27" s="9">
        <v>35000</v>
      </c>
      <c r="F27" s="9" t="s">
        <v>99</v>
      </c>
      <c r="G27" s="9">
        <v>40000</v>
      </c>
      <c r="H27" s="9">
        <v>30000</v>
      </c>
      <c r="I27" s="9" t="s">
        <v>99</v>
      </c>
      <c r="J27" s="72">
        <v>30000</v>
      </c>
      <c r="K27" s="67">
        <f t="shared" si="0"/>
        <v>33800</v>
      </c>
      <c r="L27" t="s">
        <v>100</v>
      </c>
      <c r="M27" s="4"/>
      <c r="N27" s="4"/>
    </row>
    <row r="28" spans="1:14" ht="15.75" x14ac:dyDescent="0.25">
      <c r="A28" s="101"/>
      <c r="B28" s="66" t="s">
        <v>25</v>
      </c>
      <c r="C28" s="17" t="s">
        <v>6</v>
      </c>
      <c r="D28" s="9">
        <v>36000</v>
      </c>
      <c r="E28" s="9">
        <v>28000</v>
      </c>
      <c r="F28" s="9">
        <v>35000</v>
      </c>
      <c r="G28" s="8">
        <v>30000</v>
      </c>
      <c r="H28" s="9">
        <v>22000</v>
      </c>
      <c r="I28" s="9">
        <v>30000</v>
      </c>
      <c r="J28" s="78">
        <v>30000</v>
      </c>
      <c r="K28" s="67">
        <f t="shared" si="0"/>
        <v>30142.857142857141</v>
      </c>
      <c r="M28" s="4"/>
      <c r="N28" s="4"/>
    </row>
    <row r="29" spans="1:14" ht="15.75" x14ac:dyDescent="0.25">
      <c r="A29" s="101"/>
      <c r="B29" s="66" t="s">
        <v>26</v>
      </c>
      <c r="C29" s="17" t="s">
        <v>6</v>
      </c>
      <c r="D29" s="9">
        <v>60000</v>
      </c>
      <c r="E29" s="9">
        <v>60000</v>
      </c>
      <c r="F29" s="16">
        <v>60000</v>
      </c>
      <c r="G29" s="8">
        <v>70000</v>
      </c>
      <c r="H29" s="9">
        <v>63000</v>
      </c>
      <c r="I29" s="9">
        <v>60000</v>
      </c>
      <c r="J29" s="79">
        <v>60000</v>
      </c>
      <c r="K29" s="67">
        <f t="shared" si="0"/>
        <v>61857.142857142855</v>
      </c>
      <c r="M29" s="4"/>
      <c r="N29" s="4"/>
    </row>
    <row r="30" spans="1:14" ht="15.75" x14ac:dyDescent="0.25">
      <c r="A30" s="101"/>
      <c r="B30" s="66" t="s">
        <v>27</v>
      </c>
      <c r="C30" s="17" t="s">
        <v>6</v>
      </c>
      <c r="D30" s="9">
        <v>25000</v>
      </c>
      <c r="E30" s="9" t="s">
        <v>99</v>
      </c>
      <c r="F30" s="10" t="s">
        <v>99</v>
      </c>
      <c r="G30" s="8">
        <v>25000</v>
      </c>
      <c r="H30" s="9">
        <v>23000</v>
      </c>
      <c r="I30" s="9" t="s">
        <v>99</v>
      </c>
      <c r="J30" s="79">
        <v>26000</v>
      </c>
      <c r="K30" s="67">
        <f t="shared" si="0"/>
        <v>24750</v>
      </c>
      <c r="M30" s="4"/>
      <c r="N30" s="4"/>
    </row>
    <row r="31" spans="1:14" ht="15.75" x14ac:dyDescent="0.25">
      <c r="A31" s="101"/>
      <c r="B31" s="66" t="s">
        <v>28</v>
      </c>
      <c r="C31" s="17" t="s">
        <v>6</v>
      </c>
      <c r="D31" s="9">
        <v>35000</v>
      </c>
      <c r="E31" s="9">
        <v>36000</v>
      </c>
      <c r="F31" s="9">
        <v>40000</v>
      </c>
      <c r="G31" s="9">
        <v>40000</v>
      </c>
      <c r="H31" s="9">
        <v>28000</v>
      </c>
      <c r="I31" s="9">
        <v>36000</v>
      </c>
      <c r="J31" s="72">
        <v>35000</v>
      </c>
      <c r="K31" s="67">
        <f t="shared" si="0"/>
        <v>35714.285714285717</v>
      </c>
      <c r="M31" s="4"/>
      <c r="N31" s="4"/>
    </row>
    <row r="32" spans="1:14" ht="15.75" x14ac:dyDescent="0.25">
      <c r="A32" s="101"/>
      <c r="B32" s="66" t="s">
        <v>29</v>
      </c>
      <c r="C32" s="17" t="s">
        <v>6</v>
      </c>
      <c r="D32" s="9" t="s">
        <v>99</v>
      </c>
      <c r="E32" s="9">
        <v>100000</v>
      </c>
      <c r="F32" s="9">
        <v>100000</v>
      </c>
      <c r="G32" s="9" t="s">
        <v>99</v>
      </c>
      <c r="H32" s="9">
        <v>80000</v>
      </c>
      <c r="I32" s="9" t="s">
        <v>99</v>
      </c>
      <c r="J32" s="79">
        <v>70000</v>
      </c>
      <c r="K32" s="67">
        <f t="shared" si="0"/>
        <v>87500</v>
      </c>
      <c r="M32" s="4"/>
      <c r="N32" s="4"/>
    </row>
    <row r="33" spans="1:14" ht="15.75" x14ac:dyDescent="0.25">
      <c r="A33" s="101">
        <v>7</v>
      </c>
      <c r="B33" s="60" t="s">
        <v>30</v>
      </c>
      <c r="C33" s="73"/>
      <c r="D33" s="74"/>
      <c r="E33" s="17"/>
      <c r="F33" s="76"/>
      <c r="G33" s="76"/>
      <c r="H33" s="15"/>
      <c r="I33" s="15"/>
      <c r="J33" s="75"/>
      <c r="K33" s="71"/>
      <c r="M33" s="4"/>
      <c r="N33" s="4"/>
    </row>
    <row r="34" spans="1:14" ht="15.75" x14ac:dyDescent="0.25">
      <c r="A34" s="101"/>
      <c r="B34" s="66" t="s">
        <v>31</v>
      </c>
      <c r="C34" s="17" t="s">
        <v>6</v>
      </c>
      <c r="D34" s="9">
        <v>27000</v>
      </c>
      <c r="E34" s="9">
        <v>27000</v>
      </c>
      <c r="F34" s="9">
        <v>26000</v>
      </c>
      <c r="G34" s="9">
        <v>26000</v>
      </c>
      <c r="H34" s="9">
        <v>26000</v>
      </c>
      <c r="I34" s="9">
        <v>27000</v>
      </c>
      <c r="J34" s="72">
        <v>29500</v>
      </c>
      <c r="K34" s="67">
        <f t="shared" si="0"/>
        <v>26928.571428571428</v>
      </c>
      <c r="M34" s="4"/>
      <c r="N34" s="4"/>
    </row>
    <row r="35" spans="1:14" ht="15.75" x14ac:dyDescent="0.25">
      <c r="A35" s="101"/>
      <c r="B35" s="66" t="s">
        <v>32</v>
      </c>
      <c r="C35" s="17" t="s">
        <v>33</v>
      </c>
      <c r="D35" s="9">
        <v>3000</v>
      </c>
      <c r="E35" s="9">
        <v>2500</v>
      </c>
      <c r="F35" s="9">
        <v>2500</v>
      </c>
      <c r="G35" s="9">
        <v>2800</v>
      </c>
      <c r="H35" s="9">
        <v>2500</v>
      </c>
      <c r="I35" s="9">
        <v>3000</v>
      </c>
      <c r="J35" s="72">
        <v>3000</v>
      </c>
      <c r="K35" s="67">
        <f t="shared" si="0"/>
        <v>2757.1428571428573</v>
      </c>
      <c r="M35" s="4"/>
      <c r="N35" s="4"/>
    </row>
    <row r="36" spans="1:14" ht="15.75" x14ac:dyDescent="0.25">
      <c r="A36" s="59">
        <v>8</v>
      </c>
      <c r="B36" s="73" t="s">
        <v>117</v>
      </c>
      <c r="C36" s="80"/>
      <c r="D36" s="9"/>
      <c r="E36" s="9"/>
      <c r="F36" s="9"/>
      <c r="G36" s="9"/>
      <c r="H36" s="9"/>
      <c r="I36" s="9"/>
      <c r="J36" s="72"/>
      <c r="K36" s="81"/>
      <c r="M36" s="4"/>
      <c r="N36" s="4"/>
    </row>
    <row r="37" spans="1:14" ht="15.75" x14ac:dyDescent="0.25">
      <c r="A37" s="59"/>
      <c r="B37" s="66" t="s">
        <v>118</v>
      </c>
      <c r="C37" s="17" t="s">
        <v>6</v>
      </c>
      <c r="D37" s="9">
        <v>10000</v>
      </c>
      <c r="E37" s="9">
        <v>1250</v>
      </c>
      <c r="F37" s="9">
        <v>9000</v>
      </c>
      <c r="G37" s="9">
        <v>9000</v>
      </c>
      <c r="H37" s="9">
        <v>16000</v>
      </c>
      <c r="I37" s="9">
        <v>9000</v>
      </c>
      <c r="J37" s="72">
        <v>3000</v>
      </c>
      <c r="K37" s="67">
        <f t="shared" si="0"/>
        <v>8178.5714285714284</v>
      </c>
      <c r="M37" s="4"/>
      <c r="N37" s="4"/>
    </row>
    <row r="38" spans="1:14" ht="15.75" x14ac:dyDescent="0.25">
      <c r="A38" s="59"/>
      <c r="B38" s="66" t="s">
        <v>119</v>
      </c>
      <c r="C38" s="17" t="s">
        <v>6</v>
      </c>
      <c r="D38" s="9" t="s">
        <v>99</v>
      </c>
      <c r="E38" s="9">
        <v>10000</v>
      </c>
      <c r="F38" s="9">
        <v>12000</v>
      </c>
      <c r="G38" s="9">
        <v>14000</v>
      </c>
      <c r="H38" s="9" t="s">
        <v>99</v>
      </c>
      <c r="I38" s="9">
        <v>12000</v>
      </c>
      <c r="J38" s="72">
        <v>12000</v>
      </c>
      <c r="K38" s="67">
        <f>AVERAGE(D38:J38)</f>
        <v>12000</v>
      </c>
      <c r="M38" s="4"/>
      <c r="N38" s="4"/>
    </row>
    <row r="39" spans="1:14" ht="15.75" x14ac:dyDescent="0.25">
      <c r="A39" s="59">
        <v>9</v>
      </c>
      <c r="B39" s="82" t="s">
        <v>120</v>
      </c>
      <c r="C39" s="83"/>
      <c r="D39" s="9"/>
      <c r="E39" s="9"/>
      <c r="F39" s="9"/>
      <c r="G39" s="9"/>
      <c r="H39" s="9"/>
      <c r="I39" s="9"/>
      <c r="J39" s="72"/>
      <c r="K39" s="81"/>
      <c r="M39" s="4"/>
      <c r="N39" s="4"/>
    </row>
    <row r="40" spans="1:14" ht="15.75" x14ac:dyDescent="0.25">
      <c r="A40" s="59"/>
      <c r="B40" s="66" t="s">
        <v>121</v>
      </c>
      <c r="C40" s="17" t="s">
        <v>6</v>
      </c>
      <c r="D40" s="9" t="s">
        <v>99</v>
      </c>
      <c r="E40" s="9" t="s">
        <v>99</v>
      </c>
      <c r="F40" s="9" t="s">
        <v>99</v>
      </c>
      <c r="G40" s="9">
        <v>16000</v>
      </c>
      <c r="H40" s="9">
        <v>14000</v>
      </c>
      <c r="I40" s="9" t="s">
        <v>99</v>
      </c>
      <c r="J40" s="72">
        <v>15000</v>
      </c>
      <c r="K40" s="67">
        <f t="shared" si="0"/>
        <v>15000</v>
      </c>
      <c r="M40" s="4"/>
      <c r="N40" s="4"/>
    </row>
    <row r="41" spans="1:14" ht="15.75" x14ac:dyDescent="0.25">
      <c r="A41" s="59"/>
      <c r="B41" s="66" t="s">
        <v>122</v>
      </c>
      <c r="C41" s="17" t="s">
        <v>6</v>
      </c>
      <c r="D41" s="9" t="s">
        <v>99</v>
      </c>
      <c r="E41" s="9" t="s">
        <v>99</v>
      </c>
      <c r="F41" s="9">
        <v>6000</v>
      </c>
      <c r="G41" s="9" t="s">
        <v>99</v>
      </c>
      <c r="H41" s="9" t="s">
        <v>99</v>
      </c>
      <c r="I41" s="9">
        <v>6000</v>
      </c>
      <c r="J41" s="72" t="s">
        <v>99</v>
      </c>
      <c r="K41" s="67">
        <f t="shared" si="0"/>
        <v>6000</v>
      </c>
      <c r="M41" s="4"/>
      <c r="N41" s="4"/>
    </row>
    <row r="42" spans="1:14" ht="15.75" x14ac:dyDescent="0.25">
      <c r="A42" s="59"/>
      <c r="B42" s="66" t="s">
        <v>123</v>
      </c>
      <c r="C42" s="17" t="s">
        <v>6</v>
      </c>
      <c r="D42" s="9" t="s">
        <v>99</v>
      </c>
      <c r="E42" s="9">
        <v>2500</v>
      </c>
      <c r="F42" s="9" t="s">
        <v>99</v>
      </c>
      <c r="G42" s="9" t="s">
        <v>99</v>
      </c>
      <c r="H42" s="9" t="s">
        <v>99</v>
      </c>
      <c r="I42" s="9" t="s">
        <v>99</v>
      </c>
      <c r="J42" s="72" t="s">
        <v>99</v>
      </c>
      <c r="K42" s="67">
        <f t="shared" si="0"/>
        <v>2500</v>
      </c>
      <c r="M42" s="4"/>
      <c r="N42" s="4"/>
    </row>
    <row r="43" spans="1:14" ht="15.75" x14ac:dyDescent="0.25">
      <c r="A43" s="101">
        <v>10</v>
      </c>
      <c r="B43" s="60" t="s">
        <v>34</v>
      </c>
      <c r="C43" s="73"/>
      <c r="D43" s="74"/>
      <c r="E43" s="17"/>
      <c r="F43" s="76"/>
      <c r="G43" s="15"/>
      <c r="H43" s="15"/>
      <c r="I43" s="15"/>
      <c r="J43" s="84"/>
      <c r="K43" s="71"/>
      <c r="M43" s="4"/>
      <c r="N43" s="4"/>
    </row>
    <row r="44" spans="1:14" ht="15.75" x14ac:dyDescent="0.25">
      <c r="A44" s="101"/>
      <c r="B44" s="66" t="s">
        <v>35</v>
      </c>
      <c r="C44" s="17" t="s">
        <v>36</v>
      </c>
      <c r="D44" s="9">
        <v>12000</v>
      </c>
      <c r="E44" s="9">
        <v>12000</v>
      </c>
      <c r="F44" s="9">
        <v>12500</v>
      </c>
      <c r="G44" s="9">
        <v>12500</v>
      </c>
      <c r="H44" s="10" t="s">
        <v>99</v>
      </c>
      <c r="I44" s="16">
        <v>12500</v>
      </c>
      <c r="J44" s="72">
        <v>12500</v>
      </c>
      <c r="K44" s="67">
        <f t="shared" si="0"/>
        <v>12333.333333333334</v>
      </c>
      <c r="M44" s="4"/>
      <c r="N44" s="4"/>
    </row>
    <row r="45" spans="1:14" ht="15.75" x14ac:dyDescent="0.25">
      <c r="A45" s="101"/>
      <c r="B45" s="66" t="s">
        <v>124</v>
      </c>
      <c r="C45" s="17" t="s">
        <v>36</v>
      </c>
      <c r="D45" s="9">
        <v>12000</v>
      </c>
      <c r="E45" s="9">
        <v>13000</v>
      </c>
      <c r="F45" s="16">
        <v>12500</v>
      </c>
      <c r="G45" s="9">
        <v>12500</v>
      </c>
      <c r="H45" s="10" t="s">
        <v>99</v>
      </c>
      <c r="I45" s="16">
        <v>12500</v>
      </c>
      <c r="J45" s="79">
        <v>12500</v>
      </c>
      <c r="K45" s="67">
        <f>AVERAGE(D45:J45)</f>
        <v>12500</v>
      </c>
      <c r="M45" s="4"/>
      <c r="N45" s="4"/>
    </row>
    <row r="46" spans="1:14" ht="15.75" x14ac:dyDescent="0.25">
      <c r="A46" s="101">
        <v>11</v>
      </c>
      <c r="B46" s="60" t="s">
        <v>38</v>
      </c>
      <c r="C46" s="73"/>
      <c r="D46" s="74"/>
      <c r="E46" s="17"/>
      <c r="F46" s="15"/>
      <c r="G46" s="76"/>
      <c r="H46" s="15"/>
      <c r="I46" s="15"/>
      <c r="J46" s="75"/>
      <c r="K46" s="71"/>
      <c r="M46" s="4"/>
      <c r="N46" s="4"/>
    </row>
    <row r="47" spans="1:14" ht="15.75" x14ac:dyDescent="0.25">
      <c r="A47" s="101"/>
      <c r="B47" s="66" t="s">
        <v>39</v>
      </c>
      <c r="C47" s="17" t="s">
        <v>40</v>
      </c>
      <c r="D47" s="9" t="s">
        <v>99</v>
      </c>
      <c r="E47" s="9" t="s">
        <v>99</v>
      </c>
      <c r="F47" s="10" t="s">
        <v>99</v>
      </c>
      <c r="G47" s="8" t="s">
        <v>99</v>
      </c>
      <c r="H47" s="9">
        <v>17500</v>
      </c>
      <c r="I47" s="16" t="s">
        <v>99</v>
      </c>
      <c r="J47" s="79" t="s">
        <v>99</v>
      </c>
      <c r="K47" s="67">
        <f t="shared" si="0"/>
        <v>17500</v>
      </c>
      <c r="M47" s="4"/>
      <c r="N47" s="4"/>
    </row>
    <row r="48" spans="1:14" ht="15.75" x14ac:dyDescent="0.25">
      <c r="A48" s="101"/>
      <c r="B48" s="66" t="s">
        <v>41</v>
      </c>
      <c r="C48" s="17" t="s">
        <v>42</v>
      </c>
      <c r="D48" s="9" t="s">
        <v>99</v>
      </c>
      <c r="E48" s="9" t="s">
        <v>99</v>
      </c>
      <c r="F48" s="10" t="s">
        <v>99</v>
      </c>
      <c r="G48" s="8" t="s">
        <v>99</v>
      </c>
      <c r="H48" s="9">
        <v>2000</v>
      </c>
      <c r="I48" s="16" t="s">
        <v>99</v>
      </c>
      <c r="J48" s="79" t="s">
        <v>99</v>
      </c>
      <c r="K48" s="67">
        <f t="shared" si="0"/>
        <v>2000</v>
      </c>
      <c r="M48" s="4"/>
      <c r="N48" s="4"/>
    </row>
    <row r="49" spans="1:14" ht="15.75" x14ac:dyDescent="0.25">
      <c r="A49" s="59">
        <v>12</v>
      </c>
      <c r="B49" s="85" t="s">
        <v>43</v>
      </c>
      <c r="C49" s="80"/>
      <c r="D49" s="19"/>
      <c r="E49" s="10"/>
      <c r="F49" s="10"/>
      <c r="G49" s="22"/>
      <c r="H49" s="10"/>
      <c r="I49" s="10"/>
      <c r="J49" s="77"/>
      <c r="K49" s="71"/>
      <c r="M49" s="4"/>
      <c r="N49" s="4"/>
    </row>
    <row r="50" spans="1:14" ht="15.75" x14ac:dyDescent="0.25">
      <c r="A50" s="59"/>
      <c r="B50" s="66" t="s">
        <v>44</v>
      </c>
      <c r="C50" s="86" t="s">
        <v>6</v>
      </c>
      <c r="D50" s="9" t="s">
        <v>99</v>
      </c>
      <c r="E50" s="9">
        <v>8000</v>
      </c>
      <c r="F50" s="9">
        <v>10000</v>
      </c>
      <c r="G50" s="9">
        <v>10000</v>
      </c>
      <c r="H50" s="9">
        <v>15000</v>
      </c>
      <c r="I50" s="8">
        <v>15000</v>
      </c>
      <c r="J50" s="72">
        <v>15000</v>
      </c>
      <c r="K50" s="67">
        <f t="shared" si="0"/>
        <v>12166.666666666666</v>
      </c>
      <c r="M50" s="4" t="s">
        <v>101</v>
      </c>
      <c r="N50" s="4"/>
    </row>
    <row r="51" spans="1:14" ht="15.75" x14ac:dyDescent="0.25">
      <c r="A51" s="59"/>
      <c r="B51" s="66" t="s">
        <v>45</v>
      </c>
      <c r="C51" s="86" t="s">
        <v>6</v>
      </c>
      <c r="D51" s="9">
        <v>15000</v>
      </c>
      <c r="E51" s="9">
        <v>10000</v>
      </c>
      <c r="F51" s="8">
        <v>9000</v>
      </c>
      <c r="G51" s="9">
        <v>10000</v>
      </c>
      <c r="H51" s="9">
        <v>12000</v>
      </c>
      <c r="I51" s="9">
        <v>12000</v>
      </c>
      <c r="J51" s="72">
        <v>10000</v>
      </c>
      <c r="K51" s="67">
        <f t="shared" si="0"/>
        <v>11142.857142857143</v>
      </c>
      <c r="M51" s="4"/>
      <c r="N51" s="23"/>
    </row>
    <row r="52" spans="1:14" ht="15.75" x14ac:dyDescent="0.25">
      <c r="A52" s="101">
        <v>13</v>
      </c>
      <c r="B52" s="60" t="s">
        <v>46</v>
      </c>
      <c r="C52" s="73"/>
      <c r="D52" s="74"/>
      <c r="E52" s="17"/>
      <c r="F52" s="76"/>
      <c r="G52" s="76"/>
      <c r="H52" s="15"/>
      <c r="I52" s="15"/>
      <c r="J52" s="84"/>
      <c r="K52" s="71"/>
      <c r="M52" s="4"/>
      <c r="N52" s="4"/>
    </row>
    <row r="53" spans="1:14" ht="15.75" x14ac:dyDescent="0.25">
      <c r="A53" s="101"/>
      <c r="B53" s="66" t="s">
        <v>47</v>
      </c>
      <c r="C53" s="17" t="s">
        <v>125</v>
      </c>
      <c r="D53" s="9">
        <v>3000</v>
      </c>
      <c r="E53" s="9">
        <v>4000</v>
      </c>
      <c r="F53" s="9">
        <v>5000</v>
      </c>
      <c r="G53" s="9">
        <v>5000</v>
      </c>
      <c r="H53" s="9">
        <v>2500</v>
      </c>
      <c r="I53" s="16">
        <v>5000</v>
      </c>
      <c r="J53" s="72">
        <v>2500</v>
      </c>
      <c r="K53" s="67">
        <f t="shared" si="0"/>
        <v>3857.1428571428573</v>
      </c>
      <c r="M53" s="4"/>
      <c r="N53" s="4"/>
    </row>
    <row r="54" spans="1:14" ht="15.75" x14ac:dyDescent="0.25">
      <c r="A54" s="101">
        <v>14</v>
      </c>
      <c r="B54" s="60" t="s">
        <v>49</v>
      </c>
      <c r="C54" s="80"/>
      <c r="D54" s="62"/>
      <c r="E54" s="17"/>
      <c r="F54" s="20"/>
      <c r="G54" s="20"/>
      <c r="H54" s="17"/>
      <c r="I54" s="17"/>
      <c r="J54" s="87"/>
      <c r="K54" s="71"/>
      <c r="M54" s="4"/>
      <c r="N54" s="4"/>
    </row>
    <row r="55" spans="1:14" ht="15.75" x14ac:dyDescent="0.25">
      <c r="A55" s="101"/>
      <c r="B55" s="88" t="s">
        <v>50</v>
      </c>
      <c r="C55" s="86" t="s">
        <v>6</v>
      </c>
      <c r="D55" s="9">
        <v>10000</v>
      </c>
      <c r="E55" s="9">
        <v>10500</v>
      </c>
      <c r="F55" s="9">
        <v>10000</v>
      </c>
      <c r="G55" s="9">
        <v>11000</v>
      </c>
      <c r="H55" s="9">
        <v>12000</v>
      </c>
      <c r="I55" s="9">
        <v>10000</v>
      </c>
      <c r="J55" s="72">
        <v>10000</v>
      </c>
      <c r="K55" s="67">
        <f t="shared" si="0"/>
        <v>10500</v>
      </c>
      <c r="M55" s="4"/>
      <c r="N55" s="4"/>
    </row>
    <row r="56" spans="1:14" ht="15.75" x14ac:dyDescent="0.25">
      <c r="A56" s="101">
        <v>15</v>
      </c>
      <c r="B56" s="60" t="s">
        <v>51</v>
      </c>
      <c r="C56" s="73"/>
      <c r="D56" s="74"/>
      <c r="E56" s="17"/>
      <c r="F56" s="76"/>
      <c r="G56" s="15"/>
      <c r="H56" s="15"/>
      <c r="I56" s="15"/>
      <c r="J56" s="84"/>
      <c r="K56" s="71"/>
      <c r="M56" s="4"/>
      <c r="N56" s="4"/>
    </row>
    <row r="57" spans="1:14" ht="15.75" x14ac:dyDescent="0.25">
      <c r="A57" s="101"/>
      <c r="B57" s="66" t="s">
        <v>52</v>
      </c>
      <c r="C57" s="17" t="s">
        <v>6</v>
      </c>
      <c r="D57" s="9">
        <v>16000</v>
      </c>
      <c r="E57" s="9">
        <v>13000</v>
      </c>
      <c r="F57" s="9">
        <v>14000</v>
      </c>
      <c r="G57" s="9">
        <v>14000</v>
      </c>
      <c r="H57" s="9">
        <v>11500</v>
      </c>
      <c r="I57" s="9">
        <v>17000</v>
      </c>
      <c r="J57" s="72" t="s">
        <v>99</v>
      </c>
      <c r="K57" s="67">
        <f t="shared" si="0"/>
        <v>14250</v>
      </c>
      <c r="M57" s="4"/>
      <c r="N57" s="4"/>
    </row>
    <row r="58" spans="1:14" ht="15.75" x14ac:dyDescent="0.25">
      <c r="A58" s="101"/>
      <c r="B58" s="66" t="s">
        <v>53</v>
      </c>
      <c r="C58" s="17" t="s">
        <v>6</v>
      </c>
      <c r="D58" s="9" t="s">
        <v>99</v>
      </c>
      <c r="E58" s="9" t="s">
        <v>99</v>
      </c>
      <c r="F58" s="16">
        <v>15000</v>
      </c>
      <c r="G58" s="22" t="s">
        <v>99</v>
      </c>
      <c r="H58" s="9">
        <v>13000</v>
      </c>
      <c r="I58" s="8">
        <v>15000</v>
      </c>
      <c r="J58" s="72">
        <v>14000</v>
      </c>
      <c r="K58" s="67">
        <f t="shared" si="0"/>
        <v>14250</v>
      </c>
      <c r="M58" s="4"/>
      <c r="N58" s="4"/>
    </row>
    <row r="59" spans="1:14" ht="15.75" x14ac:dyDescent="0.25">
      <c r="A59" s="101"/>
      <c r="B59" s="66" t="s">
        <v>54</v>
      </c>
      <c r="C59" s="17" t="s">
        <v>6</v>
      </c>
      <c r="D59" s="9">
        <v>22000</v>
      </c>
      <c r="E59" s="9">
        <v>23000</v>
      </c>
      <c r="F59" s="9">
        <v>23000</v>
      </c>
      <c r="G59" s="9">
        <v>23000</v>
      </c>
      <c r="H59" s="9">
        <v>20000</v>
      </c>
      <c r="I59" s="9">
        <v>23000</v>
      </c>
      <c r="J59" s="72">
        <v>24000</v>
      </c>
      <c r="K59" s="67">
        <f t="shared" si="0"/>
        <v>22571.428571428572</v>
      </c>
      <c r="M59" s="4"/>
      <c r="N59" s="4"/>
    </row>
    <row r="60" spans="1:14" ht="15.75" x14ac:dyDescent="0.25">
      <c r="A60" s="101"/>
      <c r="B60" s="66" t="s">
        <v>55</v>
      </c>
      <c r="C60" s="17" t="s">
        <v>6</v>
      </c>
      <c r="D60" s="9">
        <v>26000</v>
      </c>
      <c r="E60" s="9">
        <v>30000</v>
      </c>
      <c r="F60" s="9">
        <v>28000</v>
      </c>
      <c r="G60" s="9">
        <v>30000</v>
      </c>
      <c r="H60" s="9">
        <v>27000</v>
      </c>
      <c r="I60" s="9">
        <v>28000</v>
      </c>
      <c r="J60" s="72">
        <v>28000</v>
      </c>
      <c r="K60" s="67">
        <f t="shared" si="0"/>
        <v>28142.857142857141</v>
      </c>
      <c r="M60" s="4"/>
      <c r="N60" s="4"/>
    </row>
    <row r="61" spans="1:14" ht="15.75" x14ac:dyDescent="0.25">
      <c r="A61" s="17">
        <v>16</v>
      </c>
      <c r="B61" s="60" t="s">
        <v>56</v>
      </c>
      <c r="C61" s="80"/>
      <c r="D61" s="89"/>
      <c r="E61" s="10"/>
      <c r="F61" s="22"/>
      <c r="G61" s="10"/>
      <c r="H61" s="10"/>
      <c r="I61" s="10"/>
      <c r="J61" s="90"/>
      <c r="K61" s="71"/>
      <c r="M61" s="4"/>
      <c r="N61" s="4"/>
    </row>
    <row r="62" spans="1:14" ht="15.75" x14ac:dyDescent="0.25">
      <c r="A62" s="17"/>
      <c r="B62" s="66" t="s">
        <v>57</v>
      </c>
      <c r="C62" s="86" t="s">
        <v>58</v>
      </c>
      <c r="D62" s="9">
        <v>3000</v>
      </c>
      <c r="E62" s="9">
        <v>3200</v>
      </c>
      <c r="F62" s="9">
        <v>3000</v>
      </c>
      <c r="G62" s="9">
        <v>3000</v>
      </c>
      <c r="H62" s="10" t="s">
        <v>99</v>
      </c>
      <c r="I62" s="16">
        <v>3000</v>
      </c>
      <c r="J62" s="72">
        <v>3500</v>
      </c>
      <c r="K62" s="67">
        <f t="shared" si="0"/>
        <v>3116.6666666666665</v>
      </c>
      <c r="M62" s="4"/>
      <c r="N62" s="4"/>
    </row>
    <row r="63" spans="1:14" ht="15.75" x14ac:dyDescent="0.25">
      <c r="A63" s="101">
        <v>17</v>
      </c>
      <c r="B63" s="60" t="s">
        <v>59</v>
      </c>
      <c r="C63" s="73"/>
      <c r="D63" s="74"/>
      <c r="E63" s="17"/>
      <c r="F63" s="76"/>
      <c r="G63" s="76"/>
      <c r="H63" s="15"/>
      <c r="I63" s="15"/>
      <c r="J63" s="84"/>
      <c r="K63" s="71"/>
      <c r="M63" s="4"/>
      <c r="N63" s="4"/>
    </row>
    <row r="64" spans="1:14" ht="15.75" x14ac:dyDescent="0.25">
      <c r="A64" s="101"/>
      <c r="B64" s="66" t="s">
        <v>60</v>
      </c>
      <c r="C64" s="17" t="s">
        <v>6</v>
      </c>
      <c r="D64" s="9">
        <v>70000</v>
      </c>
      <c r="E64" s="9">
        <v>70000</v>
      </c>
      <c r="F64" s="9">
        <v>72000</v>
      </c>
      <c r="G64" s="9">
        <v>70000</v>
      </c>
      <c r="H64" s="9">
        <v>75000</v>
      </c>
      <c r="I64" s="9">
        <v>77000</v>
      </c>
      <c r="J64" s="72">
        <v>70000</v>
      </c>
      <c r="K64" s="67">
        <f t="shared" si="0"/>
        <v>72000</v>
      </c>
      <c r="M64" s="4"/>
      <c r="N64" s="4"/>
    </row>
    <row r="65" spans="1:14" ht="15.75" x14ac:dyDescent="0.25">
      <c r="A65" s="101"/>
      <c r="B65" s="66" t="s">
        <v>61</v>
      </c>
      <c r="C65" s="17" t="s">
        <v>6</v>
      </c>
      <c r="D65" s="9">
        <v>70000</v>
      </c>
      <c r="E65" s="9">
        <v>48000</v>
      </c>
      <c r="F65" s="9">
        <v>62000</v>
      </c>
      <c r="G65" s="9">
        <v>60000</v>
      </c>
      <c r="H65" s="9">
        <v>70000</v>
      </c>
      <c r="I65" s="8">
        <v>60000</v>
      </c>
      <c r="J65" s="72">
        <v>65000</v>
      </c>
      <c r="K65" s="67">
        <f t="shared" si="0"/>
        <v>62142.857142857145</v>
      </c>
      <c r="M65" s="4"/>
      <c r="N65" s="4"/>
    </row>
    <row r="66" spans="1:14" ht="15.75" x14ac:dyDescent="0.25">
      <c r="A66" s="101"/>
      <c r="B66" s="66" t="s">
        <v>62</v>
      </c>
      <c r="C66" s="17" t="s">
        <v>6</v>
      </c>
      <c r="D66" s="9">
        <v>44000</v>
      </c>
      <c r="E66" s="9">
        <v>30000</v>
      </c>
      <c r="F66" s="9">
        <v>72000</v>
      </c>
      <c r="G66" s="9">
        <v>40000</v>
      </c>
      <c r="H66" s="9">
        <v>75000</v>
      </c>
      <c r="I66" s="9">
        <v>75000</v>
      </c>
      <c r="J66" s="72">
        <v>80000</v>
      </c>
      <c r="K66" s="67">
        <f t="shared" si="0"/>
        <v>59428.571428571428</v>
      </c>
      <c r="M66" s="4"/>
      <c r="N66" s="4"/>
    </row>
    <row r="67" spans="1:14" ht="15.75" x14ac:dyDescent="0.25">
      <c r="A67" s="17">
        <v>18</v>
      </c>
      <c r="B67" s="60" t="s">
        <v>63</v>
      </c>
      <c r="C67" s="80"/>
      <c r="D67" s="24"/>
      <c r="E67" s="10"/>
      <c r="F67" s="22"/>
      <c r="G67" s="10"/>
      <c r="H67" s="10" t="s">
        <v>1</v>
      </c>
      <c r="I67" s="10"/>
      <c r="J67" s="77"/>
      <c r="K67" s="71"/>
      <c r="M67" s="4"/>
      <c r="N67" s="4"/>
    </row>
    <row r="68" spans="1:14" ht="15.75" x14ac:dyDescent="0.25">
      <c r="A68" s="17"/>
      <c r="B68" s="66" t="s">
        <v>64</v>
      </c>
      <c r="C68" s="17" t="s">
        <v>65</v>
      </c>
      <c r="D68" s="9">
        <v>20000</v>
      </c>
      <c r="E68" s="9">
        <v>18000</v>
      </c>
      <c r="F68" s="9">
        <v>18000</v>
      </c>
      <c r="G68" s="9">
        <v>18000</v>
      </c>
      <c r="H68" s="10" t="s">
        <v>99</v>
      </c>
      <c r="I68" s="9">
        <v>18000</v>
      </c>
      <c r="J68" s="79">
        <v>18000</v>
      </c>
      <c r="K68" s="67">
        <f t="shared" si="0"/>
        <v>18333.333333333332</v>
      </c>
      <c r="M68" s="4"/>
      <c r="N68" s="4"/>
    </row>
    <row r="69" spans="1:14" ht="15.75" x14ac:dyDescent="0.25">
      <c r="A69" s="101">
        <v>19</v>
      </c>
      <c r="B69" s="60" t="s">
        <v>66</v>
      </c>
      <c r="C69" s="60"/>
      <c r="D69" s="74"/>
      <c r="E69" s="17"/>
      <c r="F69" s="15"/>
      <c r="G69" s="15"/>
      <c r="H69" s="15"/>
      <c r="I69" s="15"/>
      <c r="J69" s="75"/>
      <c r="K69" s="71"/>
      <c r="M69" s="4"/>
      <c r="N69" s="4"/>
    </row>
    <row r="70" spans="1:14" ht="15.75" x14ac:dyDescent="0.25">
      <c r="A70" s="101"/>
      <c r="B70" s="66" t="s">
        <v>67</v>
      </c>
      <c r="C70" s="17" t="s">
        <v>6</v>
      </c>
      <c r="D70" s="9">
        <v>36000</v>
      </c>
      <c r="E70" s="9">
        <v>35000</v>
      </c>
      <c r="F70" s="9">
        <v>36000</v>
      </c>
      <c r="G70" s="9">
        <v>35000</v>
      </c>
      <c r="H70" s="9">
        <v>37000</v>
      </c>
      <c r="I70" s="9">
        <v>40000</v>
      </c>
      <c r="J70" s="72">
        <v>40000</v>
      </c>
      <c r="K70" s="67">
        <f t="shared" si="0"/>
        <v>37000</v>
      </c>
      <c r="M70" s="4"/>
      <c r="N70" s="4"/>
    </row>
    <row r="71" spans="1:14" ht="15.75" x14ac:dyDescent="0.25">
      <c r="A71" s="101"/>
      <c r="B71" s="66" t="s">
        <v>68</v>
      </c>
      <c r="C71" s="17" t="s">
        <v>6</v>
      </c>
      <c r="D71" s="9">
        <v>34000</v>
      </c>
      <c r="E71" s="9">
        <v>32000</v>
      </c>
      <c r="F71" s="9">
        <v>34000</v>
      </c>
      <c r="G71" s="9">
        <v>32000</v>
      </c>
      <c r="H71" s="9">
        <v>32000</v>
      </c>
      <c r="I71" s="9">
        <v>35000</v>
      </c>
      <c r="J71" s="72">
        <v>33000</v>
      </c>
      <c r="K71" s="67">
        <f t="shared" si="0"/>
        <v>33142.857142857145</v>
      </c>
      <c r="M71" s="4"/>
      <c r="N71" s="4"/>
    </row>
    <row r="72" spans="1:14" ht="15.75" x14ac:dyDescent="0.25">
      <c r="A72" s="101"/>
      <c r="B72" s="66" t="s">
        <v>69</v>
      </c>
      <c r="C72" s="17" t="s">
        <v>6</v>
      </c>
      <c r="D72" s="9">
        <v>28000</v>
      </c>
      <c r="E72" s="9">
        <v>28000</v>
      </c>
      <c r="F72" s="9">
        <v>24000</v>
      </c>
      <c r="G72" s="9">
        <v>28000</v>
      </c>
      <c r="H72" s="9">
        <v>22000</v>
      </c>
      <c r="I72" s="9">
        <v>30000</v>
      </c>
      <c r="J72" s="72">
        <v>20000</v>
      </c>
      <c r="K72" s="67">
        <f t="shared" si="0"/>
        <v>25714.285714285714</v>
      </c>
      <c r="M72" s="4"/>
      <c r="N72" s="4"/>
    </row>
    <row r="73" spans="1:14" ht="15.75" x14ac:dyDescent="0.25">
      <c r="A73" s="101"/>
      <c r="B73" s="66" t="s">
        <v>70</v>
      </c>
      <c r="C73" s="17" t="s">
        <v>6</v>
      </c>
      <c r="D73" s="9">
        <v>28000</v>
      </c>
      <c r="E73" s="9">
        <v>25000</v>
      </c>
      <c r="F73" s="16">
        <v>28000</v>
      </c>
      <c r="G73" s="8">
        <v>30000</v>
      </c>
      <c r="H73" s="9">
        <v>25000</v>
      </c>
      <c r="I73" s="9">
        <v>25000</v>
      </c>
      <c r="J73" s="72">
        <v>30000</v>
      </c>
      <c r="K73" s="67">
        <f t="shared" si="0"/>
        <v>27285.714285714286</v>
      </c>
      <c r="M73" s="4"/>
      <c r="N73" s="4"/>
    </row>
    <row r="74" spans="1:14" ht="15.75" x14ac:dyDescent="0.25">
      <c r="A74" s="17">
        <v>20</v>
      </c>
      <c r="B74" s="60" t="s">
        <v>71</v>
      </c>
      <c r="C74" s="91"/>
      <c r="D74" s="24"/>
      <c r="E74" s="10"/>
      <c r="F74" s="10"/>
      <c r="G74" s="89"/>
      <c r="H74" s="10"/>
      <c r="I74" s="10"/>
      <c r="J74" s="90"/>
      <c r="K74" s="71"/>
      <c r="M74" s="4"/>
      <c r="N74" s="4"/>
    </row>
    <row r="75" spans="1:14" ht="15.75" x14ac:dyDescent="0.25">
      <c r="A75" s="17"/>
      <c r="B75" s="66" t="s">
        <v>72</v>
      </c>
      <c r="C75" s="86" t="s">
        <v>6</v>
      </c>
      <c r="D75" s="9">
        <v>7000</v>
      </c>
      <c r="E75" s="9">
        <v>7000</v>
      </c>
      <c r="F75" s="9">
        <v>5000</v>
      </c>
      <c r="G75" s="9">
        <v>6000</v>
      </c>
      <c r="H75" s="9">
        <v>5000</v>
      </c>
      <c r="I75" s="9">
        <v>5000</v>
      </c>
      <c r="J75" s="72">
        <v>5000</v>
      </c>
      <c r="K75" s="67">
        <f t="shared" si="0"/>
        <v>5714.2857142857147</v>
      </c>
      <c r="M75" s="4"/>
      <c r="N75" s="4"/>
    </row>
    <row r="76" spans="1:14" ht="15.75" x14ac:dyDescent="0.25">
      <c r="A76" s="17"/>
      <c r="B76" s="66" t="s">
        <v>73</v>
      </c>
      <c r="C76" s="86" t="s">
        <v>6</v>
      </c>
      <c r="D76" s="9">
        <v>7000</v>
      </c>
      <c r="E76" s="9">
        <v>6000</v>
      </c>
      <c r="F76" s="16">
        <v>6000</v>
      </c>
      <c r="G76" s="8">
        <v>6000</v>
      </c>
      <c r="H76" s="9">
        <v>5000</v>
      </c>
      <c r="I76" s="9">
        <v>6000</v>
      </c>
      <c r="J76" s="79">
        <v>6000</v>
      </c>
      <c r="K76" s="67">
        <f t="shared" si="0"/>
        <v>6000</v>
      </c>
      <c r="M76" s="4"/>
      <c r="N76" s="4"/>
    </row>
    <row r="77" spans="1:14" ht="15.75" x14ac:dyDescent="0.25">
      <c r="A77" s="17">
        <v>21</v>
      </c>
      <c r="B77" s="60" t="s">
        <v>74</v>
      </c>
      <c r="C77" s="91"/>
      <c r="D77" s="19"/>
      <c r="E77" s="10"/>
      <c r="F77" s="10"/>
      <c r="G77" s="22"/>
      <c r="H77" s="10"/>
      <c r="I77" s="10"/>
      <c r="J77" s="77"/>
      <c r="K77" s="71"/>
      <c r="M77" s="4"/>
      <c r="N77" s="4"/>
    </row>
    <row r="78" spans="1:14" ht="15.75" x14ac:dyDescent="0.25">
      <c r="A78" s="17"/>
      <c r="B78" s="66" t="s">
        <v>75</v>
      </c>
      <c r="C78" s="86" t="s">
        <v>6</v>
      </c>
      <c r="D78" s="9">
        <v>8000</v>
      </c>
      <c r="E78" s="9">
        <v>8000</v>
      </c>
      <c r="F78" s="9">
        <v>10000</v>
      </c>
      <c r="G78" s="9">
        <v>8000</v>
      </c>
      <c r="H78" s="9">
        <v>6000</v>
      </c>
      <c r="I78" s="16">
        <v>9000</v>
      </c>
      <c r="J78" s="72" t="s">
        <v>99</v>
      </c>
      <c r="K78" s="67">
        <f t="shared" si="0"/>
        <v>8166.666666666667</v>
      </c>
      <c r="M78" s="4"/>
      <c r="N78" s="4"/>
    </row>
    <row r="79" spans="1:14" ht="15.75" x14ac:dyDescent="0.25">
      <c r="A79" s="17"/>
      <c r="B79" s="66" t="s">
        <v>76</v>
      </c>
      <c r="C79" s="86" t="s">
        <v>6</v>
      </c>
      <c r="D79" s="9">
        <v>8000</v>
      </c>
      <c r="E79" s="9">
        <v>10000</v>
      </c>
      <c r="F79" s="9">
        <v>20000</v>
      </c>
      <c r="G79" s="9">
        <v>12000</v>
      </c>
      <c r="H79" s="9">
        <v>6000</v>
      </c>
      <c r="I79" s="16">
        <v>14000</v>
      </c>
      <c r="J79" s="72">
        <v>15000</v>
      </c>
      <c r="K79" s="67">
        <f t="shared" si="0"/>
        <v>12142.857142857143</v>
      </c>
      <c r="M79" s="4"/>
      <c r="N79" s="4"/>
    </row>
    <row r="80" spans="1:14" ht="15.75" x14ac:dyDescent="0.25">
      <c r="A80" s="17"/>
      <c r="B80" s="66" t="s">
        <v>77</v>
      </c>
      <c r="C80" s="86" t="s">
        <v>6</v>
      </c>
      <c r="D80" s="9">
        <v>18000</v>
      </c>
      <c r="E80" s="9">
        <v>16000</v>
      </c>
      <c r="F80" s="9">
        <v>17000</v>
      </c>
      <c r="G80" s="9">
        <v>16000</v>
      </c>
      <c r="H80" s="9">
        <v>15000</v>
      </c>
      <c r="I80" s="9">
        <v>18000</v>
      </c>
      <c r="J80" s="72">
        <v>18000</v>
      </c>
      <c r="K80" s="67">
        <f t="shared" si="0"/>
        <v>16857.142857142859</v>
      </c>
      <c r="M80" s="4"/>
      <c r="N80" s="4"/>
    </row>
    <row r="81" spans="1:14" ht="15.75" x14ac:dyDescent="0.25">
      <c r="A81" s="17"/>
      <c r="B81" s="66" t="s">
        <v>78</v>
      </c>
      <c r="C81" s="86" t="s">
        <v>6</v>
      </c>
      <c r="D81" s="9">
        <v>22000</v>
      </c>
      <c r="E81" s="9">
        <v>15000</v>
      </c>
      <c r="F81" s="9">
        <v>10000</v>
      </c>
      <c r="G81" s="9">
        <v>15000</v>
      </c>
      <c r="H81" s="9">
        <v>20000</v>
      </c>
      <c r="I81" s="8">
        <v>23000</v>
      </c>
      <c r="J81" s="72">
        <v>20000</v>
      </c>
      <c r="K81" s="67">
        <f t="shared" ref="K81:K88" si="1">AVERAGE(D81:J81)</f>
        <v>17857.142857142859</v>
      </c>
      <c r="M81" s="4"/>
      <c r="N81" s="4"/>
    </row>
    <row r="82" spans="1:14" ht="15.75" x14ac:dyDescent="0.25">
      <c r="A82" s="17"/>
      <c r="B82" s="66" t="s">
        <v>79</v>
      </c>
      <c r="C82" s="86" t="s">
        <v>6</v>
      </c>
      <c r="D82" s="9">
        <v>14000</v>
      </c>
      <c r="E82" s="9">
        <v>12000</v>
      </c>
      <c r="F82" s="9">
        <v>14000</v>
      </c>
      <c r="G82" s="9">
        <v>12000</v>
      </c>
      <c r="H82" s="9">
        <v>10000</v>
      </c>
      <c r="I82" s="9">
        <v>18000</v>
      </c>
      <c r="J82" s="72">
        <v>15000</v>
      </c>
      <c r="K82" s="67">
        <f t="shared" si="1"/>
        <v>13571.428571428571</v>
      </c>
      <c r="M82" s="4"/>
      <c r="N82" s="4"/>
    </row>
    <row r="83" spans="1:14" ht="15.75" x14ac:dyDescent="0.25">
      <c r="A83" s="17"/>
      <c r="B83" s="66" t="s">
        <v>80</v>
      </c>
      <c r="C83" s="86" t="s">
        <v>6</v>
      </c>
      <c r="D83" s="9">
        <v>9000</v>
      </c>
      <c r="E83" s="9">
        <v>8000</v>
      </c>
      <c r="F83" s="16">
        <v>9000</v>
      </c>
      <c r="G83" s="8">
        <v>8000</v>
      </c>
      <c r="H83" s="9">
        <v>7000</v>
      </c>
      <c r="I83" s="16">
        <v>9000</v>
      </c>
      <c r="J83" s="72">
        <v>8000</v>
      </c>
      <c r="K83" s="67">
        <f t="shared" si="1"/>
        <v>8285.7142857142862</v>
      </c>
      <c r="M83" s="4"/>
      <c r="N83" s="4"/>
    </row>
    <row r="84" spans="1:14" ht="15.75" x14ac:dyDescent="0.25">
      <c r="A84" s="17"/>
      <c r="B84" s="66" t="s">
        <v>81</v>
      </c>
      <c r="C84" s="86" t="s">
        <v>82</v>
      </c>
      <c r="D84" s="9">
        <v>2000</v>
      </c>
      <c r="E84" s="9">
        <v>1500</v>
      </c>
      <c r="F84" s="9">
        <v>2000</v>
      </c>
      <c r="G84" s="8">
        <v>2000</v>
      </c>
      <c r="H84" s="9">
        <v>1500</v>
      </c>
      <c r="I84" s="9">
        <v>2000</v>
      </c>
      <c r="J84" s="79">
        <v>1500</v>
      </c>
      <c r="K84" s="67">
        <f t="shared" si="1"/>
        <v>1785.7142857142858</v>
      </c>
      <c r="L84" s="4"/>
      <c r="M84" s="4"/>
      <c r="N84" s="4"/>
    </row>
    <row r="85" spans="1:14" x14ac:dyDescent="0.25">
      <c r="A85" s="17"/>
      <c r="B85" s="66" t="s">
        <v>83</v>
      </c>
      <c r="C85" s="86" t="s">
        <v>82</v>
      </c>
      <c r="D85" s="9">
        <v>1500</v>
      </c>
      <c r="E85" s="9">
        <v>1500</v>
      </c>
      <c r="F85" s="9">
        <v>1500</v>
      </c>
      <c r="G85" s="8">
        <v>2000</v>
      </c>
      <c r="H85" s="9">
        <v>1500</v>
      </c>
      <c r="I85" s="9">
        <v>1500</v>
      </c>
      <c r="J85" s="79">
        <v>1000</v>
      </c>
      <c r="K85" s="67">
        <f t="shared" si="1"/>
        <v>1500</v>
      </c>
    </row>
    <row r="86" spans="1:14" x14ac:dyDescent="0.25">
      <c r="A86" s="17"/>
      <c r="B86" s="66" t="s">
        <v>84</v>
      </c>
      <c r="C86" s="86" t="s">
        <v>82</v>
      </c>
      <c r="D86" s="9" t="s">
        <v>99</v>
      </c>
      <c r="E86" s="9">
        <v>2000</v>
      </c>
      <c r="F86" s="9" t="s">
        <v>99</v>
      </c>
      <c r="G86" s="8" t="s">
        <v>99</v>
      </c>
      <c r="H86" s="9">
        <v>2500</v>
      </c>
      <c r="I86" s="9" t="s">
        <v>99</v>
      </c>
      <c r="J86" s="79">
        <v>2000</v>
      </c>
      <c r="K86" s="67">
        <f t="shared" si="1"/>
        <v>2166.6666666666665</v>
      </c>
    </row>
    <row r="87" spans="1:14" x14ac:dyDescent="0.25">
      <c r="A87" s="17">
        <v>22</v>
      </c>
      <c r="B87" s="60" t="s">
        <v>85</v>
      </c>
      <c r="C87" s="91"/>
      <c r="D87" s="22"/>
      <c r="E87" s="10"/>
      <c r="F87" s="10" t="s">
        <v>102</v>
      </c>
      <c r="G87" s="22"/>
      <c r="H87" s="10"/>
      <c r="I87" s="10"/>
      <c r="J87" s="77"/>
      <c r="K87" s="71"/>
    </row>
    <row r="88" spans="1:14" x14ac:dyDescent="0.25">
      <c r="A88" s="17"/>
      <c r="B88" s="66" t="s">
        <v>86</v>
      </c>
      <c r="C88" s="86" t="s">
        <v>87</v>
      </c>
      <c r="D88" s="9" t="s">
        <v>99</v>
      </c>
      <c r="E88" s="9" t="s">
        <v>99</v>
      </c>
      <c r="F88" s="9">
        <v>18000</v>
      </c>
      <c r="G88" s="8">
        <v>17000</v>
      </c>
      <c r="H88" s="10" t="s">
        <v>99</v>
      </c>
      <c r="I88" s="16">
        <v>18000</v>
      </c>
      <c r="J88" s="79">
        <v>18000</v>
      </c>
      <c r="K88" s="67">
        <f t="shared" si="1"/>
        <v>17750</v>
      </c>
    </row>
  </sheetData>
  <mergeCells count="28">
    <mergeCell ref="A1:K1"/>
    <mergeCell ref="A2:K2"/>
    <mergeCell ref="A3:K3"/>
    <mergeCell ref="A4:A6"/>
    <mergeCell ref="B4:B6"/>
    <mergeCell ref="C4:C6"/>
    <mergeCell ref="F4:F6"/>
    <mergeCell ref="K4:K6"/>
    <mergeCell ref="J4:J6"/>
    <mergeCell ref="H4:H6"/>
    <mergeCell ref="I4:I6"/>
    <mergeCell ref="G4:G6"/>
    <mergeCell ref="D4:D6"/>
    <mergeCell ref="E4:E6"/>
    <mergeCell ref="A63:A66"/>
    <mergeCell ref="A69:A73"/>
    <mergeCell ref="A21:A25"/>
    <mergeCell ref="A26:A32"/>
    <mergeCell ref="A33:A35"/>
    <mergeCell ref="A43:A45"/>
    <mergeCell ref="A46:A48"/>
    <mergeCell ref="A52:A53"/>
    <mergeCell ref="A54:A55"/>
    <mergeCell ref="A7:A12"/>
    <mergeCell ref="A13:A15"/>
    <mergeCell ref="A16:A17"/>
    <mergeCell ref="A19:A20"/>
    <mergeCell ref="A56:A60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02B33-9CEA-4277-A1BC-EA793E714A2C}">
  <dimension ref="A1:N88"/>
  <sheetViews>
    <sheetView workbookViewId="0">
      <selection activeCell="A4" sqref="A4:A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02" t="s">
        <v>88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M1" s="4"/>
      <c r="N1" s="4"/>
    </row>
    <row r="2" spans="1:14" ht="27.75" customHeight="1" x14ac:dyDescent="0.25">
      <c r="A2" s="103" t="s">
        <v>89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M2" s="4"/>
      <c r="N2" s="4"/>
    </row>
    <row r="3" spans="1:14" ht="27.75" customHeight="1" thickBot="1" x14ac:dyDescent="0.3">
      <c r="A3" s="104" t="s">
        <v>141</v>
      </c>
      <c r="B3" s="104"/>
      <c r="C3" s="104"/>
      <c r="D3" s="104"/>
      <c r="E3" s="104"/>
      <c r="F3" s="104"/>
      <c r="G3" s="104"/>
      <c r="H3" s="104"/>
      <c r="I3" s="104"/>
      <c r="J3" s="104"/>
      <c r="K3" s="105"/>
      <c r="M3" s="4"/>
      <c r="N3" s="4"/>
    </row>
    <row r="4" spans="1:14" ht="25.5" customHeight="1" x14ac:dyDescent="0.25">
      <c r="A4" s="96" t="s">
        <v>1</v>
      </c>
      <c r="B4" s="99" t="s">
        <v>2</v>
      </c>
      <c r="C4" s="96" t="s">
        <v>90</v>
      </c>
      <c r="D4" s="110" t="s">
        <v>91</v>
      </c>
      <c r="E4" s="113" t="s">
        <v>92</v>
      </c>
      <c r="F4" s="125" t="s">
        <v>93</v>
      </c>
      <c r="G4" s="128" t="s">
        <v>94</v>
      </c>
      <c r="H4" s="116" t="s">
        <v>95</v>
      </c>
      <c r="I4" s="119" t="s">
        <v>96</v>
      </c>
      <c r="J4" s="106" t="s">
        <v>97</v>
      </c>
      <c r="K4" s="122" t="s">
        <v>98</v>
      </c>
      <c r="M4" s="4"/>
      <c r="N4" s="4"/>
    </row>
    <row r="5" spans="1:14" ht="15" customHeight="1" x14ac:dyDescent="0.25">
      <c r="A5" s="97"/>
      <c r="B5" s="100"/>
      <c r="C5" s="97"/>
      <c r="D5" s="111"/>
      <c r="E5" s="114"/>
      <c r="F5" s="126"/>
      <c r="G5" s="129"/>
      <c r="H5" s="117"/>
      <c r="I5" s="120"/>
      <c r="J5" s="107"/>
      <c r="K5" s="123"/>
      <c r="M5" s="4"/>
      <c r="N5" s="4"/>
    </row>
    <row r="6" spans="1:14" ht="16.5" thickBot="1" x14ac:dyDescent="0.3">
      <c r="A6" s="98"/>
      <c r="B6" s="109"/>
      <c r="C6" s="98"/>
      <c r="D6" s="112"/>
      <c r="E6" s="115"/>
      <c r="F6" s="127"/>
      <c r="G6" s="130"/>
      <c r="H6" s="118"/>
      <c r="I6" s="121"/>
      <c r="J6" s="108"/>
      <c r="K6" s="124"/>
      <c r="M6" s="4"/>
      <c r="N6" s="4"/>
    </row>
    <row r="7" spans="1:14" ht="15.75" x14ac:dyDescent="0.25">
      <c r="A7" s="101">
        <v>1</v>
      </c>
      <c r="B7" s="60" t="s">
        <v>4</v>
      </c>
      <c r="C7" s="61"/>
      <c r="D7" s="62"/>
      <c r="E7" s="17" t="s">
        <v>102</v>
      </c>
      <c r="F7" s="17"/>
      <c r="G7" s="63"/>
      <c r="H7" s="63" t="s">
        <v>1</v>
      </c>
      <c r="I7" s="64"/>
      <c r="J7" s="63"/>
      <c r="K7" s="65"/>
      <c r="M7" s="4"/>
      <c r="N7" s="4"/>
    </row>
    <row r="8" spans="1:14" ht="15.75" x14ac:dyDescent="0.25">
      <c r="A8" s="101"/>
      <c r="B8" s="66" t="s">
        <v>107</v>
      </c>
      <c r="C8" s="17" t="s">
        <v>6</v>
      </c>
      <c r="D8" s="9">
        <v>15500</v>
      </c>
      <c r="E8" s="9">
        <v>15500</v>
      </c>
      <c r="F8" s="9">
        <v>15500</v>
      </c>
      <c r="G8" s="9">
        <v>15500</v>
      </c>
      <c r="H8" s="9">
        <v>17000</v>
      </c>
      <c r="I8" s="9">
        <v>16500</v>
      </c>
      <c r="J8" s="16">
        <v>17000</v>
      </c>
      <c r="K8" s="67">
        <f>AVERAGE(D8:J8)</f>
        <v>16071.428571428571</v>
      </c>
      <c r="L8" s="1"/>
      <c r="M8" s="7"/>
      <c r="N8" s="4"/>
    </row>
    <row r="9" spans="1:14" ht="15.75" x14ac:dyDescent="0.25">
      <c r="A9" s="101"/>
      <c r="B9" s="66" t="s">
        <v>115</v>
      </c>
      <c r="C9" s="17" t="s">
        <v>6</v>
      </c>
      <c r="D9" s="9">
        <v>10900</v>
      </c>
      <c r="E9" s="9">
        <v>10900</v>
      </c>
      <c r="F9" s="9">
        <v>10900</v>
      </c>
      <c r="G9" s="8">
        <v>10900</v>
      </c>
      <c r="H9" s="9">
        <v>12000</v>
      </c>
      <c r="I9" s="9">
        <v>14000</v>
      </c>
      <c r="J9" s="16" t="s">
        <v>99</v>
      </c>
      <c r="K9" s="67">
        <f t="shared" ref="K9:K80" si="0">AVERAGE(D9:J9)</f>
        <v>11600</v>
      </c>
      <c r="M9" s="4"/>
      <c r="N9" s="4"/>
    </row>
    <row r="10" spans="1:14" ht="15.75" x14ac:dyDescent="0.25">
      <c r="A10" s="101"/>
      <c r="B10" s="66" t="s">
        <v>108</v>
      </c>
      <c r="C10" s="17" t="s">
        <v>6</v>
      </c>
      <c r="D10" s="9" t="s">
        <v>99</v>
      </c>
      <c r="E10" s="9" t="s">
        <v>99</v>
      </c>
      <c r="F10" s="9" t="s">
        <v>99</v>
      </c>
      <c r="G10" s="8" t="s">
        <v>99</v>
      </c>
      <c r="H10" s="9" t="s">
        <v>99</v>
      </c>
      <c r="I10" s="9" t="s">
        <v>99</v>
      </c>
      <c r="J10" s="16" t="s">
        <v>99</v>
      </c>
      <c r="K10" s="67">
        <v>0</v>
      </c>
      <c r="M10" s="4"/>
      <c r="N10" s="4"/>
    </row>
    <row r="11" spans="1:14" ht="15.75" x14ac:dyDescent="0.25">
      <c r="A11" s="101"/>
      <c r="B11" s="66" t="s">
        <v>9</v>
      </c>
      <c r="C11" s="17" t="s">
        <v>6</v>
      </c>
      <c r="D11" s="9" t="s">
        <v>99</v>
      </c>
      <c r="E11" s="9">
        <v>10000</v>
      </c>
      <c r="F11" s="16">
        <v>12000</v>
      </c>
      <c r="G11" s="8">
        <v>10000</v>
      </c>
      <c r="H11" s="9">
        <v>10000</v>
      </c>
      <c r="I11" s="16">
        <v>12000</v>
      </c>
      <c r="J11" s="16">
        <v>10000</v>
      </c>
      <c r="K11" s="67">
        <f>AVERAGE(D11:J11)</f>
        <v>10666.666666666666</v>
      </c>
      <c r="M11" s="4"/>
      <c r="N11" s="4"/>
    </row>
    <row r="12" spans="1:14" ht="15.75" x14ac:dyDescent="0.25">
      <c r="A12" s="101"/>
      <c r="B12" s="66" t="s">
        <v>10</v>
      </c>
      <c r="C12" s="17" t="s">
        <v>6</v>
      </c>
      <c r="D12" s="9" t="s">
        <v>99</v>
      </c>
      <c r="E12" s="9">
        <v>21000</v>
      </c>
      <c r="F12" s="16">
        <v>16000</v>
      </c>
      <c r="G12" s="8">
        <v>18000</v>
      </c>
      <c r="H12" s="9">
        <v>25000</v>
      </c>
      <c r="I12" s="16">
        <v>17000</v>
      </c>
      <c r="J12" s="16">
        <v>17000</v>
      </c>
      <c r="K12" s="67">
        <f t="shared" si="0"/>
        <v>19000</v>
      </c>
      <c r="M12" s="4"/>
      <c r="N12" s="12"/>
    </row>
    <row r="13" spans="1:14" ht="15.75" x14ac:dyDescent="0.25">
      <c r="A13" s="101">
        <v>2</v>
      </c>
      <c r="B13" s="60" t="s">
        <v>11</v>
      </c>
      <c r="C13" s="68"/>
      <c r="D13" s="62"/>
      <c r="E13" s="92"/>
      <c r="F13" s="17"/>
      <c r="G13" s="70"/>
      <c r="H13" s="70"/>
      <c r="I13" s="70"/>
      <c r="J13" s="70"/>
      <c r="K13" s="71"/>
      <c r="M13" s="4"/>
      <c r="N13" s="4"/>
    </row>
    <row r="14" spans="1:14" ht="15.75" x14ac:dyDescent="0.25">
      <c r="A14" s="101"/>
      <c r="B14" s="66" t="s">
        <v>116</v>
      </c>
      <c r="C14" s="17" t="s">
        <v>6</v>
      </c>
      <c r="D14" s="9">
        <v>16000</v>
      </c>
      <c r="E14" s="9">
        <v>16500</v>
      </c>
      <c r="F14" s="9">
        <v>16000</v>
      </c>
      <c r="G14" s="16">
        <v>16000</v>
      </c>
      <c r="H14" s="9">
        <v>16500</v>
      </c>
      <c r="I14" s="9">
        <v>16500</v>
      </c>
      <c r="J14" s="72">
        <v>16500</v>
      </c>
      <c r="K14" s="67">
        <f t="shared" si="0"/>
        <v>16285.714285714286</v>
      </c>
      <c r="M14" s="4"/>
      <c r="N14" s="4"/>
    </row>
    <row r="15" spans="1:14" ht="15.75" x14ac:dyDescent="0.25">
      <c r="A15" s="101"/>
      <c r="B15" s="66" t="s">
        <v>13</v>
      </c>
      <c r="C15" s="17" t="s">
        <v>6</v>
      </c>
      <c r="D15" s="9">
        <v>17000</v>
      </c>
      <c r="E15" s="9">
        <v>16000</v>
      </c>
      <c r="F15" s="16">
        <v>16000</v>
      </c>
      <c r="G15" s="8">
        <v>16000</v>
      </c>
      <c r="H15" s="9">
        <v>17000</v>
      </c>
      <c r="I15" s="9">
        <v>16000</v>
      </c>
      <c r="J15" s="72">
        <v>18000</v>
      </c>
      <c r="K15" s="67">
        <f>AVERAGE(D15:J15)</f>
        <v>16571.428571428572</v>
      </c>
      <c r="M15" s="4"/>
      <c r="N15" s="4"/>
    </row>
    <row r="16" spans="1:14" ht="15.75" x14ac:dyDescent="0.25">
      <c r="A16" s="101">
        <v>3</v>
      </c>
      <c r="B16" s="60" t="s">
        <v>14</v>
      </c>
      <c r="C16" s="73"/>
      <c r="D16" s="74"/>
      <c r="E16" s="15"/>
      <c r="F16" s="15"/>
      <c r="G16" s="15"/>
      <c r="H16" s="15"/>
      <c r="I16" s="15" t="s">
        <v>130</v>
      </c>
      <c r="J16" s="75"/>
      <c r="K16" s="71"/>
      <c r="M16" s="4"/>
      <c r="N16" s="4"/>
    </row>
    <row r="17" spans="1:14" ht="15.75" x14ac:dyDescent="0.25">
      <c r="A17" s="101"/>
      <c r="B17" s="66" t="s">
        <v>15</v>
      </c>
      <c r="C17" s="17" t="s">
        <v>6</v>
      </c>
      <c r="D17" s="9">
        <v>15000</v>
      </c>
      <c r="E17" s="9">
        <v>15000</v>
      </c>
      <c r="F17" s="9">
        <v>14000</v>
      </c>
      <c r="G17" s="9">
        <v>15000</v>
      </c>
      <c r="H17" s="9">
        <v>16000</v>
      </c>
      <c r="I17" s="9">
        <v>16000</v>
      </c>
      <c r="J17" s="72">
        <v>16500</v>
      </c>
      <c r="K17" s="67">
        <f t="shared" si="0"/>
        <v>15357.142857142857</v>
      </c>
      <c r="M17" s="4"/>
      <c r="N17" s="4"/>
    </row>
    <row r="18" spans="1:14" ht="15.75" x14ac:dyDescent="0.25">
      <c r="A18" s="59"/>
      <c r="B18" s="66" t="s">
        <v>109</v>
      </c>
      <c r="C18" s="17" t="s">
        <v>110</v>
      </c>
      <c r="D18" s="9">
        <v>14000</v>
      </c>
      <c r="E18" s="9">
        <v>14000</v>
      </c>
      <c r="F18" s="9">
        <v>14000</v>
      </c>
      <c r="G18" s="9">
        <v>14000</v>
      </c>
      <c r="H18" s="9" t="s">
        <v>99</v>
      </c>
      <c r="I18" s="9">
        <v>14000</v>
      </c>
      <c r="J18" s="72">
        <v>14000</v>
      </c>
      <c r="K18" s="67">
        <f t="shared" si="0"/>
        <v>14000</v>
      </c>
      <c r="M18" s="4"/>
      <c r="N18" s="4"/>
    </row>
    <row r="19" spans="1:14" ht="17.25" customHeight="1" x14ac:dyDescent="0.25">
      <c r="A19" s="101">
        <v>4</v>
      </c>
      <c r="B19" s="60" t="s">
        <v>16</v>
      </c>
      <c r="C19" s="73"/>
      <c r="D19" s="74"/>
      <c r="E19" s="15"/>
      <c r="F19" s="15"/>
      <c r="G19" s="76"/>
      <c r="H19" s="15"/>
      <c r="I19" s="15"/>
      <c r="J19" s="75"/>
      <c r="K19" s="71"/>
      <c r="M19" s="4"/>
      <c r="N19" s="4"/>
    </row>
    <row r="20" spans="1:14" ht="15.75" x14ac:dyDescent="0.25">
      <c r="A20" s="101"/>
      <c r="B20" s="66" t="s">
        <v>17</v>
      </c>
      <c r="C20" s="17" t="s">
        <v>6</v>
      </c>
      <c r="D20" s="9">
        <v>20000</v>
      </c>
      <c r="E20" s="9">
        <v>20000</v>
      </c>
      <c r="F20" s="16">
        <v>20000</v>
      </c>
      <c r="G20" s="8">
        <v>22000</v>
      </c>
      <c r="H20" s="16">
        <v>33000</v>
      </c>
      <c r="I20" s="16">
        <v>20000</v>
      </c>
      <c r="J20" s="77" t="s">
        <v>99</v>
      </c>
      <c r="K20" s="67">
        <f t="shared" si="0"/>
        <v>22500</v>
      </c>
      <c r="M20" s="4"/>
      <c r="N20" s="4"/>
    </row>
    <row r="21" spans="1:14" ht="15.75" x14ac:dyDescent="0.25">
      <c r="A21" s="101">
        <v>5</v>
      </c>
      <c r="B21" s="60" t="s">
        <v>18</v>
      </c>
      <c r="C21" s="73"/>
      <c r="D21" s="74"/>
      <c r="E21" s="17"/>
      <c r="F21" s="15" t="s">
        <v>1</v>
      </c>
      <c r="G21" s="76"/>
      <c r="H21" s="15"/>
      <c r="I21" s="15"/>
      <c r="J21" s="75"/>
      <c r="K21" s="71"/>
      <c r="M21" s="4"/>
      <c r="N21" s="4"/>
    </row>
    <row r="22" spans="1:14" ht="15.75" x14ac:dyDescent="0.25">
      <c r="A22" s="101"/>
      <c r="B22" s="66" t="s">
        <v>19</v>
      </c>
      <c r="C22" s="17" t="s">
        <v>6</v>
      </c>
      <c r="D22" s="9">
        <v>120000</v>
      </c>
      <c r="E22" s="9">
        <v>120000</v>
      </c>
      <c r="F22" s="9">
        <v>120000</v>
      </c>
      <c r="G22" s="9">
        <v>120000</v>
      </c>
      <c r="H22" s="9">
        <v>120000</v>
      </c>
      <c r="I22" s="8">
        <v>120000</v>
      </c>
      <c r="J22" s="72" t="s">
        <v>99</v>
      </c>
      <c r="K22" s="67">
        <f t="shared" si="0"/>
        <v>120000</v>
      </c>
      <c r="M22" s="4"/>
      <c r="N22" s="4"/>
    </row>
    <row r="23" spans="1:14" ht="15.75" x14ac:dyDescent="0.25">
      <c r="A23" s="101"/>
      <c r="B23" s="66" t="s">
        <v>20</v>
      </c>
      <c r="C23" s="17" t="s">
        <v>6</v>
      </c>
      <c r="D23" s="9">
        <v>110000</v>
      </c>
      <c r="E23" s="9">
        <v>110000</v>
      </c>
      <c r="F23" s="9">
        <v>110000</v>
      </c>
      <c r="G23" s="9">
        <v>110000</v>
      </c>
      <c r="H23" s="9">
        <v>115000</v>
      </c>
      <c r="I23" s="9">
        <v>110000</v>
      </c>
      <c r="J23" s="72">
        <v>110000</v>
      </c>
      <c r="K23" s="67">
        <f t="shared" si="0"/>
        <v>110714.28571428571</v>
      </c>
      <c r="M23" s="4"/>
      <c r="N23" s="4"/>
    </row>
    <row r="24" spans="1:14" ht="15.75" x14ac:dyDescent="0.25">
      <c r="A24" s="101"/>
      <c r="B24" s="66" t="s">
        <v>21</v>
      </c>
      <c r="C24" s="17" t="s">
        <v>6</v>
      </c>
      <c r="D24" s="9">
        <v>90000</v>
      </c>
      <c r="E24" s="9">
        <v>90000</v>
      </c>
      <c r="F24" s="9">
        <v>100000</v>
      </c>
      <c r="G24" s="9">
        <v>105000</v>
      </c>
      <c r="H24" s="9">
        <v>110000</v>
      </c>
      <c r="I24" s="8">
        <v>100000</v>
      </c>
      <c r="J24" s="72">
        <v>105000</v>
      </c>
      <c r="K24" s="67">
        <f t="shared" si="0"/>
        <v>100000</v>
      </c>
      <c r="M24" s="4"/>
      <c r="N24" s="4"/>
    </row>
    <row r="25" spans="1:14" ht="15.75" x14ac:dyDescent="0.25">
      <c r="A25" s="101"/>
      <c r="B25" s="66" t="s">
        <v>22</v>
      </c>
      <c r="C25" s="17" t="s">
        <v>6</v>
      </c>
      <c r="D25" s="9">
        <v>34000</v>
      </c>
      <c r="E25" s="9">
        <v>31000</v>
      </c>
      <c r="F25" s="9">
        <v>34000</v>
      </c>
      <c r="G25" s="9">
        <v>34000</v>
      </c>
      <c r="H25" s="72">
        <v>33000</v>
      </c>
      <c r="I25" s="9">
        <v>34000</v>
      </c>
      <c r="J25" s="72">
        <v>35000</v>
      </c>
      <c r="K25" s="67">
        <f t="shared" si="0"/>
        <v>33571.428571428572</v>
      </c>
      <c r="M25" s="4"/>
      <c r="N25" s="4"/>
    </row>
    <row r="26" spans="1:14" ht="15.75" x14ac:dyDescent="0.25">
      <c r="A26" s="101">
        <v>6</v>
      </c>
      <c r="B26" s="60" t="s">
        <v>23</v>
      </c>
      <c r="C26" s="73"/>
      <c r="D26" s="74"/>
      <c r="E26" s="17"/>
      <c r="F26" s="76"/>
      <c r="G26" s="15"/>
      <c r="H26" s="75"/>
      <c r="I26" s="15"/>
      <c r="J26" s="75"/>
      <c r="K26" s="71"/>
      <c r="M26" s="4"/>
      <c r="N26" s="4"/>
    </row>
    <row r="27" spans="1:14" ht="15.75" x14ac:dyDescent="0.25">
      <c r="A27" s="101"/>
      <c r="B27" s="66" t="s">
        <v>24</v>
      </c>
      <c r="C27" s="17" t="s">
        <v>6</v>
      </c>
      <c r="D27" s="9">
        <v>34000</v>
      </c>
      <c r="E27" s="9">
        <v>35000</v>
      </c>
      <c r="F27" s="9" t="s">
        <v>99</v>
      </c>
      <c r="G27" s="9">
        <v>40000</v>
      </c>
      <c r="H27" s="9">
        <v>30000</v>
      </c>
      <c r="I27" s="9" t="s">
        <v>99</v>
      </c>
      <c r="J27" s="72">
        <v>30000</v>
      </c>
      <c r="K27" s="67">
        <f t="shared" si="0"/>
        <v>33800</v>
      </c>
      <c r="L27" t="s">
        <v>100</v>
      </c>
      <c r="M27" s="4"/>
      <c r="N27" s="4"/>
    </row>
    <row r="28" spans="1:14" ht="15.75" x14ac:dyDescent="0.25">
      <c r="A28" s="101"/>
      <c r="B28" s="66" t="s">
        <v>25</v>
      </c>
      <c r="C28" s="17" t="s">
        <v>6</v>
      </c>
      <c r="D28" s="9">
        <v>36000</v>
      </c>
      <c r="E28" s="9">
        <v>28000</v>
      </c>
      <c r="F28" s="9">
        <v>35000</v>
      </c>
      <c r="G28" s="8">
        <v>30000</v>
      </c>
      <c r="H28" s="9">
        <v>22000</v>
      </c>
      <c r="I28" s="9">
        <v>30000</v>
      </c>
      <c r="J28" s="78">
        <v>30000</v>
      </c>
      <c r="K28" s="67">
        <f t="shared" si="0"/>
        <v>30142.857142857141</v>
      </c>
      <c r="M28" s="4"/>
      <c r="N28" s="4"/>
    </row>
    <row r="29" spans="1:14" ht="15.75" x14ac:dyDescent="0.25">
      <c r="A29" s="101"/>
      <c r="B29" s="66" t="s">
        <v>26</v>
      </c>
      <c r="C29" s="17" t="s">
        <v>6</v>
      </c>
      <c r="D29" s="9">
        <v>60000</v>
      </c>
      <c r="E29" s="9">
        <v>60000</v>
      </c>
      <c r="F29" s="16">
        <v>60000</v>
      </c>
      <c r="G29" s="8">
        <v>70000</v>
      </c>
      <c r="H29" s="9">
        <v>65000</v>
      </c>
      <c r="I29" s="9">
        <v>60000</v>
      </c>
      <c r="J29" s="79">
        <v>60000</v>
      </c>
      <c r="K29" s="67">
        <f t="shared" si="0"/>
        <v>62142.857142857145</v>
      </c>
      <c r="M29" s="4"/>
      <c r="N29" s="4"/>
    </row>
    <row r="30" spans="1:14" ht="15.75" x14ac:dyDescent="0.25">
      <c r="A30" s="101"/>
      <c r="B30" s="66" t="s">
        <v>27</v>
      </c>
      <c r="C30" s="17" t="s">
        <v>6</v>
      </c>
      <c r="D30" s="9">
        <v>25000</v>
      </c>
      <c r="E30" s="9" t="s">
        <v>99</v>
      </c>
      <c r="F30" s="10" t="s">
        <v>99</v>
      </c>
      <c r="G30" s="8">
        <v>25000</v>
      </c>
      <c r="H30" s="9">
        <v>23000</v>
      </c>
      <c r="I30" s="9" t="s">
        <v>99</v>
      </c>
      <c r="J30" s="79">
        <v>26000</v>
      </c>
      <c r="K30" s="67">
        <f t="shared" si="0"/>
        <v>24750</v>
      </c>
      <c r="M30" s="4"/>
      <c r="N30" s="4"/>
    </row>
    <row r="31" spans="1:14" ht="15.75" x14ac:dyDescent="0.25">
      <c r="A31" s="101"/>
      <c r="B31" s="66" t="s">
        <v>28</v>
      </c>
      <c r="C31" s="17" t="s">
        <v>6</v>
      </c>
      <c r="D31" s="9">
        <v>34000</v>
      </c>
      <c r="E31" s="9">
        <v>36000</v>
      </c>
      <c r="F31" s="9">
        <v>40000</v>
      </c>
      <c r="G31" s="9">
        <v>40000</v>
      </c>
      <c r="H31" s="9">
        <v>28000</v>
      </c>
      <c r="I31" s="9">
        <v>36000</v>
      </c>
      <c r="J31" s="72">
        <v>35000</v>
      </c>
      <c r="K31" s="67">
        <f t="shared" si="0"/>
        <v>35571.428571428572</v>
      </c>
      <c r="M31" s="4"/>
      <c r="N31" s="4"/>
    </row>
    <row r="32" spans="1:14" ht="15.75" x14ac:dyDescent="0.25">
      <c r="A32" s="101"/>
      <c r="B32" s="66" t="s">
        <v>29</v>
      </c>
      <c r="C32" s="17" t="s">
        <v>6</v>
      </c>
      <c r="D32" s="9" t="s">
        <v>99</v>
      </c>
      <c r="E32" s="9">
        <v>100000</v>
      </c>
      <c r="F32" s="9">
        <v>100000</v>
      </c>
      <c r="G32" s="9" t="s">
        <v>99</v>
      </c>
      <c r="H32" s="9">
        <v>80000</v>
      </c>
      <c r="I32" s="9">
        <v>100000</v>
      </c>
      <c r="J32" s="79">
        <v>70000</v>
      </c>
      <c r="K32" s="67">
        <f t="shared" si="0"/>
        <v>90000</v>
      </c>
      <c r="M32" s="4"/>
      <c r="N32" s="4"/>
    </row>
    <row r="33" spans="1:14" ht="15.75" x14ac:dyDescent="0.25">
      <c r="A33" s="101">
        <v>7</v>
      </c>
      <c r="B33" s="60" t="s">
        <v>30</v>
      </c>
      <c r="C33" s="73"/>
      <c r="D33" s="74"/>
      <c r="E33" s="17"/>
      <c r="F33" s="76"/>
      <c r="G33" s="76"/>
      <c r="H33" s="15"/>
      <c r="I33" s="15"/>
      <c r="J33" s="75"/>
      <c r="K33" s="71"/>
      <c r="M33" s="4"/>
      <c r="N33" s="4"/>
    </row>
    <row r="34" spans="1:14" ht="15.75" x14ac:dyDescent="0.25">
      <c r="A34" s="101"/>
      <c r="B34" s="66" t="s">
        <v>31</v>
      </c>
      <c r="C34" s="17" t="s">
        <v>6</v>
      </c>
      <c r="D34" s="9">
        <v>27000</v>
      </c>
      <c r="E34" s="9">
        <v>27000</v>
      </c>
      <c r="F34" s="9">
        <v>26000</v>
      </c>
      <c r="G34" s="9">
        <v>26000</v>
      </c>
      <c r="H34" s="9">
        <v>26000</v>
      </c>
      <c r="I34" s="9">
        <v>27000</v>
      </c>
      <c r="J34" s="72">
        <v>29500</v>
      </c>
      <c r="K34" s="67">
        <f t="shared" si="0"/>
        <v>26928.571428571428</v>
      </c>
      <c r="M34" s="4"/>
      <c r="N34" s="4"/>
    </row>
    <row r="35" spans="1:14" ht="15.75" x14ac:dyDescent="0.25">
      <c r="A35" s="101"/>
      <c r="B35" s="66" t="s">
        <v>32</v>
      </c>
      <c r="C35" s="17" t="s">
        <v>33</v>
      </c>
      <c r="D35" s="9">
        <v>3000</v>
      </c>
      <c r="E35" s="9">
        <v>2500</v>
      </c>
      <c r="F35" s="9">
        <v>2500</v>
      </c>
      <c r="G35" s="9">
        <v>2800</v>
      </c>
      <c r="H35" s="9">
        <v>2500</v>
      </c>
      <c r="I35" s="9">
        <v>3000</v>
      </c>
      <c r="J35" s="72">
        <v>3000</v>
      </c>
      <c r="K35" s="67">
        <f t="shared" si="0"/>
        <v>2757.1428571428573</v>
      </c>
      <c r="M35" s="4"/>
      <c r="N35" s="4"/>
    </row>
    <row r="36" spans="1:14" ht="15.75" x14ac:dyDescent="0.25">
      <c r="A36" s="59">
        <v>8</v>
      </c>
      <c r="B36" s="73" t="s">
        <v>117</v>
      </c>
      <c r="C36" s="80"/>
      <c r="D36" s="9"/>
      <c r="E36" s="9"/>
      <c r="F36" s="9"/>
      <c r="G36" s="9"/>
      <c r="H36" s="9"/>
      <c r="I36" s="9"/>
      <c r="J36" s="72"/>
      <c r="K36" s="81"/>
      <c r="M36" s="4"/>
      <c r="N36" s="4"/>
    </row>
    <row r="37" spans="1:14" ht="15.75" x14ac:dyDescent="0.25">
      <c r="A37" s="59"/>
      <c r="B37" s="66" t="s">
        <v>118</v>
      </c>
      <c r="C37" s="17" t="s">
        <v>6</v>
      </c>
      <c r="D37" s="9">
        <v>10000</v>
      </c>
      <c r="E37" s="9">
        <v>1250</v>
      </c>
      <c r="F37" s="9">
        <v>9000</v>
      </c>
      <c r="G37" s="9">
        <v>9000</v>
      </c>
      <c r="H37" s="9">
        <v>16000</v>
      </c>
      <c r="I37" s="9">
        <v>9000</v>
      </c>
      <c r="J37" s="72">
        <v>3000</v>
      </c>
      <c r="K37" s="67">
        <f t="shared" si="0"/>
        <v>8178.5714285714284</v>
      </c>
      <c r="M37" s="4"/>
      <c r="N37" s="4"/>
    </row>
    <row r="38" spans="1:14" ht="15.75" x14ac:dyDescent="0.25">
      <c r="A38" s="59"/>
      <c r="B38" s="66" t="s">
        <v>119</v>
      </c>
      <c r="C38" s="17" t="s">
        <v>6</v>
      </c>
      <c r="D38" s="9" t="s">
        <v>99</v>
      </c>
      <c r="E38" s="9">
        <v>10000</v>
      </c>
      <c r="F38" s="9">
        <v>12000</v>
      </c>
      <c r="G38" s="9">
        <v>14000</v>
      </c>
      <c r="H38" s="9" t="s">
        <v>99</v>
      </c>
      <c r="I38" s="9">
        <v>12000</v>
      </c>
      <c r="J38" s="72">
        <v>12000</v>
      </c>
      <c r="K38" s="67">
        <f>AVERAGE(D38:J38)</f>
        <v>12000</v>
      </c>
      <c r="M38" s="4"/>
      <c r="N38" s="4"/>
    </row>
    <row r="39" spans="1:14" ht="15.75" x14ac:dyDescent="0.25">
      <c r="A39" s="59">
        <v>9</v>
      </c>
      <c r="B39" s="82" t="s">
        <v>120</v>
      </c>
      <c r="C39" s="83"/>
      <c r="D39" s="9"/>
      <c r="E39" s="9"/>
      <c r="F39" s="9"/>
      <c r="G39" s="9"/>
      <c r="H39" s="9"/>
      <c r="I39" s="9"/>
      <c r="J39" s="72"/>
      <c r="K39" s="81"/>
      <c r="M39" s="4"/>
      <c r="N39" s="4"/>
    </row>
    <row r="40" spans="1:14" ht="15.75" x14ac:dyDescent="0.25">
      <c r="A40" s="59"/>
      <c r="B40" s="66" t="s">
        <v>121</v>
      </c>
      <c r="C40" s="17" t="s">
        <v>6</v>
      </c>
      <c r="D40" s="9" t="s">
        <v>99</v>
      </c>
      <c r="E40" s="9" t="s">
        <v>99</v>
      </c>
      <c r="F40" s="9" t="s">
        <v>99</v>
      </c>
      <c r="G40" s="9">
        <v>16000</v>
      </c>
      <c r="H40" s="9">
        <v>14000</v>
      </c>
      <c r="I40" s="9" t="s">
        <v>99</v>
      </c>
      <c r="J40" s="72">
        <v>15000</v>
      </c>
      <c r="K40" s="67">
        <f t="shared" si="0"/>
        <v>15000</v>
      </c>
      <c r="M40" s="4"/>
      <c r="N40" s="4"/>
    </row>
    <row r="41" spans="1:14" ht="15.75" x14ac:dyDescent="0.25">
      <c r="A41" s="59"/>
      <c r="B41" s="66" t="s">
        <v>122</v>
      </c>
      <c r="C41" s="17" t="s">
        <v>6</v>
      </c>
      <c r="D41" s="9" t="s">
        <v>99</v>
      </c>
      <c r="E41" s="9" t="s">
        <v>99</v>
      </c>
      <c r="F41" s="9">
        <v>6000</v>
      </c>
      <c r="G41" s="9" t="s">
        <v>99</v>
      </c>
      <c r="H41" s="9" t="s">
        <v>99</v>
      </c>
      <c r="I41" s="9">
        <v>6000</v>
      </c>
      <c r="J41" s="72" t="s">
        <v>99</v>
      </c>
      <c r="K41" s="67">
        <f t="shared" si="0"/>
        <v>6000</v>
      </c>
      <c r="M41" s="4"/>
      <c r="N41" s="4"/>
    </row>
    <row r="42" spans="1:14" ht="15.75" x14ac:dyDescent="0.25">
      <c r="A42" s="59"/>
      <c r="B42" s="66" t="s">
        <v>123</v>
      </c>
      <c r="C42" s="17" t="s">
        <v>6</v>
      </c>
      <c r="D42" s="9" t="s">
        <v>99</v>
      </c>
      <c r="E42" s="9">
        <v>2500</v>
      </c>
      <c r="F42" s="9" t="s">
        <v>99</v>
      </c>
      <c r="G42" s="9" t="s">
        <v>99</v>
      </c>
      <c r="H42" s="9" t="s">
        <v>99</v>
      </c>
      <c r="I42" s="9" t="s">
        <v>99</v>
      </c>
      <c r="J42" s="72" t="s">
        <v>99</v>
      </c>
      <c r="K42" s="67">
        <f t="shared" si="0"/>
        <v>2500</v>
      </c>
      <c r="M42" s="4"/>
      <c r="N42" s="4"/>
    </row>
    <row r="43" spans="1:14" ht="15.75" x14ac:dyDescent="0.25">
      <c r="A43" s="101">
        <v>10</v>
      </c>
      <c r="B43" s="60" t="s">
        <v>34</v>
      </c>
      <c r="C43" s="73"/>
      <c r="D43" s="74"/>
      <c r="E43" s="17"/>
      <c r="F43" s="76"/>
      <c r="G43" s="15"/>
      <c r="H43" s="15"/>
      <c r="I43" s="15"/>
      <c r="J43" s="84"/>
      <c r="K43" s="71"/>
      <c r="M43" s="4"/>
      <c r="N43" s="4"/>
    </row>
    <row r="44" spans="1:14" ht="15.75" x14ac:dyDescent="0.25">
      <c r="A44" s="101"/>
      <c r="B44" s="66" t="s">
        <v>35</v>
      </c>
      <c r="C44" s="17" t="s">
        <v>36</v>
      </c>
      <c r="D44" s="9">
        <v>12000</v>
      </c>
      <c r="E44" s="9">
        <v>12000</v>
      </c>
      <c r="F44" s="9">
        <v>12500</v>
      </c>
      <c r="G44" s="9">
        <v>12500</v>
      </c>
      <c r="H44" s="10" t="s">
        <v>99</v>
      </c>
      <c r="I44" s="16">
        <v>12500</v>
      </c>
      <c r="J44" s="72">
        <v>12500</v>
      </c>
      <c r="K44" s="67">
        <f t="shared" si="0"/>
        <v>12333.333333333334</v>
      </c>
      <c r="M44" s="4"/>
      <c r="N44" s="4"/>
    </row>
    <row r="45" spans="1:14" ht="15.75" x14ac:dyDescent="0.25">
      <c r="A45" s="101"/>
      <c r="B45" s="66" t="s">
        <v>124</v>
      </c>
      <c r="C45" s="17" t="s">
        <v>36</v>
      </c>
      <c r="D45" s="9">
        <v>12000</v>
      </c>
      <c r="E45" s="9">
        <v>13000</v>
      </c>
      <c r="F45" s="16">
        <v>12500</v>
      </c>
      <c r="G45" s="9">
        <v>12500</v>
      </c>
      <c r="H45" s="10" t="s">
        <v>99</v>
      </c>
      <c r="I45" s="16">
        <v>12500</v>
      </c>
      <c r="J45" s="79">
        <v>12500</v>
      </c>
      <c r="K45" s="67">
        <f>AVERAGE(D45:J45)</f>
        <v>12500</v>
      </c>
      <c r="M45" s="4"/>
      <c r="N45" s="4"/>
    </row>
    <row r="46" spans="1:14" ht="15.75" x14ac:dyDescent="0.25">
      <c r="A46" s="101">
        <v>11</v>
      </c>
      <c r="B46" s="60" t="s">
        <v>38</v>
      </c>
      <c r="C46" s="73"/>
      <c r="D46" s="74"/>
      <c r="E46" s="17"/>
      <c r="F46" s="15"/>
      <c r="G46" s="76"/>
      <c r="H46" s="15"/>
      <c r="I46" s="15"/>
      <c r="J46" s="75"/>
      <c r="K46" s="71"/>
      <c r="M46" s="4"/>
      <c r="N46" s="4"/>
    </row>
    <row r="47" spans="1:14" ht="15.75" x14ac:dyDescent="0.25">
      <c r="A47" s="101"/>
      <c r="B47" s="66" t="s">
        <v>39</v>
      </c>
      <c r="C47" s="17" t="s">
        <v>40</v>
      </c>
      <c r="D47" s="9" t="s">
        <v>99</v>
      </c>
      <c r="E47" s="9" t="s">
        <v>99</v>
      </c>
      <c r="F47" s="10" t="s">
        <v>99</v>
      </c>
      <c r="G47" s="8" t="s">
        <v>99</v>
      </c>
      <c r="H47" s="9">
        <v>17500</v>
      </c>
      <c r="I47" s="16" t="s">
        <v>99</v>
      </c>
      <c r="J47" s="79" t="s">
        <v>99</v>
      </c>
      <c r="K47" s="67">
        <f t="shared" si="0"/>
        <v>17500</v>
      </c>
      <c r="M47" s="4"/>
      <c r="N47" s="4"/>
    </row>
    <row r="48" spans="1:14" ht="15.75" x14ac:dyDescent="0.25">
      <c r="A48" s="101"/>
      <c r="B48" s="66" t="s">
        <v>41</v>
      </c>
      <c r="C48" s="17" t="s">
        <v>42</v>
      </c>
      <c r="D48" s="9" t="s">
        <v>99</v>
      </c>
      <c r="E48" s="9" t="s">
        <v>99</v>
      </c>
      <c r="F48" s="10" t="s">
        <v>99</v>
      </c>
      <c r="G48" s="8" t="s">
        <v>99</v>
      </c>
      <c r="H48" s="9">
        <v>2000</v>
      </c>
      <c r="I48" s="16" t="s">
        <v>99</v>
      </c>
      <c r="J48" s="79" t="s">
        <v>99</v>
      </c>
      <c r="K48" s="67">
        <f t="shared" si="0"/>
        <v>2000</v>
      </c>
      <c r="M48" s="4"/>
      <c r="N48" s="4"/>
    </row>
    <row r="49" spans="1:14" ht="15.75" x14ac:dyDescent="0.25">
      <c r="A49" s="59">
        <v>12</v>
      </c>
      <c r="B49" s="85" t="s">
        <v>43</v>
      </c>
      <c r="C49" s="80"/>
      <c r="D49" s="19"/>
      <c r="E49" s="10"/>
      <c r="F49" s="10"/>
      <c r="G49" s="22"/>
      <c r="H49" s="10"/>
      <c r="I49" s="10"/>
      <c r="J49" s="77"/>
      <c r="K49" s="71"/>
      <c r="M49" s="4"/>
      <c r="N49" s="4"/>
    </row>
    <row r="50" spans="1:14" ht="15.75" x14ac:dyDescent="0.25">
      <c r="A50" s="59"/>
      <c r="B50" s="66" t="s">
        <v>44</v>
      </c>
      <c r="C50" s="86" t="s">
        <v>6</v>
      </c>
      <c r="D50" s="9" t="s">
        <v>99</v>
      </c>
      <c r="E50" s="9">
        <v>8000</v>
      </c>
      <c r="F50" s="9">
        <v>10000</v>
      </c>
      <c r="G50" s="9">
        <v>10000</v>
      </c>
      <c r="H50" s="9">
        <v>15000</v>
      </c>
      <c r="I50" s="8">
        <v>15000</v>
      </c>
      <c r="J50" s="72">
        <v>15000</v>
      </c>
      <c r="K50" s="67">
        <f t="shared" si="0"/>
        <v>12166.666666666666</v>
      </c>
      <c r="M50" s="4" t="s">
        <v>101</v>
      </c>
      <c r="N50" s="4"/>
    </row>
    <row r="51" spans="1:14" ht="15.75" x14ac:dyDescent="0.25">
      <c r="A51" s="59"/>
      <c r="B51" s="66" t="s">
        <v>45</v>
      </c>
      <c r="C51" s="86" t="s">
        <v>6</v>
      </c>
      <c r="D51" s="9">
        <v>15000</v>
      </c>
      <c r="E51" s="9">
        <v>10000</v>
      </c>
      <c r="F51" s="8">
        <v>9000</v>
      </c>
      <c r="G51" s="9">
        <v>10000</v>
      </c>
      <c r="H51" s="9">
        <v>12000</v>
      </c>
      <c r="I51" s="9">
        <v>12000</v>
      </c>
      <c r="J51" s="72">
        <v>10000</v>
      </c>
      <c r="K51" s="67">
        <f t="shared" si="0"/>
        <v>11142.857142857143</v>
      </c>
      <c r="M51" s="4"/>
      <c r="N51" s="23"/>
    </row>
    <row r="52" spans="1:14" ht="15.75" x14ac:dyDescent="0.25">
      <c r="A52" s="101">
        <v>13</v>
      </c>
      <c r="B52" s="60" t="s">
        <v>46</v>
      </c>
      <c r="C52" s="73"/>
      <c r="D52" s="74"/>
      <c r="E52" s="17"/>
      <c r="F52" s="76"/>
      <c r="G52" s="76"/>
      <c r="H52" s="15"/>
      <c r="I52" s="15"/>
      <c r="J52" s="84"/>
      <c r="K52" s="71"/>
      <c r="M52" s="4"/>
      <c r="N52" s="4"/>
    </row>
    <row r="53" spans="1:14" ht="15.75" x14ac:dyDescent="0.25">
      <c r="A53" s="101"/>
      <c r="B53" s="66" t="s">
        <v>47</v>
      </c>
      <c r="C53" s="17" t="s">
        <v>125</v>
      </c>
      <c r="D53" s="9">
        <v>3000</v>
      </c>
      <c r="E53" s="9">
        <v>4000</v>
      </c>
      <c r="F53" s="9">
        <v>5000</v>
      </c>
      <c r="G53" s="9">
        <v>5000</v>
      </c>
      <c r="H53" s="9">
        <v>2500</v>
      </c>
      <c r="I53" s="16">
        <v>5000</v>
      </c>
      <c r="J53" s="72">
        <v>2500</v>
      </c>
      <c r="K53" s="67">
        <f t="shared" si="0"/>
        <v>3857.1428571428573</v>
      </c>
      <c r="M53" s="4"/>
      <c r="N53" s="4"/>
    </row>
    <row r="54" spans="1:14" ht="15.75" x14ac:dyDescent="0.25">
      <c r="A54" s="101">
        <v>14</v>
      </c>
      <c r="B54" s="60" t="s">
        <v>49</v>
      </c>
      <c r="C54" s="80"/>
      <c r="D54" s="62"/>
      <c r="E54" s="17"/>
      <c r="F54" s="20"/>
      <c r="G54" s="20"/>
      <c r="H54" s="17"/>
      <c r="I54" s="17"/>
      <c r="J54" s="87"/>
      <c r="K54" s="71"/>
      <c r="M54" s="4"/>
      <c r="N54" s="4"/>
    </row>
    <row r="55" spans="1:14" ht="15.75" x14ac:dyDescent="0.25">
      <c r="A55" s="101"/>
      <c r="B55" s="88" t="s">
        <v>50</v>
      </c>
      <c r="C55" s="86" t="s">
        <v>6</v>
      </c>
      <c r="D55" s="9">
        <v>10000</v>
      </c>
      <c r="E55" s="9">
        <v>10500</v>
      </c>
      <c r="F55" s="9">
        <v>10000</v>
      </c>
      <c r="G55" s="9">
        <v>11000</v>
      </c>
      <c r="H55" s="9">
        <v>12000</v>
      </c>
      <c r="I55" s="9">
        <v>10000</v>
      </c>
      <c r="J55" s="72">
        <v>10000</v>
      </c>
      <c r="K55" s="67">
        <f t="shared" si="0"/>
        <v>10500</v>
      </c>
      <c r="M55" s="4"/>
      <c r="N55" s="4"/>
    </row>
    <row r="56" spans="1:14" ht="15.75" x14ac:dyDescent="0.25">
      <c r="A56" s="101">
        <v>15</v>
      </c>
      <c r="B56" s="60" t="s">
        <v>51</v>
      </c>
      <c r="C56" s="73"/>
      <c r="D56" s="74"/>
      <c r="E56" s="17"/>
      <c r="F56" s="76"/>
      <c r="G56" s="15"/>
      <c r="H56" s="15"/>
      <c r="I56" s="15"/>
      <c r="J56" s="84"/>
      <c r="K56" s="71"/>
      <c r="M56" s="4"/>
      <c r="N56" s="4"/>
    </row>
    <row r="57" spans="1:14" ht="15.75" x14ac:dyDescent="0.25">
      <c r="A57" s="101"/>
      <c r="B57" s="66" t="s">
        <v>52</v>
      </c>
      <c r="C57" s="17" t="s">
        <v>6</v>
      </c>
      <c r="D57" s="9">
        <v>16000</v>
      </c>
      <c r="E57" s="9">
        <v>13000</v>
      </c>
      <c r="F57" s="9">
        <v>14000</v>
      </c>
      <c r="G57" s="9">
        <v>14000</v>
      </c>
      <c r="H57" s="9">
        <v>11500</v>
      </c>
      <c r="I57" s="9">
        <v>17000</v>
      </c>
      <c r="J57" s="72" t="s">
        <v>99</v>
      </c>
      <c r="K57" s="67">
        <f t="shared" si="0"/>
        <v>14250</v>
      </c>
      <c r="M57" s="4"/>
      <c r="N57" s="4"/>
    </row>
    <row r="58" spans="1:14" ht="15.75" x14ac:dyDescent="0.25">
      <c r="A58" s="101"/>
      <c r="B58" s="66" t="s">
        <v>53</v>
      </c>
      <c r="C58" s="17" t="s">
        <v>6</v>
      </c>
      <c r="D58" s="9" t="s">
        <v>99</v>
      </c>
      <c r="E58" s="9" t="s">
        <v>99</v>
      </c>
      <c r="F58" s="16">
        <v>15000</v>
      </c>
      <c r="G58" s="22" t="s">
        <v>99</v>
      </c>
      <c r="H58" s="9">
        <v>13000</v>
      </c>
      <c r="I58" s="8">
        <v>15000</v>
      </c>
      <c r="J58" s="72">
        <v>14000</v>
      </c>
      <c r="K58" s="67">
        <f t="shared" si="0"/>
        <v>14250</v>
      </c>
      <c r="M58" s="4"/>
      <c r="N58" s="4"/>
    </row>
    <row r="59" spans="1:14" ht="15.75" x14ac:dyDescent="0.25">
      <c r="A59" s="101"/>
      <c r="B59" s="66" t="s">
        <v>54</v>
      </c>
      <c r="C59" s="17" t="s">
        <v>6</v>
      </c>
      <c r="D59" s="9">
        <v>22000</v>
      </c>
      <c r="E59" s="9">
        <v>23000</v>
      </c>
      <c r="F59" s="9">
        <v>23000</v>
      </c>
      <c r="G59" s="9">
        <v>23000</v>
      </c>
      <c r="H59" s="9">
        <v>20000</v>
      </c>
      <c r="I59" s="9">
        <v>23000</v>
      </c>
      <c r="J59" s="72">
        <v>24000</v>
      </c>
      <c r="K59" s="67">
        <f t="shared" si="0"/>
        <v>22571.428571428572</v>
      </c>
      <c r="M59" s="4"/>
      <c r="N59" s="4"/>
    </row>
    <row r="60" spans="1:14" ht="15.75" x14ac:dyDescent="0.25">
      <c r="A60" s="101"/>
      <c r="B60" s="66" t="s">
        <v>55</v>
      </c>
      <c r="C60" s="17" t="s">
        <v>6</v>
      </c>
      <c r="D60" s="9">
        <v>26000</v>
      </c>
      <c r="E60" s="9">
        <v>30000</v>
      </c>
      <c r="F60" s="9">
        <v>28000</v>
      </c>
      <c r="G60" s="9">
        <v>30000</v>
      </c>
      <c r="H60" s="9">
        <v>27000</v>
      </c>
      <c r="I60" s="9">
        <v>28000</v>
      </c>
      <c r="J60" s="72">
        <v>28000</v>
      </c>
      <c r="K60" s="67">
        <f t="shared" si="0"/>
        <v>28142.857142857141</v>
      </c>
      <c r="M60" s="4"/>
      <c r="N60" s="4"/>
    </row>
    <row r="61" spans="1:14" ht="15.75" x14ac:dyDescent="0.25">
      <c r="A61" s="17">
        <v>16</v>
      </c>
      <c r="B61" s="60" t="s">
        <v>56</v>
      </c>
      <c r="C61" s="80"/>
      <c r="D61" s="89"/>
      <c r="E61" s="10"/>
      <c r="F61" s="22"/>
      <c r="G61" s="10"/>
      <c r="H61" s="10"/>
      <c r="I61" s="10"/>
      <c r="J61" s="90"/>
      <c r="K61" s="71"/>
      <c r="M61" s="4"/>
      <c r="N61" s="4"/>
    </row>
    <row r="62" spans="1:14" ht="15.75" x14ac:dyDescent="0.25">
      <c r="A62" s="17"/>
      <c r="B62" s="66" t="s">
        <v>57</v>
      </c>
      <c r="C62" s="86" t="s">
        <v>58</v>
      </c>
      <c r="D62" s="9">
        <v>3000</v>
      </c>
      <c r="E62" s="9">
        <v>3200</v>
      </c>
      <c r="F62" s="9">
        <v>3000</v>
      </c>
      <c r="G62" s="9">
        <v>3000</v>
      </c>
      <c r="H62" s="10" t="s">
        <v>99</v>
      </c>
      <c r="I62" s="16">
        <v>3000</v>
      </c>
      <c r="J62" s="72">
        <v>3500</v>
      </c>
      <c r="K62" s="67">
        <f t="shared" si="0"/>
        <v>3116.6666666666665</v>
      </c>
      <c r="M62" s="4"/>
      <c r="N62" s="4"/>
    </row>
    <row r="63" spans="1:14" ht="15.75" x14ac:dyDescent="0.25">
      <c r="A63" s="101">
        <v>17</v>
      </c>
      <c r="B63" s="60" t="s">
        <v>59</v>
      </c>
      <c r="C63" s="73"/>
      <c r="D63" s="74"/>
      <c r="E63" s="17"/>
      <c r="F63" s="76"/>
      <c r="G63" s="76"/>
      <c r="H63" s="15"/>
      <c r="I63" s="15"/>
      <c r="J63" s="84"/>
      <c r="K63" s="71"/>
      <c r="M63" s="4"/>
      <c r="N63" s="4"/>
    </row>
    <row r="64" spans="1:14" ht="15.75" x14ac:dyDescent="0.25">
      <c r="A64" s="101"/>
      <c r="B64" s="66" t="s">
        <v>60</v>
      </c>
      <c r="C64" s="17" t="s">
        <v>6</v>
      </c>
      <c r="D64" s="9">
        <v>75000</v>
      </c>
      <c r="E64" s="9">
        <v>70000</v>
      </c>
      <c r="F64" s="9">
        <v>70000</v>
      </c>
      <c r="G64" s="9">
        <v>70000</v>
      </c>
      <c r="H64" s="9">
        <v>65000</v>
      </c>
      <c r="I64" s="9">
        <v>77000</v>
      </c>
      <c r="J64" s="72">
        <v>70000</v>
      </c>
      <c r="K64" s="67">
        <f t="shared" si="0"/>
        <v>71000</v>
      </c>
      <c r="M64" s="4"/>
      <c r="N64" s="4"/>
    </row>
    <row r="65" spans="1:14" ht="15.75" x14ac:dyDescent="0.25">
      <c r="A65" s="101"/>
      <c r="B65" s="66" t="s">
        <v>61</v>
      </c>
      <c r="C65" s="17" t="s">
        <v>6</v>
      </c>
      <c r="D65" s="9">
        <v>85000</v>
      </c>
      <c r="E65" s="9">
        <v>70000</v>
      </c>
      <c r="F65" s="9">
        <v>62000</v>
      </c>
      <c r="G65" s="9">
        <v>60000</v>
      </c>
      <c r="H65" s="9">
        <v>65000</v>
      </c>
      <c r="I65" s="8">
        <v>60000</v>
      </c>
      <c r="J65" s="72">
        <v>65000</v>
      </c>
      <c r="K65" s="67">
        <f t="shared" si="0"/>
        <v>66714.28571428571</v>
      </c>
      <c r="M65" s="4"/>
      <c r="N65" s="4"/>
    </row>
    <row r="66" spans="1:14" ht="15.75" x14ac:dyDescent="0.25">
      <c r="A66" s="101"/>
      <c r="B66" s="66" t="s">
        <v>62</v>
      </c>
      <c r="C66" s="17" t="s">
        <v>6</v>
      </c>
      <c r="D66" s="9">
        <v>65000</v>
      </c>
      <c r="E66" s="9">
        <v>45000</v>
      </c>
      <c r="F66" s="9">
        <v>70000</v>
      </c>
      <c r="G66" s="9">
        <v>65000</v>
      </c>
      <c r="H66" s="9">
        <v>75000</v>
      </c>
      <c r="I66" s="9">
        <v>75000</v>
      </c>
      <c r="J66" s="72">
        <v>80000</v>
      </c>
      <c r="K66" s="67">
        <f t="shared" si="0"/>
        <v>67857.142857142855</v>
      </c>
      <c r="M66" s="4"/>
      <c r="N66" s="4"/>
    </row>
    <row r="67" spans="1:14" ht="15.75" x14ac:dyDescent="0.25">
      <c r="A67" s="17">
        <v>18</v>
      </c>
      <c r="B67" s="60" t="s">
        <v>63</v>
      </c>
      <c r="C67" s="80"/>
      <c r="D67" s="24"/>
      <c r="E67" s="10"/>
      <c r="F67" s="22"/>
      <c r="G67" s="10"/>
      <c r="H67" s="10" t="s">
        <v>1</v>
      </c>
      <c r="I67" s="10"/>
      <c r="J67" s="77"/>
      <c r="K67" s="71"/>
      <c r="M67" s="4"/>
      <c r="N67" s="4"/>
    </row>
    <row r="68" spans="1:14" ht="15.75" x14ac:dyDescent="0.25">
      <c r="A68" s="17"/>
      <c r="B68" s="66" t="s">
        <v>64</v>
      </c>
      <c r="C68" s="17" t="s">
        <v>65</v>
      </c>
      <c r="D68" s="9">
        <v>20000</v>
      </c>
      <c r="E68" s="9">
        <v>18000</v>
      </c>
      <c r="F68" s="9">
        <v>18000</v>
      </c>
      <c r="G68" s="9">
        <v>18000</v>
      </c>
      <c r="H68" s="10" t="s">
        <v>99</v>
      </c>
      <c r="I68" s="9">
        <v>18000</v>
      </c>
      <c r="J68" s="79">
        <v>18000</v>
      </c>
      <c r="K68" s="67">
        <f t="shared" si="0"/>
        <v>18333.333333333332</v>
      </c>
      <c r="M68" s="4"/>
      <c r="N68" s="4"/>
    </row>
    <row r="69" spans="1:14" ht="15.75" x14ac:dyDescent="0.25">
      <c r="A69" s="101">
        <v>19</v>
      </c>
      <c r="B69" s="60" t="s">
        <v>66</v>
      </c>
      <c r="C69" s="60"/>
      <c r="D69" s="74"/>
      <c r="E69" s="17"/>
      <c r="F69" s="15"/>
      <c r="G69" s="15"/>
      <c r="H69" s="15"/>
      <c r="I69" s="15"/>
      <c r="J69" s="75"/>
      <c r="K69" s="71"/>
      <c r="M69" s="4"/>
      <c r="N69" s="4"/>
    </row>
    <row r="70" spans="1:14" ht="15.75" x14ac:dyDescent="0.25">
      <c r="A70" s="101"/>
      <c r="B70" s="66" t="s">
        <v>67</v>
      </c>
      <c r="C70" s="17" t="s">
        <v>6</v>
      </c>
      <c r="D70" s="9">
        <v>38000</v>
      </c>
      <c r="E70" s="9">
        <v>35000</v>
      </c>
      <c r="F70" s="9">
        <v>36000</v>
      </c>
      <c r="G70" s="9">
        <v>35000</v>
      </c>
      <c r="H70" s="9">
        <v>37000</v>
      </c>
      <c r="I70" s="9">
        <v>40000</v>
      </c>
      <c r="J70" s="72">
        <v>40000</v>
      </c>
      <c r="K70" s="67">
        <f t="shared" si="0"/>
        <v>37285.714285714283</v>
      </c>
      <c r="M70" s="4"/>
      <c r="N70" s="4"/>
    </row>
    <row r="71" spans="1:14" ht="15.75" x14ac:dyDescent="0.25">
      <c r="A71" s="101"/>
      <c r="B71" s="66" t="s">
        <v>68</v>
      </c>
      <c r="C71" s="17" t="s">
        <v>6</v>
      </c>
      <c r="D71" s="9">
        <v>34000</v>
      </c>
      <c r="E71" s="9">
        <v>32000</v>
      </c>
      <c r="F71" s="9">
        <v>33000</v>
      </c>
      <c r="G71" s="9">
        <v>32000</v>
      </c>
      <c r="H71" s="9">
        <v>32000</v>
      </c>
      <c r="I71" s="9">
        <v>35000</v>
      </c>
      <c r="J71" s="72">
        <v>33000</v>
      </c>
      <c r="K71" s="67">
        <f t="shared" si="0"/>
        <v>33000</v>
      </c>
      <c r="M71" s="4"/>
      <c r="N71" s="4"/>
    </row>
    <row r="72" spans="1:14" ht="15.75" x14ac:dyDescent="0.25">
      <c r="A72" s="101"/>
      <c r="B72" s="66" t="s">
        <v>69</v>
      </c>
      <c r="C72" s="17" t="s">
        <v>6</v>
      </c>
      <c r="D72" s="9">
        <v>28000</v>
      </c>
      <c r="E72" s="9">
        <v>28000</v>
      </c>
      <c r="F72" s="9">
        <v>24000</v>
      </c>
      <c r="G72" s="9">
        <v>28000</v>
      </c>
      <c r="H72" s="9">
        <v>23000</v>
      </c>
      <c r="I72" s="9">
        <v>30000</v>
      </c>
      <c r="J72" s="72">
        <v>20000</v>
      </c>
      <c r="K72" s="67">
        <f t="shared" si="0"/>
        <v>25857.142857142859</v>
      </c>
      <c r="M72" s="4"/>
      <c r="N72" s="4"/>
    </row>
    <row r="73" spans="1:14" ht="15.75" x14ac:dyDescent="0.25">
      <c r="A73" s="101"/>
      <c r="B73" s="66" t="s">
        <v>70</v>
      </c>
      <c r="C73" s="17" t="s">
        <v>6</v>
      </c>
      <c r="D73" s="9">
        <v>28000</v>
      </c>
      <c r="E73" s="9">
        <v>25000</v>
      </c>
      <c r="F73" s="16">
        <v>28000</v>
      </c>
      <c r="G73" s="8">
        <v>30000</v>
      </c>
      <c r="H73" s="9">
        <v>25000</v>
      </c>
      <c r="I73" s="9">
        <v>25000</v>
      </c>
      <c r="J73" s="72">
        <v>30000</v>
      </c>
      <c r="K73" s="67">
        <f t="shared" si="0"/>
        <v>27285.714285714286</v>
      </c>
      <c r="M73" s="4"/>
      <c r="N73" s="4"/>
    </row>
    <row r="74" spans="1:14" ht="15.75" x14ac:dyDescent="0.25">
      <c r="A74" s="17">
        <v>20</v>
      </c>
      <c r="B74" s="60" t="s">
        <v>71</v>
      </c>
      <c r="C74" s="91"/>
      <c r="D74" s="24"/>
      <c r="E74" s="10"/>
      <c r="F74" s="10"/>
      <c r="G74" s="89"/>
      <c r="H74" s="10"/>
      <c r="I74" s="10"/>
      <c r="J74" s="90"/>
      <c r="K74" s="71"/>
      <c r="M74" s="4"/>
      <c r="N74" s="4"/>
    </row>
    <row r="75" spans="1:14" ht="15.75" x14ac:dyDescent="0.25">
      <c r="A75" s="17"/>
      <c r="B75" s="66" t="s">
        <v>72</v>
      </c>
      <c r="C75" s="86" t="s">
        <v>6</v>
      </c>
      <c r="D75" s="9">
        <v>7000</v>
      </c>
      <c r="E75" s="9">
        <v>7000</v>
      </c>
      <c r="F75" s="9">
        <v>5000</v>
      </c>
      <c r="G75" s="9">
        <v>6000</v>
      </c>
      <c r="H75" s="9">
        <v>5000</v>
      </c>
      <c r="I75" s="9">
        <v>5000</v>
      </c>
      <c r="J75" s="72">
        <v>5000</v>
      </c>
      <c r="K75" s="67">
        <f t="shared" si="0"/>
        <v>5714.2857142857147</v>
      </c>
      <c r="M75" s="4"/>
      <c r="N75" s="4"/>
    </row>
    <row r="76" spans="1:14" ht="15.75" x14ac:dyDescent="0.25">
      <c r="A76" s="17"/>
      <c r="B76" s="66" t="s">
        <v>73</v>
      </c>
      <c r="C76" s="86" t="s">
        <v>6</v>
      </c>
      <c r="D76" s="9">
        <v>7000</v>
      </c>
      <c r="E76" s="9">
        <v>6000</v>
      </c>
      <c r="F76" s="16">
        <v>6000</v>
      </c>
      <c r="G76" s="8">
        <v>6000</v>
      </c>
      <c r="H76" s="9">
        <v>5000</v>
      </c>
      <c r="I76" s="9">
        <v>6000</v>
      </c>
      <c r="J76" s="79">
        <v>6000</v>
      </c>
      <c r="K76" s="67">
        <f t="shared" si="0"/>
        <v>6000</v>
      </c>
      <c r="M76" s="4"/>
      <c r="N76" s="4"/>
    </row>
    <row r="77" spans="1:14" ht="15.75" x14ac:dyDescent="0.25">
      <c r="A77" s="17">
        <v>21</v>
      </c>
      <c r="B77" s="60" t="s">
        <v>74</v>
      </c>
      <c r="C77" s="91"/>
      <c r="D77" s="19"/>
      <c r="E77" s="10"/>
      <c r="F77" s="10"/>
      <c r="G77" s="22"/>
      <c r="H77" s="10"/>
      <c r="I77" s="10"/>
      <c r="J77" s="77"/>
      <c r="K77" s="71"/>
      <c r="M77" s="4"/>
      <c r="N77" s="4"/>
    </row>
    <row r="78" spans="1:14" ht="15.75" x14ac:dyDescent="0.25">
      <c r="A78" s="17"/>
      <c r="B78" s="66" t="s">
        <v>75</v>
      </c>
      <c r="C78" s="86" t="s">
        <v>6</v>
      </c>
      <c r="D78" s="9">
        <v>8000</v>
      </c>
      <c r="E78" s="9">
        <v>8000</v>
      </c>
      <c r="F78" s="9">
        <v>10000</v>
      </c>
      <c r="G78" s="9">
        <v>8000</v>
      </c>
      <c r="H78" s="9">
        <v>6000</v>
      </c>
      <c r="I78" s="16">
        <v>9000</v>
      </c>
      <c r="J78" s="72" t="s">
        <v>99</v>
      </c>
      <c r="K78" s="67">
        <f t="shared" si="0"/>
        <v>8166.666666666667</v>
      </c>
      <c r="M78" s="4"/>
      <c r="N78" s="4"/>
    </row>
    <row r="79" spans="1:14" ht="15.75" x14ac:dyDescent="0.25">
      <c r="A79" s="17"/>
      <c r="B79" s="66" t="s">
        <v>76</v>
      </c>
      <c r="C79" s="86" t="s">
        <v>6</v>
      </c>
      <c r="D79" s="9">
        <v>8000</v>
      </c>
      <c r="E79" s="9">
        <v>10000</v>
      </c>
      <c r="F79" s="9">
        <v>20000</v>
      </c>
      <c r="G79" s="9">
        <v>12000</v>
      </c>
      <c r="H79" s="9">
        <v>6000</v>
      </c>
      <c r="I79" s="16">
        <v>14000</v>
      </c>
      <c r="J79" s="72">
        <v>15000</v>
      </c>
      <c r="K79" s="67">
        <f t="shared" si="0"/>
        <v>12142.857142857143</v>
      </c>
      <c r="M79" s="4"/>
      <c r="N79" s="4"/>
    </row>
    <row r="80" spans="1:14" ht="15.75" x14ac:dyDescent="0.25">
      <c r="A80" s="17"/>
      <c r="B80" s="66" t="s">
        <v>77</v>
      </c>
      <c r="C80" s="86" t="s">
        <v>6</v>
      </c>
      <c r="D80" s="9">
        <v>18000</v>
      </c>
      <c r="E80" s="9">
        <v>16000</v>
      </c>
      <c r="F80" s="9">
        <v>17000</v>
      </c>
      <c r="G80" s="9">
        <v>17000</v>
      </c>
      <c r="H80" s="9">
        <v>15000</v>
      </c>
      <c r="I80" s="9">
        <v>18000</v>
      </c>
      <c r="J80" s="72">
        <v>18000</v>
      </c>
      <c r="K80" s="67">
        <f t="shared" si="0"/>
        <v>17000</v>
      </c>
      <c r="M80" s="4"/>
      <c r="N80" s="4"/>
    </row>
    <row r="81" spans="1:14" ht="15.75" x14ac:dyDescent="0.25">
      <c r="A81" s="17"/>
      <c r="B81" s="66" t="s">
        <v>78</v>
      </c>
      <c r="C81" s="86" t="s">
        <v>6</v>
      </c>
      <c r="D81" s="9">
        <v>22000</v>
      </c>
      <c r="E81" s="9">
        <v>15000</v>
      </c>
      <c r="F81" s="9">
        <v>10000</v>
      </c>
      <c r="G81" s="9">
        <v>18000</v>
      </c>
      <c r="H81" s="9">
        <v>20000</v>
      </c>
      <c r="I81" s="8">
        <v>20000</v>
      </c>
      <c r="J81" s="72">
        <v>20000</v>
      </c>
      <c r="K81" s="67">
        <f t="shared" ref="K81:K88" si="1">AVERAGE(D81:J81)</f>
        <v>17857.142857142859</v>
      </c>
      <c r="M81" s="4"/>
      <c r="N81" s="4"/>
    </row>
    <row r="82" spans="1:14" ht="15.75" x14ac:dyDescent="0.25">
      <c r="A82" s="17"/>
      <c r="B82" s="66" t="s">
        <v>79</v>
      </c>
      <c r="C82" s="86" t="s">
        <v>6</v>
      </c>
      <c r="D82" s="9">
        <v>14000</v>
      </c>
      <c r="E82" s="9">
        <v>12000</v>
      </c>
      <c r="F82" s="9">
        <v>14000</v>
      </c>
      <c r="G82" s="9">
        <v>12000</v>
      </c>
      <c r="H82" s="9">
        <v>10000</v>
      </c>
      <c r="I82" s="9">
        <v>14000</v>
      </c>
      <c r="J82" s="72">
        <v>15000</v>
      </c>
      <c r="K82" s="67">
        <f t="shared" si="1"/>
        <v>13000</v>
      </c>
      <c r="M82" s="4"/>
      <c r="N82" s="4"/>
    </row>
    <row r="83" spans="1:14" ht="15.75" x14ac:dyDescent="0.25">
      <c r="A83" s="17"/>
      <c r="B83" s="66" t="s">
        <v>80</v>
      </c>
      <c r="C83" s="86" t="s">
        <v>6</v>
      </c>
      <c r="D83" s="9">
        <v>9000</v>
      </c>
      <c r="E83" s="9">
        <v>8000</v>
      </c>
      <c r="F83" s="16">
        <v>9000</v>
      </c>
      <c r="G83" s="8">
        <v>8000</v>
      </c>
      <c r="H83" s="9">
        <v>7000</v>
      </c>
      <c r="I83" s="16">
        <v>9000</v>
      </c>
      <c r="J83" s="72">
        <v>8000</v>
      </c>
      <c r="K83" s="67">
        <f t="shared" si="1"/>
        <v>8285.7142857142862</v>
      </c>
      <c r="M83" s="4"/>
      <c r="N83" s="4"/>
    </row>
    <row r="84" spans="1:14" ht="15.75" x14ac:dyDescent="0.25">
      <c r="A84" s="17"/>
      <c r="B84" s="66" t="s">
        <v>81</v>
      </c>
      <c r="C84" s="86" t="s">
        <v>82</v>
      </c>
      <c r="D84" s="9">
        <v>2000</v>
      </c>
      <c r="E84" s="9">
        <v>1500</v>
      </c>
      <c r="F84" s="9">
        <v>2000</v>
      </c>
      <c r="G84" s="8">
        <v>2000</v>
      </c>
      <c r="H84" s="9">
        <v>1500</v>
      </c>
      <c r="I84" s="9">
        <v>2000</v>
      </c>
      <c r="J84" s="79">
        <v>1500</v>
      </c>
      <c r="K84" s="67">
        <f t="shared" si="1"/>
        <v>1785.7142857142858</v>
      </c>
      <c r="L84" s="4"/>
      <c r="M84" s="4"/>
      <c r="N84" s="4"/>
    </row>
    <row r="85" spans="1:14" x14ac:dyDescent="0.25">
      <c r="A85" s="17"/>
      <c r="B85" s="66" t="s">
        <v>83</v>
      </c>
      <c r="C85" s="86" t="s">
        <v>82</v>
      </c>
      <c r="D85" s="9">
        <v>1500</v>
      </c>
      <c r="E85" s="9">
        <v>1500</v>
      </c>
      <c r="F85" s="9">
        <v>1500</v>
      </c>
      <c r="G85" s="8">
        <v>2000</v>
      </c>
      <c r="H85" s="9">
        <v>1500</v>
      </c>
      <c r="I85" s="9">
        <v>1500</v>
      </c>
      <c r="J85" s="79">
        <v>1000</v>
      </c>
      <c r="K85" s="67">
        <f t="shared" si="1"/>
        <v>1500</v>
      </c>
    </row>
    <row r="86" spans="1:14" x14ac:dyDescent="0.25">
      <c r="A86" s="17"/>
      <c r="B86" s="66" t="s">
        <v>84</v>
      </c>
      <c r="C86" s="86" t="s">
        <v>82</v>
      </c>
      <c r="D86" s="9" t="s">
        <v>99</v>
      </c>
      <c r="E86" s="9">
        <v>2000</v>
      </c>
      <c r="F86" s="9" t="s">
        <v>99</v>
      </c>
      <c r="G86" s="8" t="s">
        <v>99</v>
      </c>
      <c r="H86" s="9">
        <v>2500</v>
      </c>
      <c r="I86" s="9" t="s">
        <v>99</v>
      </c>
      <c r="J86" s="79">
        <v>2000</v>
      </c>
      <c r="K86" s="67">
        <f t="shared" si="1"/>
        <v>2166.6666666666665</v>
      </c>
    </row>
    <row r="87" spans="1:14" x14ac:dyDescent="0.25">
      <c r="A87" s="17">
        <v>22</v>
      </c>
      <c r="B87" s="60" t="s">
        <v>85</v>
      </c>
      <c r="C87" s="91"/>
      <c r="D87" s="22"/>
      <c r="E87" s="10"/>
      <c r="F87" s="10" t="s">
        <v>102</v>
      </c>
      <c r="G87" s="22"/>
      <c r="H87" s="10"/>
      <c r="I87" s="10"/>
      <c r="J87" s="77"/>
      <c r="K87" s="71"/>
    </row>
    <row r="88" spans="1:14" x14ac:dyDescent="0.25">
      <c r="A88" s="17"/>
      <c r="B88" s="66" t="s">
        <v>86</v>
      </c>
      <c r="C88" s="86" t="s">
        <v>87</v>
      </c>
      <c r="D88" s="9" t="s">
        <v>99</v>
      </c>
      <c r="E88" s="9" t="s">
        <v>99</v>
      </c>
      <c r="F88" s="9">
        <v>18000</v>
      </c>
      <c r="G88" s="8">
        <v>17000</v>
      </c>
      <c r="H88" s="10" t="s">
        <v>99</v>
      </c>
      <c r="I88" s="16">
        <v>18000</v>
      </c>
      <c r="J88" s="79">
        <v>18000</v>
      </c>
      <c r="K88" s="67">
        <f t="shared" si="1"/>
        <v>17750</v>
      </c>
    </row>
  </sheetData>
  <mergeCells count="28">
    <mergeCell ref="A7:A12"/>
    <mergeCell ref="K4:K6"/>
    <mergeCell ref="D4:D6"/>
    <mergeCell ref="E4:E6"/>
    <mergeCell ref="F4:F6"/>
    <mergeCell ref="A1:K1"/>
    <mergeCell ref="A2:K2"/>
    <mergeCell ref="A3:K3"/>
    <mergeCell ref="B4:B6"/>
    <mergeCell ref="C4:C6"/>
    <mergeCell ref="J4:J6"/>
    <mergeCell ref="H4:H6"/>
    <mergeCell ref="I4:I6"/>
    <mergeCell ref="G4:G6"/>
    <mergeCell ref="A4:A6"/>
    <mergeCell ref="A13:A15"/>
    <mergeCell ref="A16:A17"/>
    <mergeCell ref="A19:A20"/>
    <mergeCell ref="A21:A25"/>
    <mergeCell ref="A26:A32"/>
    <mergeCell ref="A56:A60"/>
    <mergeCell ref="A63:A66"/>
    <mergeCell ref="A69:A73"/>
    <mergeCell ref="A33:A35"/>
    <mergeCell ref="A43:A45"/>
    <mergeCell ref="A46:A48"/>
    <mergeCell ref="A52:A53"/>
    <mergeCell ref="A54:A55"/>
  </mergeCells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524A5-EA85-4C39-94A3-A580F5533CEF}">
  <dimension ref="A1:N88"/>
  <sheetViews>
    <sheetView workbookViewId="0">
      <selection activeCell="A4" sqref="A4:A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02" t="s">
        <v>88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M1" s="4"/>
      <c r="N1" s="4"/>
    </row>
    <row r="2" spans="1:14" ht="27.75" customHeight="1" x14ac:dyDescent="0.25">
      <c r="A2" s="103" t="s">
        <v>89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M2" s="4"/>
      <c r="N2" s="4"/>
    </row>
    <row r="3" spans="1:14" ht="27.75" customHeight="1" thickBot="1" x14ac:dyDescent="0.3">
      <c r="A3" s="104" t="s">
        <v>142</v>
      </c>
      <c r="B3" s="104"/>
      <c r="C3" s="104"/>
      <c r="D3" s="104"/>
      <c r="E3" s="104"/>
      <c r="F3" s="104"/>
      <c r="G3" s="104"/>
      <c r="H3" s="104"/>
      <c r="I3" s="104"/>
      <c r="J3" s="104"/>
      <c r="K3" s="105"/>
      <c r="M3" s="4"/>
      <c r="N3" s="4"/>
    </row>
    <row r="4" spans="1:14" ht="25.5" customHeight="1" x14ac:dyDescent="0.25">
      <c r="A4" s="96" t="s">
        <v>1</v>
      </c>
      <c r="B4" s="99" t="s">
        <v>2</v>
      </c>
      <c r="C4" s="96" t="s">
        <v>90</v>
      </c>
      <c r="D4" s="110" t="s">
        <v>91</v>
      </c>
      <c r="E4" s="113" t="s">
        <v>92</v>
      </c>
      <c r="F4" s="125" t="s">
        <v>93</v>
      </c>
      <c r="G4" s="128" t="s">
        <v>94</v>
      </c>
      <c r="H4" s="116" t="s">
        <v>95</v>
      </c>
      <c r="I4" s="119" t="s">
        <v>96</v>
      </c>
      <c r="J4" s="106" t="s">
        <v>97</v>
      </c>
      <c r="K4" s="122" t="s">
        <v>98</v>
      </c>
      <c r="M4" s="4"/>
      <c r="N4" s="4"/>
    </row>
    <row r="5" spans="1:14" ht="15" customHeight="1" x14ac:dyDescent="0.25">
      <c r="A5" s="97"/>
      <c r="B5" s="100"/>
      <c r="C5" s="97"/>
      <c r="D5" s="111"/>
      <c r="E5" s="114"/>
      <c r="F5" s="126"/>
      <c r="G5" s="129"/>
      <c r="H5" s="117"/>
      <c r="I5" s="120"/>
      <c r="J5" s="107"/>
      <c r="K5" s="123"/>
      <c r="M5" s="4"/>
      <c r="N5" s="4"/>
    </row>
    <row r="6" spans="1:14" ht="16.5" thickBot="1" x14ac:dyDescent="0.3">
      <c r="A6" s="98"/>
      <c r="B6" s="109"/>
      <c r="C6" s="98"/>
      <c r="D6" s="112"/>
      <c r="E6" s="115"/>
      <c r="F6" s="127"/>
      <c r="G6" s="130"/>
      <c r="H6" s="118"/>
      <c r="I6" s="121"/>
      <c r="J6" s="108"/>
      <c r="K6" s="124"/>
      <c r="M6" s="4"/>
      <c r="N6" s="4"/>
    </row>
    <row r="7" spans="1:14" ht="15.75" x14ac:dyDescent="0.25">
      <c r="A7" s="101">
        <v>1</v>
      </c>
      <c r="B7" s="60" t="s">
        <v>4</v>
      </c>
      <c r="C7" s="61"/>
      <c r="D7" s="62"/>
      <c r="E7" s="17" t="s">
        <v>102</v>
      </c>
      <c r="F7" s="17"/>
      <c r="G7" s="63"/>
      <c r="H7" s="63" t="s">
        <v>1</v>
      </c>
      <c r="I7" s="64"/>
      <c r="J7" s="63"/>
      <c r="K7" s="65"/>
      <c r="M7" s="4"/>
      <c r="N7" s="4"/>
    </row>
    <row r="8" spans="1:14" ht="15.75" x14ac:dyDescent="0.25">
      <c r="A8" s="101"/>
      <c r="B8" s="66" t="s">
        <v>107</v>
      </c>
      <c r="C8" s="17" t="s">
        <v>6</v>
      </c>
      <c r="D8" s="9">
        <v>15500</v>
      </c>
      <c r="E8" s="9">
        <v>15500</v>
      </c>
      <c r="F8" s="9">
        <v>15500</v>
      </c>
      <c r="G8" s="9">
        <v>15500</v>
      </c>
      <c r="H8" s="9">
        <v>17000</v>
      </c>
      <c r="I8" s="9">
        <v>16500</v>
      </c>
      <c r="J8" s="16">
        <v>17000</v>
      </c>
      <c r="K8" s="67">
        <f>AVERAGE(D8:J8)</f>
        <v>16071.428571428571</v>
      </c>
      <c r="L8" s="1"/>
      <c r="M8" s="7"/>
      <c r="N8" s="4"/>
    </row>
    <row r="9" spans="1:14" ht="15.75" x14ac:dyDescent="0.25">
      <c r="A9" s="101"/>
      <c r="B9" s="66" t="s">
        <v>115</v>
      </c>
      <c r="C9" s="17" t="s">
        <v>6</v>
      </c>
      <c r="D9" s="9">
        <v>10900</v>
      </c>
      <c r="E9" s="9">
        <v>10900</v>
      </c>
      <c r="F9" s="9">
        <v>10900</v>
      </c>
      <c r="G9" s="8">
        <v>10900</v>
      </c>
      <c r="H9" s="9">
        <v>12000</v>
      </c>
      <c r="I9" s="9">
        <v>14000</v>
      </c>
      <c r="J9" s="16" t="s">
        <v>99</v>
      </c>
      <c r="K9" s="67">
        <f t="shared" ref="K9:K80" si="0">AVERAGE(D9:J9)</f>
        <v>11600</v>
      </c>
      <c r="M9" s="4"/>
      <c r="N9" s="4"/>
    </row>
    <row r="10" spans="1:14" ht="15.75" x14ac:dyDescent="0.25">
      <c r="A10" s="101"/>
      <c r="B10" s="66" t="s">
        <v>108</v>
      </c>
      <c r="C10" s="17" t="s">
        <v>6</v>
      </c>
      <c r="D10" s="9" t="s">
        <v>99</v>
      </c>
      <c r="E10" s="9" t="s">
        <v>99</v>
      </c>
      <c r="F10" s="9" t="s">
        <v>99</v>
      </c>
      <c r="G10" s="8" t="s">
        <v>99</v>
      </c>
      <c r="H10" s="9" t="s">
        <v>99</v>
      </c>
      <c r="I10" s="9" t="s">
        <v>99</v>
      </c>
      <c r="J10" s="16" t="s">
        <v>99</v>
      </c>
      <c r="K10" s="67">
        <v>0</v>
      </c>
      <c r="M10" s="4"/>
      <c r="N10" s="4"/>
    </row>
    <row r="11" spans="1:14" ht="15.75" x14ac:dyDescent="0.25">
      <c r="A11" s="101"/>
      <c r="B11" s="66" t="s">
        <v>9</v>
      </c>
      <c r="C11" s="17" t="s">
        <v>6</v>
      </c>
      <c r="D11" s="9" t="s">
        <v>99</v>
      </c>
      <c r="E11" s="9">
        <v>10000</v>
      </c>
      <c r="F11" s="16">
        <v>12000</v>
      </c>
      <c r="G11" s="8">
        <v>10000</v>
      </c>
      <c r="H11" s="9">
        <v>10000</v>
      </c>
      <c r="I11" s="16">
        <v>12000</v>
      </c>
      <c r="J11" s="16">
        <v>10000</v>
      </c>
      <c r="K11" s="67">
        <f>AVERAGE(D11:J11)</f>
        <v>10666.666666666666</v>
      </c>
      <c r="M11" s="4"/>
      <c r="N11" s="4"/>
    </row>
    <row r="12" spans="1:14" ht="15.75" x14ac:dyDescent="0.25">
      <c r="A12" s="101"/>
      <c r="B12" s="66" t="s">
        <v>10</v>
      </c>
      <c r="C12" s="17" t="s">
        <v>6</v>
      </c>
      <c r="D12" s="9" t="s">
        <v>99</v>
      </c>
      <c r="E12" s="9">
        <v>21000</v>
      </c>
      <c r="F12" s="16">
        <v>16000</v>
      </c>
      <c r="G12" s="8">
        <v>18000</v>
      </c>
      <c r="H12" s="9">
        <v>25000</v>
      </c>
      <c r="I12" s="16">
        <v>17000</v>
      </c>
      <c r="J12" s="16">
        <v>17000</v>
      </c>
      <c r="K12" s="67">
        <f t="shared" si="0"/>
        <v>19000</v>
      </c>
      <c r="M12" s="4"/>
      <c r="N12" s="12"/>
    </row>
    <row r="13" spans="1:14" ht="15.75" x14ac:dyDescent="0.25">
      <c r="A13" s="101">
        <v>2</v>
      </c>
      <c r="B13" s="60" t="s">
        <v>11</v>
      </c>
      <c r="C13" s="68"/>
      <c r="D13" s="62"/>
      <c r="E13" s="92"/>
      <c r="F13" s="17"/>
      <c r="G13" s="70"/>
      <c r="H13" s="70"/>
      <c r="I13" s="70"/>
      <c r="J13" s="70"/>
      <c r="K13" s="71"/>
      <c r="M13" s="4"/>
      <c r="N13" s="4"/>
    </row>
    <row r="14" spans="1:14" ht="15.75" x14ac:dyDescent="0.25">
      <c r="A14" s="101"/>
      <c r="B14" s="66" t="s">
        <v>116</v>
      </c>
      <c r="C14" s="17" t="s">
        <v>6</v>
      </c>
      <c r="D14" s="9">
        <v>16000</v>
      </c>
      <c r="E14" s="9">
        <v>16500</v>
      </c>
      <c r="F14" s="9">
        <v>16000</v>
      </c>
      <c r="G14" s="16">
        <v>16000</v>
      </c>
      <c r="H14" s="9">
        <v>16500</v>
      </c>
      <c r="I14" s="9">
        <v>16500</v>
      </c>
      <c r="J14" s="72">
        <v>16500</v>
      </c>
      <c r="K14" s="67">
        <f t="shared" si="0"/>
        <v>16285.714285714286</v>
      </c>
      <c r="M14" s="4"/>
      <c r="N14" s="4"/>
    </row>
    <row r="15" spans="1:14" ht="15.75" x14ac:dyDescent="0.25">
      <c r="A15" s="101"/>
      <c r="B15" s="66" t="s">
        <v>13</v>
      </c>
      <c r="C15" s="17" t="s">
        <v>6</v>
      </c>
      <c r="D15" s="9">
        <v>17000</v>
      </c>
      <c r="E15" s="9">
        <v>16000</v>
      </c>
      <c r="F15" s="16">
        <v>16000</v>
      </c>
      <c r="G15" s="8">
        <v>16000</v>
      </c>
      <c r="H15" s="9">
        <v>17000</v>
      </c>
      <c r="I15" s="9">
        <v>17000</v>
      </c>
      <c r="J15" s="72">
        <v>18000</v>
      </c>
      <c r="K15" s="67">
        <f>AVERAGE(D15:J15)</f>
        <v>16714.285714285714</v>
      </c>
      <c r="M15" s="4"/>
      <c r="N15" s="4"/>
    </row>
    <row r="16" spans="1:14" ht="15.75" x14ac:dyDescent="0.25">
      <c r="A16" s="101">
        <v>3</v>
      </c>
      <c r="B16" s="60" t="s">
        <v>14</v>
      </c>
      <c r="C16" s="73"/>
      <c r="D16" s="74"/>
      <c r="E16" s="15"/>
      <c r="F16" s="15"/>
      <c r="G16" s="15"/>
      <c r="H16" s="15"/>
      <c r="I16" s="15" t="s">
        <v>130</v>
      </c>
      <c r="J16" s="75"/>
      <c r="K16" s="71"/>
      <c r="M16" s="4"/>
      <c r="N16" s="4"/>
    </row>
    <row r="17" spans="1:14" ht="15.75" x14ac:dyDescent="0.25">
      <c r="A17" s="101"/>
      <c r="B17" s="66" t="s">
        <v>15</v>
      </c>
      <c r="C17" s="17" t="s">
        <v>6</v>
      </c>
      <c r="D17" s="9">
        <v>15000</v>
      </c>
      <c r="E17" s="9">
        <v>15000</v>
      </c>
      <c r="F17" s="9">
        <v>14000</v>
      </c>
      <c r="G17" s="9">
        <v>15000</v>
      </c>
      <c r="H17" s="9">
        <v>16000</v>
      </c>
      <c r="I17" s="9">
        <v>16000</v>
      </c>
      <c r="J17" s="72">
        <v>16500</v>
      </c>
      <c r="K17" s="67">
        <f t="shared" si="0"/>
        <v>15357.142857142857</v>
      </c>
      <c r="M17" s="4"/>
      <c r="N17" s="4"/>
    </row>
    <row r="18" spans="1:14" ht="15.75" x14ac:dyDescent="0.25">
      <c r="A18" s="59"/>
      <c r="B18" s="66" t="s">
        <v>109</v>
      </c>
      <c r="C18" s="17" t="s">
        <v>110</v>
      </c>
      <c r="D18" s="9">
        <v>14000</v>
      </c>
      <c r="E18" s="9">
        <v>14000</v>
      </c>
      <c r="F18" s="9">
        <v>14000</v>
      </c>
      <c r="G18" s="9">
        <v>14000</v>
      </c>
      <c r="H18" s="9" t="s">
        <v>99</v>
      </c>
      <c r="I18" s="9">
        <v>14000</v>
      </c>
      <c r="J18" s="72">
        <v>14000</v>
      </c>
      <c r="K18" s="67">
        <f t="shared" si="0"/>
        <v>14000</v>
      </c>
      <c r="M18" s="4"/>
      <c r="N18" s="4"/>
    </row>
    <row r="19" spans="1:14" ht="17.25" customHeight="1" x14ac:dyDescent="0.25">
      <c r="A19" s="101">
        <v>4</v>
      </c>
      <c r="B19" s="60" t="s">
        <v>16</v>
      </c>
      <c r="C19" s="73"/>
      <c r="D19" s="74"/>
      <c r="E19" s="15"/>
      <c r="F19" s="15"/>
      <c r="G19" s="76"/>
      <c r="H19" s="15"/>
      <c r="I19" s="15"/>
      <c r="J19" s="75"/>
      <c r="K19" s="71"/>
      <c r="M19" s="4"/>
      <c r="N19" s="4"/>
    </row>
    <row r="20" spans="1:14" ht="15.75" x14ac:dyDescent="0.25">
      <c r="A20" s="101"/>
      <c r="B20" s="66" t="s">
        <v>17</v>
      </c>
      <c r="C20" s="17" t="s">
        <v>6</v>
      </c>
      <c r="D20" s="9">
        <v>20000</v>
      </c>
      <c r="E20" s="9">
        <v>20000</v>
      </c>
      <c r="F20" s="16">
        <v>20000</v>
      </c>
      <c r="G20" s="8">
        <v>22000</v>
      </c>
      <c r="H20" s="16">
        <v>33000</v>
      </c>
      <c r="I20" s="16">
        <v>20000</v>
      </c>
      <c r="J20" s="77" t="s">
        <v>99</v>
      </c>
      <c r="K20" s="67">
        <f t="shared" si="0"/>
        <v>22500</v>
      </c>
      <c r="M20" s="4"/>
      <c r="N20" s="4"/>
    </row>
    <row r="21" spans="1:14" ht="15.75" x14ac:dyDescent="0.25">
      <c r="A21" s="101">
        <v>5</v>
      </c>
      <c r="B21" s="60" t="s">
        <v>18</v>
      </c>
      <c r="C21" s="73"/>
      <c r="D21" s="74"/>
      <c r="E21" s="17"/>
      <c r="F21" s="15" t="s">
        <v>1</v>
      </c>
      <c r="G21" s="76"/>
      <c r="H21" s="15"/>
      <c r="I21" s="15"/>
      <c r="J21" s="75"/>
      <c r="K21" s="71"/>
      <c r="M21" s="4"/>
      <c r="N21" s="4"/>
    </row>
    <row r="22" spans="1:14" ht="15.75" x14ac:dyDescent="0.25">
      <c r="A22" s="101"/>
      <c r="B22" s="66" t="s">
        <v>19</v>
      </c>
      <c r="C22" s="17" t="s">
        <v>6</v>
      </c>
      <c r="D22" s="9">
        <v>120000</v>
      </c>
      <c r="E22" s="9">
        <v>120000</v>
      </c>
      <c r="F22" s="9">
        <v>120000</v>
      </c>
      <c r="G22" s="9">
        <v>120000</v>
      </c>
      <c r="H22" s="9">
        <v>120000</v>
      </c>
      <c r="I22" s="8">
        <v>120000</v>
      </c>
      <c r="J22" s="72" t="s">
        <v>99</v>
      </c>
      <c r="K22" s="67">
        <f t="shared" si="0"/>
        <v>120000</v>
      </c>
      <c r="M22" s="4"/>
      <c r="N22" s="4"/>
    </row>
    <row r="23" spans="1:14" ht="15.75" x14ac:dyDescent="0.25">
      <c r="A23" s="101"/>
      <c r="B23" s="66" t="s">
        <v>20</v>
      </c>
      <c r="C23" s="17" t="s">
        <v>6</v>
      </c>
      <c r="D23" s="9">
        <v>110000</v>
      </c>
      <c r="E23" s="9">
        <v>110000</v>
      </c>
      <c r="F23" s="9">
        <v>110000</v>
      </c>
      <c r="G23" s="9">
        <v>110000</v>
      </c>
      <c r="H23" s="9">
        <v>115000</v>
      </c>
      <c r="I23" s="9">
        <v>110000</v>
      </c>
      <c r="J23" s="72">
        <v>110000</v>
      </c>
      <c r="K23" s="67">
        <f t="shared" si="0"/>
        <v>110714.28571428571</v>
      </c>
      <c r="M23" s="4"/>
      <c r="N23" s="4"/>
    </row>
    <row r="24" spans="1:14" ht="15.75" x14ac:dyDescent="0.25">
      <c r="A24" s="101"/>
      <c r="B24" s="66" t="s">
        <v>21</v>
      </c>
      <c r="C24" s="17" t="s">
        <v>6</v>
      </c>
      <c r="D24" s="9">
        <v>90000</v>
      </c>
      <c r="E24" s="9">
        <v>90000</v>
      </c>
      <c r="F24" s="9">
        <v>100000</v>
      </c>
      <c r="G24" s="9">
        <v>105000</v>
      </c>
      <c r="H24" s="9">
        <v>110000</v>
      </c>
      <c r="I24" s="8">
        <v>100000</v>
      </c>
      <c r="J24" s="72">
        <v>105000</v>
      </c>
      <c r="K24" s="67">
        <f t="shared" si="0"/>
        <v>100000</v>
      </c>
      <c r="M24" s="4"/>
      <c r="N24" s="4"/>
    </row>
    <row r="25" spans="1:14" ht="15.75" x14ac:dyDescent="0.25">
      <c r="A25" s="101"/>
      <c r="B25" s="66" t="s">
        <v>22</v>
      </c>
      <c r="C25" s="17" t="s">
        <v>6</v>
      </c>
      <c r="D25" s="9">
        <v>34000</v>
      </c>
      <c r="E25" s="9">
        <v>31000</v>
      </c>
      <c r="F25" s="9">
        <v>32000</v>
      </c>
      <c r="G25" s="9">
        <v>32000</v>
      </c>
      <c r="H25" s="72">
        <v>33000</v>
      </c>
      <c r="I25" s="9">
        <v>34000</v>
      </c>
      <c r="J25" s="72">
        <v>35000</v>
      </c>
      <c r="K25" s="67">
        <f t="shared" si="0"/>
        <v>33000</v>
      </c>
      <c r="M25" s="4"/>
      <c r="N25" s="4"/>
    </row>
    <row r="26" spans="1:14" ht="15.75" x14ac:dyDescent="0.25">
      <c r="A26" s="101">
        <v>6</v>
      </c>
      <c r="B26" s="60" t="s">
        <v>23</v>
      </c>
      <c r="C26" s="73"/>
      <c r="D26" s="74"/>
      <c r="E26" s="17"/>
      <c r="F26" s="76"/>
      <c r="G26" s="15"/>
      <c r="H26" s="75"/>
      <c r="I26" s="15"/>
      <c r="J26" s="75"/>
      <c r="K26" s="71"/>
      <c r="M26" s="4"/>
      <c r="N26" s="4"/>
    </row>
    <row r="27" spans="1:14" ht="15.75" x14ac:dyDescent="0.25">
      <c r="A27" s="101"/>
      <c r="B27" s="66" t="s">
        <v>24</v>
      </c>
      <c r="C27" s="17" t="s">
        <v>6</v>
      </c>
      <c r="D27" s="9">
        <v>34000</v>
      </c>
      <c r="E27" s="9">
        <v>35000</v>
      </c>
      <c r="F27" s="9" t="s">
        <v>99</v>
      </c>
      <c r="G27" s="9">
        <v>40000</v>
      </c>
      <c r="H27" s="9">
        <v>30000</v>
      </c>
      <c r="I27" s="9" t="s">
        <v>99</v>
      </c>
      <c r="J27" s="72">
        <v>30000</v>
      </c>
      <c r="K27" s="67">
        <f t="shared" si="0"/>
        <v>33800</v>
      </c>
      <c r="L27" t="s">
        <v>100</v>
      </c>
      <c r="M27" s="4"/>
      <c r="N27" s="4"/>
    </row>
    <row r="28" spans="1:14" ht="15.75" x14ac:dyDescent="0.25">
      <c r="A28" s="101"/>
      <c r="B28" s="66" t="s">
        <v>25</v>
      </c>
      <c r="C28" s="17" t="s">
        <v>6</v>
      </c>
      <c r="D28" s="9">
        <v>36000</v>
      </c>
      <c r="E28" s="9">
        <v>28000</v>
      </c>
      <c r="F28" s="9">
        <v>35000</v>
      </c>
      <c r="G28" s="8">
        <v>30000</v>
      </c>
      <c r="H28" s="9">
        <v>22000</v>
      </c>
      <c r="I28" s="9">
        <v>30000</v>
      </c>
      <c r="J28" s="78">
        <v>30000</v>
      </c>
      <c r="K28" s="67">
        <f t="shared" si="0"/>
        <v>30142.857142857141</v>
      </c>
      <c r="M28" s="4"/>
      <c r="N28" s="4"/>
    </row>
    <row r="29" spans="1:14" ht="15.75" x14ac:dyDescent="0.25">
      <c r="A29" s="101"/>
      <c r="B29" s="66" t="s">
        <v>26</v>
      </c>
      <c r="C29" s="17" t="s">
        <v>6</v>
      </c>
      <c r="D29" s="9">
        <v>60000</v>
      </c>
      <c r="E29" s="9">
        <v>60000</v>
      </c>
      <c r="F29" s="16">
        <v>60000</v>
      </c>
      <c r="G29" s="8">
        <v>70000</v>
      </c>
      <c r="H29" s="9">
        <v>65000</v>
      </c>
      <c r="I29" s="9">
        <v>60000</v>
      </c>
      <c r="J29" s="79">
        <v>60000</v>
      </c>
      <c r="K29" s="67">
        <f t="shared" si="0"/>
        <v>62142.857142857145</v>
      </c>
      <c r="M29" s="4"/>
      <c r="N29" s="4"/>
    </row>
    <row r="30" spans="1:14" ht="15.75" x14ac:dyDescent="0.25">
      <c r="A30" s="101"/>
      <c r="B30" s="66" t="s">
        <v>27</v>
      </c>
      <c r="C30" s="17" t="s">
        <v>6</v>
      </c>
      <c r="D30" s="9">
        <v>25000</v>
      </c>
      <c r="E30" s="9" t="s">
        <v>99</v>
      </c>
      <c r="F30" s="10" t="s">
        <v>99</v>
      </c>
      <c r="G30" s="8">
        <v>25000</v>
      </c>
      <c r="H30" s="9">
        <v>23000</v>
      </c>
      <c r="I30" s="9" t="s">
        <v>99</v>
      </c>
      <c r="J30" s="79">
        <v>26000</v>
      </c>
      <c r="K30" s="67">
        <f t="shared" si="0"/>
        <v>24750</v>
      </c>
      <c r="M30" s="4"/>
      <c r="N30" s="4"/>
    </row>
    <row r="31" spans="1:14" ht="15.75" x14ac:dyDescent="0.25">
      <c r="A31" s="101"/>
      <c r="B31" s="66" t="s">
        <v>28</v>
      </c>
      <c r="C31" s="17" t="s">
        <v>6</v>
      </c>
      <c r="D31" s="9">
        <v>34000</v>
      </c>
      <c r="E31" s="9">
        <v>36000</v>
      </c>
      <c r="F31" s="9">
        <v>40000</v>
      </c>
      <c r="G31" s="9">
        <v>40000</v>
      </c>
      <c r="H31" s="9">
        <v>28000</v>
      </c>
      <c r="I31" s="9">
        <v>40000</v>
      </c>
      <c r="J31" s="72">
        <v>35000</v>
      </c>
      <c r="K31" s="67">
        <f t="shared" si="0"/>
        <v>36142.857142857145</v>
      </c>
      <c r="M31" s="4"/>
      <c r="N31" s="4"/>
    </row>
    <row r="32" spans="1:14" ht="15.75" x14ac:dyDescent="0.25">
      <c r="A32" s="101"/>
      <c r="B32" s="66" t="s">
        <v>29</v>
      </c>
      <c r="C32" s="17" t="s">
        <v>6</v>
      </c>
      <c r="D32" s="9" t="s">
        <v>99</v>
      </c>
      <c r="E32" s="9">
        <v>100000</v>
      </c>
      <c r="F32" s="9">
        <v>100000</v>
      </c>
      <c r="G32" s="9" t="s">
        <v>99</v>
      </c>
      <c r="H32" s="9">
        <v>80000</v>
      </c>
      <c r="I32" s="9">
        <v>100000</v>
      </c>
      <c r="J32" s="79">
        <v>70000</v>
      </c>
      <c r="K32" s="67">
        <f t="shared" si="0"/>
        <v>90000</v>
      </c>
      <c r="M32" s="4"/>
      <c r="N32" s="4"/>
    </row>
    <row r="33" spans="1:14" ht="15.75" x14ac:dyDescent="0.25">
      <c r="A33" s="101">
        <v>7</v>
      </c>
      <c r="B33" s="60" t="s">
        <v>30</v>
      </c>
      <c r="C33" s="73"/>
      <c r="D33" s="74"/>
      <c r="E33" s="17"/>
      <c r="F33" s="76"/>
      <c r="G33" s="76"/>
      <c r="H33" s="15"/>
      <c r="I33" s="15"/>
      <c r="J33" s="75"/>
      <c r="K33" s="71"/>
      <c r="M33" s="4"/>
      <c r="N33" s="4"/>
    </row>
    <row r="34" spans="1:14" ht="15.75" x14ac:dyDescent="0.25">
      <c r="A34" s="101"/>
      <c r="B34" s="66" t="s">
        <v>31</v>
      </c>
      <c r="C34" s="17" t="s">
        <v>6</v>
      </c>
      <c r="D34" s="9">
        <v>27000</v>
      </c>
      <c r="E34" s="9">
        <v>27000</v>
      </c>
      <c r="F34" s="9">
        <v>26000</v>
      </c>
      <c r="G34" s="9">
        <v>26000</v>
      </c>
      <c r="H34" s="9">
        <v>28000</v>
      </c>
      <c r="I34" s="9">
        <v>28000</v>
      </c>
      <c r="J34" s="72">
        <v>29500</v>
      </c>
      <c r="K34" s="67">
        <f t="shared" si="0"/>
        <v>27357.142857142859</v>
      </c>
      <c r="M34" s="4"/>
      <c r="N34" s="4"/>
    </row>
    <row r="35" spans="1:14" ht="15.75" x14ac:dyDescent="0.25">
      <c r="A35" s="101"/>
      <c r="B35" s="66" t="s">
        <v>32</v>
      </c>
      <c r="C35" s="17" t="s">
        <v>33</v>
      </c>
      <c r="D35" s="9">
        <v>3000</v>
      </c>
      <c r="E35" s="9">
        <v>2500</v>
      </c>
      <c r="F35" s="9">
        <v>2500</v>
      </c>
      <c r="G35" s="9">
        <v>2800</v>
      </c>
      <c r="H35" s="9">
        <v>2600</v>
      </c>
      <c r="I35" s="9">
        <v>3000</v>
      </c>
      <c r="J35" s="72">
        <v>3000</v>
      </c>
      <c r="K35" s="67">
        <f t="shared" si="0"/>
        <v>2771.4285714285716</v>
      </c>
      <c r="M35" s="4"/>
      <c r="N35" s="4"/>
    </row>
    <row r="36" spans="1:14" ht="15.75" x14ac:dyDescent="0.25">
      <c r="A36" s="59">
        <v>8</v>
      </c>
      <c r="B36" s="73" t="s">
        <v>117</v>
      </c>
      <c r="C36" s="80"/>
      <c r="D36" s="9"/>
      <c r="E36" s="9"/>
      <c r="F36" s="9"/>
      <c r="G36" s="9"/>
      <c r="H36" s="9"/>
      <c r="I36" s="9"/>
      <c r="J36" s="72"/>
      <c r="K36" s="81"/>
      <c r="M36" s="4"/>
      <c r="N36" s="4"/>
    </row>
    <row r="37" spans="1:14" ht="15.75" x14ac:dyDescent="0.25">
      <c r="A37" s="59"/>
      <c r="B37" s="66" t="s">
        <v>118</v>
      </c>
      <c r="C37" s="17" t="s">
        <v>6</v>
      </c>
      <c r="D37" s="9">
        <v>10000</v>
      </c>
      <c r="E37" s="9">
        <v>1250</v>
      </c>
      <c r="F37" s="9">
        <v>9000</v>
      </c>
      <c r="G37" s="9">
        <v>9000</v>
      </c>
      <c r="H37" s="9">
        <v>16000</v>
      </c>
      <c r="I37" s="9">
        <v>9000</v>
      </c>
      <c r="J37" s="72">
        <v>3000</v>
      </c>
      <c r="K37" s="67">
        <f t="shared" si="0"/>
        <v>8178.5714285714284</v>
      </c>
      <c r="M37" s="4"/>
      <c r="N37" s="4"/>
    </row>
    <row r="38" spans="1:14" ht="15.75" x14ac:dyDescent="0.25">
      <c r="A38" s="59"/>
      <c r="B38" s="66" t="s">
        <v>119</v>
      </c>
      <c r="C38" s="17" t="s">
        <v>6</v>
      </c>
      <c r="D38" s="9" t="s">
        <v>99</v>
      </c>
      <c r="E38" s="9">
        <v>10000</v>
      </c>
      <c r="F38" s="9">
        <v>12000</v>
      </c>
      <c r="G38" s="9">
        <v>14000</v>
      </c>
      <c r="H38" s="9" t="s">
        <v>99</v>
      </c>
      <c r="I38" s="9">
        <v>12000</v>
      </c>
      <c r="J38" s="72">
        <v>12000</v>
      </c>
      <c r="K38" s="67">
        <f>AVERAGE(D38:J38)</f>
        <v>12000</v>
      </c>
      <c r="M38" s="4"/>
      <c r="N38" s="4"/>
    </row>
    <row r="39" spans="1:14" ht="15.75" x14ac:dyDescent="0.25">
      <c r="A39" s="59">
        <v>9</v>
      </c>
      <c r="B39" s="82" t="s">
        <v>120</v>
      </c>
      <c r="C39" s="83"/>
      <c r="D39" s="9"/>
      <c r="E39" s="9"/>
      <c r="F39" s="9"/>
      <c r="G39" s="9"/>
      <c r="H39" s="9"/>
      <c r="I39" s="9"/>
      <c r="J39" s="72"/>
      <c r="K39" s="81"/>
      <c r="M39" s="4"/>
      <c r="N39" s="4"/>
    </row>
    <row r="40" spans="1:14" ht="15.75" x14ac:dyDescent="0.25">
      <c r="A40" s="59"/>
      <c r="B40" s="66" t="s">
        <v>121</v>
      </c>
      <c r="C40" s="17" t="s">
        <v>6</v>
      </c>
      <c r="D40" s="9" t="s">
        <v>99</v>
      </c>
      <c r="E40" s="9" t="s">
        <v>99</v>
      </c>
      <c r="F40" s="9" t="s">
        <v>99</v>
      </c>
      <c r="G40" s="9">
        <v>16000</v>
      </c>
      <c r="H40" s="9">
        <v>14000</v>
      </c>
      <c r="I40" s="9" t="s">
        <v>99</v>
      </c>
      <c r="J40" s="72">
        <v>15000</v>
      </c>
      <c r="K40" s="67">
        <f t="shared" si="0"/>
        <v>15000</v>
      </c>
      <c r="M40" s="4"/>
      <c r="N40" s="4"/>
    </row>
    <row r="41" spans="1:14" ht="15.75" x14ac:dyDescent="0.25">
      <c r="A41" s="59"/>
      <c r="B41" s="66" t="s">
        <v>122</v>
      </c>
      <c r="C41" s="17" t="s">
        <v>6</v>
      </c>
      <c r="D41" s="9" t="s">
        <v>99</v>
      </c>
      <c r="E41" s="9" t="s">
        <v>99</v>
      </c>
      <c r="F41" s="9">
        <v>6000</v>
      </c>
      <c r="G41" s="9" t="s">
        <v>99</v>
      </c>
      <c r="H41" s="9" t="s">
        <v>99</v>
      </c>
      <c r="I41" s="9">
        <v>6000</v>
      </c>
      <c r="J41" s="72" t="s">
        <v>99</v>
      </c>
      <c r="K41" s="67">
        <f t="shared" si="0"/>
        <v>6000</v>
      </c>
      <c r="M41" s="4"/>
      <c r="N41" s="4"/>
    </row>
    <row r="42" spans="1:14" ht="15.75" x14ac:dyDescent="0.25">
      <c r="A42" s="59"/>
      <c r="B42" s="66" t="s">
        <v>123</v>
      </c>
      <c r="C42" s="17" t="s">
        <v>6</v>
      </c>
      <c r="D42" s="9" t="s">
        <v>99</v>
      </c>
      <c r="E42" s="9">
        <v>2500</v>
      </c>
      <c r="F42" s="9" t="s">
        <v>99</v>
      </c>
      <c r="G42" s="9" t="s">
        <v>99</v>
      </c>
      <c r="H42" s="9" t="s">
        <v>99</v>
      </c>
      <c r="I42" s="9" t="s">
        <v>99</v>
      </c>
      <c r="J42" s="72" t="s">
        <v>99</v>
      </c>
      <c r="K42" s="67">
        <f t="shared" si="0"/>
        <v>2500</v>
      </c>
      <c r="M42" s="4"/>
      <c r="N42" s="4"/>
    </row>
    <row r="43" spans="1:14" ht="15.75" x14ac:dyDescent="0.25">
      <c r="A43" s="101">
        <v>10</v>
      </c>
      <c r="B43" s="60" t="s">
        <v>34</v>
      </c>
      <c r="C43" s="73"/>
      <c r="D43" s="74"/>
      <c r="E43" s="17"/>
      <c r="F43" s="76"/>
      <c r="G43" s="15"/>
      <c r="H43" s="15"/>
      <c r="I43" s="15"/>
      <c r="J43" s="84"/>
      <c r="K43" s="71"/>
      <c r="M43" s="4"/>
      <c r="N43" s="4"/>
    </row>
    <row r="44" spans="1:14" ht="15.75" x14ac:dyDescent="0.25">
      <c r="A44" s="101"/>
      <c r="B44" s="66" t="s">
        <v>35</v>
      </c>
      <c r="C44" s="17" t="s">
        <v>36</v>
      </c>
      <c r="D44" s="9">
        <v>12000</v>
      </c>
      <c r="E44" s="9">
        <v>12000</v>
      </c>
      <c r="F44" s="9">
        <v>12500</v>
      </c>
      <c r="G44" s="9">
        <v>12500</v>
      </c>
      <c r="H44" s="10" t="s">
        <v>99</v>
      </c>
      <c r="I44" s="16">
        <v>12500</v>
      </c>
      <c r="J44" s="72">
        <v>12500</v>
      </c>
      <c r="K44" s="67">
        <f t="shared" si="0"/>
        <v>12333.333333333334</v>
      </c>
      <c r="M44" s="4"/>
      <c r="N44" s="4"/>
    </row>
    <row r="45" spans="1:14" ht="15.75" x14ac:dyDescent="0.25">
      <c r="A45" s="101"/>
      <c r="B45" s="66" t="s">
        <v>124</v>
      </c>
      <c r="C45" s="17" t="s">
        <v>36</v>
      </c>
      <c r="D45" s="9">
        <v>12000</v>
      </c>
      <c r="E45" s="9">
        <v>13000</v>
      </c>
      <c r="F45" s="16">
        <v>12500</v>
      </c>
      <c r="G45" s="9">
        <v>12500</v>
      </c>
      <c r="H45" s="10" t="s">
        <v>99</v>
      </c>
      <c r="I45" s="16">
        <v>12500</v>
      </c>
      <c r="J45" s="79">
        <v>12500</v>
      </c>
      <c r="K45" s="67">
        <f>AVERAGE(D45:J45)</f>
        <v>12500</v>
      </c>
      <c r="M45" s="4"/>
      <c r="N45" s="4"/>
    </row>
    <row r="46" spans="1:14" ht="15.75" x14ac:dyDescent="0.25">
      <c r="A46" s="101">
        <v>11</v>
      </c>
      <c r="B46" s="60" t="s">
        <v>38</v>
      </c>
      <c r="C46" s="73"/>
      <c r="D46" s="74"/>
      <c r="E46" s="17"/>
      <c r="F46" s="15"/>
      <c r="G46" s="76"/>
      <c r="H46" s="15"/>
      <c r="I46" s="15"/>
      <c r="J46" s="75"/>
      <c r="K46" s="71"/>
      <c r="M46" s="4"/>
      <c r="N46" s="4"/>
    </row>
    <row r="47" spans="1:14" ht="15.75" x14ac:dyDescent="0.25">
      <c r="A47" s="101"/>
      <c r="B47" s="66" t="s">
        <v>39</v>
      </c>
      <c r="C47" s="17" t="s">
        <v>40</v>
      </c>
      <c r="D47" s="9" t="s">
        <v>99</v>
      </c>
      <c r="E47" s="9" t="s">
        <v>99</v>
      </c>
      <c r="F47" s="10" t="s">
        <v>99</v>
      </c>
      <c r="G47" s="8" t="s">
        <v>99</v>
      </c>
      <c r="H47" s="9">
        <v>17500</v>
      </c>
      <c r="I47" s="16" t="s">
        <v>99</v>
      </c>
      <c r="J47" s="79" t="s">
        <v>99</v>
      </c>
      <c r="K47" s="67">
        <f t="shared" si="0"/>
        <v>17500</v>
      </c>
      <c r="M47" s="4"/>
      <c r="N47" s="4"/>
    </row>
    <row r="48" spans="1:14" ht="15.75" x14ac:dyDescent="0.25">
      <c r="A48" s="101"/>
      <c r="B48" s="66" t="s">
        <v>41</v>
      </c>
      <c r="C48" s="17" t="s">
        <v>42</v>
      </c>
      <c r="D48" s="9" t="s">
        <v>99</v>
      </c>
      <c r="E48" s="9" t="s">
        <v>99</v>
      </c>
      <c r="F48" s="10" t="s">
        <v>99</v>
      </c>
      <c r="G48" s="8" t="s">
        <v>99</v>
      </c>
      <c r="H48" s="9">
        <v>2000</v>
      </c>
      <c r="I48" s="16" t="s">
        <v>99</v>
      </c>
      <c r="J48" s="79" t="s">
        <v>99</v>
      </c>
      <c r="K48" s="67">
        <f t="shared" si="0"/>
        <v>2000</v>
      </c>
      <c r="M48" s="4"/>
      <c r="N48" s="4"/>
    </row>
    <row r="49" spans="1:14" ht="15.75" x14ac:dyDescent="0.25">
      <c r="A49" s="59">
        <v>12</v>
      </c>
      <c r="B49" s="85" t="s">
        <v>43</v>
      </c>
      <c r="C49" s="80"/>
      <c r="D49" s="19"/>
      <c r="E49" s="10"/>
      <c r="F49" s="10"/>
      <c r="G49" s="22"/>
      <c r="H49" s="10"/>
      <c r="I49" s="10"/>
      <c r="J49" s="77"/>
      <c r="K49" s="71"/>
      <c r="M49" s="4"/>
      <c r="N49" s="4"/>
    </row>
    <row r="50" spans="1:14" ht="15.75" x14ac:dyDescent="0.25">
      <c r="A50" s="59"/>
      <c r="B50" s="66" t="s">
        <v>44</v>
      </c>
      <c r="C50" s="86" t="s">
        <v>6</v>
      </c>
      <c r="D50" s="9" t="s">
        <v>99</v>
      </c>
      <c r="E50" s="9">
        <v>8000</v>
      </c>
      <c r="F50" s="9">
        <v>10000</v>
      </c>
      <c r="G50" s="9">
        <v>10000</v>
      </c>
      <c r="H50" s="9">
        <v>15000</v>
      </c>
      <c r="I50" s="8">
        <v>15000</v>
      </c>
      <c r="J50" s="72">
        <v>15000</v>
      </c>
      <c r="K50" s="67">
        <f t="shared" si="0"/>
        <v>12166.666666666666</v>
      </c>
      <c r="M50" s="4" t="s">
        <v>101</v>
      </c>
      <c r="N50" s="4"/>
    </row>
    <row r="51" spans="1:14" ht="15.75" x14ac:dyDescent="0.25">
      <c r="A51" s="59"/>
      <c r="B51" s="66" t="s">
        <v>45</v>
      </c>
      <c r="C51" s="86" t="s">
        <v>6</v>
      </c>
      <c r="D51" s="9">
        <v>15000</v>
      </c>
      <c r="E51" s="9">
        <v>10000</v>
      </c>
      <c r="F51" s="8">
        <v>9000</v>
      </c>
      <c r="G51" s="9">
        <v>10000</v>
      </c>
      <c r="H51" s="9">
        <v>12000</v>
      </c>
      <c r="I51" s="9">
        <v>12000</v>
      </c>
      <c r="J51" s="72">
        <v>10000</v>
      </c>
      <c r="K51" s="67">
        <f t="shared" si="0"/>
        <v>11142.857142857143</v>
      </c>
      <c r="M51" s="4"/>
      <c r="N51" s="23"/>
    </row>
    <row r="52" spans="1:14" ht="15.75" x14ac:dyDescent="0.25">
      <c r="A52" s="101">
        <v>13</v>
      </c>
      <c r="B52" s="60" t="s">
        <v>46</v>
      </c>
      <c r="C52" s="73"/>
      <c r="D52" s="74"/>
      <c r="E52" s="17"/>
      <c r="F52" s="76"/>
      <c r="G52" s="76"/>
      <c r="H52" s="15"/>
      <c r="I52" s="15"/>
      <c r="J52" s="84"/>
      <c r="K52" s="71"/>
      <c r="M52" s="4"/>
      <c r="N52" s="4"/>
    </row>
    <row r="53" spans="1:14" ht="15.75" x14ac:dyDescent="0.25">
      <c r="A53" s="101"/>
      <c r="B53" s="66" t="s">
        <v>47</v>
      </c>
      <c r="C53" s="17" t="s">
        <v>125</v>
      </c>
      <c r="D53" s="9">
        <v>3000</v>
      </c>
      <c r="E53" s="9">
        <v>4000</v>
      </c>
      <c r="F53" s="9">
        <v>5000</v>
      </c>
      <c r="G53" s="9">
        <v>5000</v>
      </c>
      <c r="H53" s="9">
        <v>2500</v>
      </c>
      <c r="I53" s="16">
        <v>5000</v>
      </c>
      <c r="J53" s="72">
        <v>2500</v>
      </c>
      <c r="K53" s="67">
        <f t="shared" si="0"/>
        <v>3857.1428571428573</v>
      </c>
      <c r="M53" s="4"/>
      <c r="N53" s="4"/>
    </row>
    <row r="54" spans="1:14" ht="15.75" x14ac:dyDescent="0.25">
      <c r="A54" s="101">
        <v>14</v>
      </c>
      <c r="B54" s="60" t="s">
        <v>49</v>
      </c>
      <c r="C54" s="80"/>
      <c r="D54" s="62"/>
      <c r="E54" s="17"/>
      <c r="F54" s="20"/>
      <c r="G54" s="20"/>
      <c r="H54" s="17"/>
      <c r="I54" s="17"/>
      <c r="J54" s="87"/>
      <c r="K54" s="71"/>
      <c r="M54" s="4"/>
      <c r="N54" s="4"/>
    </row>
    <row r="55" spans="1:14" ht="15.75" x14ac:dyDescent="0.25">
      <c r="A55" s="101"/>
      <c r="B55" s="88" t="s">
        <v>50</v>
      </c>
      <c r="C55" s="86" t="s">
        <v>6</v>
      </c>
      <c r="D55" s="9">
        <v>10000</v>
      </c>
      <c r="E55" s="9">
        <v>10500</v>
      </c>
      <c r="F55" s="9">
        <v>10000</v>
      </c>
      <c r="G55" s="9">
        <v>11000</v>
      </c>
      <c r="H55" s="9">
        <v>12000</v>
      </c>
      <c r="I55" s="9">
        <v>10000</v>
      </c>
      <c r="J55" s="72">
        <v>10000</v>
      </c>
      <c r="K55" s="67">
        <f t="shared" si="0"/>
        <v>10500</v>
      </c>
      <c r="M55" s="4"/>
      <c r="N55" s="4"/>
    </row>
    <row r="56" spans="1:14" ht="15.75" x14ac:dyDescent="0.25">
      <c r="A56" s="101">
        <v>15</v>
      </c>
      <c r="B56" s="60" t="s">
        <v>51</v>
      </c>
      <c r="C56" s="73"/>
      <c r="D56" s="74"/>
      <c r="E56" s="17"/>
      <c r="F56" s="76"/>
      <c r="G56" s="15"/>
      <c r="H56" s="15"/>
      <c r="I56" s="15"/>
      <c r="J56" s="84"/>
      <c r="K56" s="71"/>
      <c r="M56" s="4"/>
      <c r="N56" s="4"/>
    </row>
    <row r="57" spans="1:14" ht="15.75" x14ac:dyDescent="0.25">
      <c r="A57" s="101"/>
      <c r="B57" s="66" t="s">
        <v>52</v>
      </c>
      <c r="C57" s="17" t="s">
        <v>6</v>
      </c>
      <c r="D57" s="9">
        <v>16000</v>
      </c>
      <c r="E57" s="9">
        <v>13000</v>
      </c>
      <c r="F57" s="9">
        <v>14000</v>
      </c>
      <c r="G57" s="9">
        <v>14000</v>
      </c>
      <c r="H57" s="9">
        <v>11500</v>
      </c>
      <c r="I57" s="9">
        <v>17000</v>
      </c>
      <c r="J57" s="72" t="s">
        <v>99</v>
      </c>
      <c r="K57" s="67">
        <f t="shared" si="0"/>
        <v>14250</v>
      </c>
      <c r="M57" s="4"/>
      <c r="N57" s="4"/>
    </row>
    <row r="58" spans="1:14" ht="15.75" x14ac:dyDescent="0.25">
      <c r="A58" s="101"/>
      <c r="B58" s="66" t="s">
        <v>53</v>
      </c>
      <c r="C58" s="17" t="s">
        <v>6</v>
      </c>
      <c r="D58" s="9" t="s">
        <v>99</v>
      </c>
      <c r="E58" s="9" t="s">
        <v>99</v>
      </c>
      <c r="F58" s="16">
        <v>15000</v>
      </c>
      <c r="G58" s="22" t="s">
        <v>99</v>
      </c>
      <c r="H58" s="9">
        <v>13000</v>
      </c>
      <c r="I58" s="8">
        <v>15000</v>
      </c>
      <c r="J58" s="72">
        <v>14000</v>
      </c>
      <c r="K58" s="67">
        <f t="shared" si="0"/>
        <v>14250</v>
      </c>
      <c r="M58" s="4"/>
      <c r="N58" s="4"/>
    </row>
    <row r="59" spans="1:14" ht="15.75" x14ac:dyDescent="0.25">
      <c r="A59" s="101"/>
      <c r="B59" s="66" t="s">
        <v>54</v>
      </c>
      <c r="C59" s="17" t="s">
        <v>6</v>
      </c>
      <c r="D59" s="9">
        <v>22000</v>
      </c>
      <c r="E59" s="9">
        <v>23000</v>
      </c>
      <c r="F59" s="9">
        <v>23000</v>
      </c>
      <c r="G59" s="9">
        <v>23000</v>
      </c>
      <c r="H59" s="9">
        <v>20000</v>
      </c>
      <c r="I59" s="9">
        <v>23000</v>
      </c>
      <c r="J59" s="72">
        <v>24000</v>
      </c>
      <c r="K59" s="67">
        <f t="shared" si="0"/>
        <v>22571.428571428572</v>
      </c>
      <c r="M59" s="4"/>
      <c r="N59" s="4"/>
    </row>
    <row r="60" spans="1:14" ht="15.75" x14ac:dyDescent="0.25">
      <c r="A60" s="101"/>
      <c r="B60" s="66" t="s">
        <v>55</v>
      </c>
      <c r="C60" s="17" t="s">
        <v>6</v>
      </c>
      <c r="D60" s="9">
        <v>26000</v>
      </c>
      <c r="E60" s="9">
        <v>30000</v>
      </c>
      <c r="F60" s="9">
        <v>28000</v>
      </c>
      <c r="G60" s="9">
        <v>30000</v>
      </c>
      <c r="H60" s="9">
        <v>27000</v>
      </c>
      <c r="I60" s="9">
        <v>28000</v>
      </c>
      <c r="J60" s="72">
        <v>28000</v>
      </c>
      <c r="K60" s="67">
        <f t="shared" si="0"/>
        <v>28142.857142857141</v>
      </c>
      <c r="M60" s="4"/>
      <c r="N60" s="4"/>
    </row>
    <row r="61" spans="1:14" ht="15.75" x14ac:dyDescent="0.25">
      <c r="A61" s="17">
        <v>16</v>
      </c>
      <c r="B61" s="60" t="s">
        <v>56</v>
      </c>
      <c r="C61" s="80"/>
      <c r="D61" s="89"/>
      <c r="E61" s="10"/>
      <c r="F61" s="22"/>
      <c r="G61" s="10"/>
      <c r="H61" s="10"/>
      <c r="I61" s="10"/>
      <c r="J61" s="90"/>
      <c r="K61" s="71"/>
      <c r="M61" s="4"/>
      <c r="N61" s="4"/>
    </row>
    <row r="62" spans="1:14" ht="15.75" x14ac:dyDescent="0.25">
      <c r="A62" s="17"/>
      <c r="B62" s="66" t="s">
        <v>57</v>
      </c>
      <c r="C62" s="86" t="s">
        <v>58</v>
      </c>
      <c r="D62" s="9">
        <v>3000</v>
      </c>
      <c r="E62" s="9">
        <v>3200</v>
      </c>
      <c r="F62" s="9">
        <v>3000</v>
      </c>
      <c r="G62" s="9">
        <v>3000</v>
      </c>
      <c r="H62" s="10" t="s">
        <v>99</v>
      </c>
      <c r="I62" s="16">
        <v>3000</v>
      </c>
      <c r="J62" s="72">
        <v>3500</v>
      </c>
      <c r="K62" s="67">
        <f t="shared" si="0"/>
        <v>3116.6666666666665</v>
      </c>
      <c r="M62" s="4"/>
      <c r="N62" s="4"/>
    </row>
    <row r="63" spans="1:14" ht="15.75" x14ac:dyDescent="0.25">
      <c r="A63" s="101">
        <v>17</v>
      </c>
      <c r="B63" s="60" t="s">
        <v>59</v>
      </c>
      <c r="C63" s="73"/>
      <c r="D63" s="74"/>
      <c r="E63" s="17"/>
      <c r="F63" s="76"/>
      <c r="G63" s="76"/>
      <c r="H63" s="15"/>
      <c r="I63" s="15"/>
      <c r="J63" s="84"/>
      <c r="K63" s="71"/>
      <c r="M63" s="4"/>
      <c r="N63" s="4"/>
    </row>
    <row r="64" spans="1:14" ht="15.75" x14ac:dyDescent="0.25">
      <c r="A64" s="101"/>
      <c r="B64" s="66" t="s">
        <v>60</v>
      </c>
      <c r="C64" s="17" t="s">
        <v>6</v>
      </c>
      <c r="D64" s="9">
        <v>75000</v>
      </c>
      <c r="E64" s="9">
        <v>70000</v>
      </c>
      <c r="F64" s="9">
        <v>67000</v>
      </c>
      <c r="G64" s="9">
        <v>70000</v>
      </c>
      <c r="H64" s="9">
        <v>65000</v>
      </c>
      <c r="I64" s="9">
        <v>85000</v>
      </c>
      <c r="J64" s="72">
        <v>70000</v>
      </c>
      <c r="K64" s="67">
        <f t="shared" si="0"/>
        <v>71714.28571428571</v>
      </c>
      <c r="M64" s="4"/>
      <c r="N64" s="4"/>
    </row>
    <row r="65" spans="1:14" ht="15.75" x14ac:dyDescent="0.25">
      <c r="A65" s="101"/>
      <c r="B65" s="66" t="s">
        <v>61</v>
      </c>
      <c r="C65" s="17" t="s">
        <v>6</v>
      </c>
      <c r="D65" s="9">
        <v>85000</v>
      </c>
      <c r="E65" s="9">
        <v>70000</v>
      </c>
      <c r="F65" s="9">
        <v>67000</v>
      </c>
      <c r="G65" s="9">
        <v>60000</v>
      </c>
      <c r="H65" s="9">
        <v>60000</v>
      </c>
      <c r="I65" s="8">
        <v>65000</v>
      </c>
      <c r="J65" s="72">
        <v>65000</v>
      </c>
      <c r="K65" s="67">
        <f t="shared" si="0"/>
        <v>67428.571428571435</v>
      </c>
      <c r="M65" s="4"/>
      <c r="N65" s="4"/>
    </row>
    <row r="66" spans="1:14" ht="15.75" x14ac:dyDescent="0.25">
      <c r="A66" s="101"/>
      <c r="B66" s="66" t="s">
        <v>62</v>
      </c>
      <c r="C66" s="17" t="s">
        <v>6</v>
      </c>
      <c r="D66" s="9">
        <v>65000</v>
      </c>
      <c r="E66" s="9">
        <v>45000</v>
      </c>
      <c r="F66" s="9">
        <v>62000</v>
      </c>
      <c r="G66" s="9">
        <v>65000</v>
      </c>
      <c r="H66" s="9">
        <v>75000</v>
      </c>
      <c r="I66" s="9">
        <v>80000</v>
      </c>
      <c r="J66" s="72">
        <v>80000</v>
      </c>
      <c r="K66" s="67">
        <f t="shared" si="0"/>
        <v>67428.571428571435</v>
      </c>
      <c r="M66" s="4"/>
      <c r="N66" s="4"/>
    </row>
    <row r="67" spans="1:14" ht="15.75" x14ac:dyDescent="0.25">
      <c r="A67" s="17">
        <v>18</v>
      </c>
      <c r="B67" s="60" t="s">
        <v>63</v>
      </c>
      <c r="C67" s="80"/>
      <c r="D67" s="24"/>
      <c r="E67" s="10"/>
      <c r="F67" s="22"/>
      <c r="G67" s="10"/>
      <c r="H67" s="10" t="s">
        <v>1</v>
      </c>
      <c r="I67" s="10"/>
      <c r="J67" s="77"/>
      <c r="K67" s="71"/>
      <c r="M67" s="4"/>
      <c r="N67" s="4"/>
    </row>
    <row r="68" spans="1:14" ht="15.75" x14ac:dyDescent="0.25">
      <c r="A68" s="17"/>
      <c r="B68" s="66" t="s">
        <v>64</v>
      </c>
      <c r="C68" s="17" t="s">
        <v>65</v>
      </c>
      <c r="D68" s="9">
        <v>20000</v>
      </c>
      <c r="E68" s="9">
        <v>18000</v>
      </c>
      <c r="F68" s="9">
        <v>18000</v>
      </c>
      <c r="G68" s="9">
        <v>18000</v>
      </c>
      <c r="H68" s="10" t="s">
        <v>99</v>
      </c>
      <c r="I68" s="9">
        <v>18000</v>
      </c>
      <c r="J68" s="79">
        <v>18000</v>
      </c>
      <c r="K68" s="67">
        <f t="shared" si="0"/>
        <v>18333.333333333332</v>
      </c>
      <c r="M68" s="4"/>
      <c r="N68" s="4"/>
    </row>
    <row r="69" spans="1:14" ht="15.75" x14ac:dyDescent="0.25">
      <c r="A69" s="101">
        <v>19</v>
      </c>
      <c r="B69" s="60" t="s">
        <v>66</v>
      </c>
      <c r="C69" s="60"/>
      <c r="D69" s="74"/>
      <c r="E69" s="17"/>
      <c r="F69" s="15"/>
      <c r="G69" s="15"/>
      <c r="H69" s="15"/>
      <c r="I69" s="15"/>
      <c r="J69" s="75"/>
      <c r="K69" s="71"/>
      <c r="M69" s="4"/>
      <c r="N69" s="4"/>
    </row>
    <row r="70" spans="1:14" ht="15.75" x14ac:dyDescent="0.25">
      <c r="A70" s="101"/>
      <c r="B70" s="66" t="s">
        <v>67</v>
      </c>
      <c r="C70" s="17" t="s">
        <v>6</v>
      </c>
      <c r="D70" s="9">
        <v>38000</v>
      </c>
      <c r="E70" s="9">
        <v>35000</v>
      </c>
      <c r="F70" s="9">
        <v>36000</v>
      </c>
      <c r="G70" s="9">
        <v>35000</v>
      </c>
      <c r="H70" s="9">
        <v>37000</v>
      </c>
      <c r="I70" s="9">
        <v>36000</v>
      </c>
      <c r="J70" s="72">
        <v>40000</v>
      </c>
      <c r="K70" s="67">
        <f t="shared" si="0"/>
        <v>36714.285714285717</v>
      </c>
      <c r="M70" s="4"/>
      <c r="N70" s="4"/>
    </row>
    <row r="71" spans="1:14" ht="15.75" x14ac:dyDescent="0.25">
      <c r="A71" s="101"/>
      <c r="B71" s="66" t="s">
        <v>68</v>
      </c>
      <c r="C71" s="17" t="s">
        <v>6</v>
      </c>
      <c r="D71" s="9">
        <v>34000</v>
      </c>
      <c r="E71" s="9">
        <v>32000</v>
      </c>
      <c r="F71" s="9">
        <v>33000</v>
      </c>
      <c r="G71" s="9">
        <v>32000</v>
      </c>
      <c r="H71" s="9">
        <v>32000</v>
      </c>
      <c r="I71" s="9">
        <v>32000</v>
      </c>
      <c r="J71" s="72">
        <v>33000</v>
      </c>
      <c r="K71" s="67">
        <f t="shared" si="0"/>
        <v>32571.428571428572</v>
      </c>
      <c r="M71" s="4"/>
      <c r="N71" s="4"/>
    </row>
    <row r="72" spans="1:14" ht="15.75" x14ac:dyDescent="0.25">
      <c r="A72" s="101"/>
      <c r="B72" s="66" t="s">
        <v>69</v>
      </c>
      <c r="C72" s="17" t="s">
        <v>6</v>
      </c>
      <c r="D72" s="9">
        <v>28000</v>
      </c>
      <c r="E72" s="9">
        <v>28000</v>
      </c>
      <c r="F72" s="9">
        <v>24000</v>
      </c>
      <c r="G72" s="9">
        <v>28000</v>
      </c>
      <c r="H72" s="9">
        <v>18000</v>
      </c>
      <c r="I72" s="9">
        <v>25000</v>
      </c>
      <c r="J72" s="72">
        <v>20000</v>
      </c>
      <c r="K72" s="67">
        <f t="shared" si="0"/>
        <v>24428.571428571428</v>
      </c>
      <c r="M72" s="4"/>
      <c r="N72" s="4"/>
    </row>
    <row r="73" spans="1:14" ht="15.75" x14ac:dyDescent="0.25">
      <c r="A73" s="101"/>
      <c r="B73" s="66" t="s">
        <v>70</v>
      </c>
      <c r="C73" s="17" t="s">
        <v>6</v>
      </c>
      <c r="D73" s="9">
        <v>28000</v>
      </c>
      <c r="E73" s="9">
        <v>25000</v>
      </c>
      <c r="F73" s="16">
        <v>28000</v>
      </c>
      <c r="G73" s="8">
        <v>30000</v>
      </c>
      <c r="H73" s="9">
        <v>25000</v>
      </c>
      <c r="I73" s="9">
        <v>25000</v>
      </c>
      <c r="J73" s="72">
        <v>30000</v>
      </c>
      <c r="K73" s="67">
        <f t="shared" si="0"/>
        <v>27285.714285714286</v>
      </c>
      <c r="M73" s="4"/>
      <c r="N73" s="4"/>
    </row>
    <row r="74" spans="1:14" ht="15.75" x14ac:dyDescent="0.25">
      <c r="A74" s="17">
        <v>20</v>
      </c>
      <c r="B74" s="60" t="s">
        <v>71</v>
      </c>
      <c r="C74" s="91"/>
      <c r="D74" s="24"/>
      <c r="E74" s="10"/>
      <c r="F74" s="10"/>
      <c r="G74" s="89"/>
      <c r="H74" s="10"/>
      <c r="I74" s="10"/>
      <c r="J74" s="90"/>
      <c r="K74" s="71"/>
      <c r="M74" s="4"/>
      <c r="N74" s="4"/>
    </row>
    <row r="75" spans="1:14" ht="15.75" x14ac:dyDescent="0.25">
      <c r="A75" s="17"/>
      <c r="B75" s="66" t="s">
        <v>72</v>
      </c>
      <c r="C75" s="86" t="s">
        <v>6</v>
      </c>
      <c r="D75" s="9">
        <v>7000</v>
      </c>
      <c r="E75" s="9">
        <v>7000</v>
      </c>
      <c r="F75" s="9">
        <v>5000</v>
      </c>
      <c r="G75" s="9">
        <v>6000</v>
      </c>
      <c r="H75" s="9">
        <v>5000</v>
      </c>
      <c r="I75" s="9">
        <v>5000</v>
      </c>
      <c r="J75" s="72">
        <v>5000</v>
      </c>
      <c r="K75" s="67">
        <f t="shared" si="0"/>
        <v>5714.2857142857147</v>
      </c>
      <c r="M75" s="4"/>
      <c r="N75" s="4"/>
    </row>
    <row r="76" spans="1:14" ht="15.75" x14ac:dyDescent="0.25">
      <c r="A76" s="17"/>
      <c r="B76" s="66" t="s">
        <v>73</v>
      </c>
      <c r="C76" s="86" t="s">
        <v>6</v>
      </c>
      <c r="D76" s="9">
        <v>7000</v>
      </c>
      <c r="E76" s="9">
        <v>6000</v>
      </c>
      <c r="F76" s="16">
        <v>6000</v>
      </c>
      <c r="G76" s="8">
        <v>6000</v>
      </c>
      <c r="H76" s="9">
        <v>5000</v>
      </c>
      <c r="I76" s="9">
        <v>6000</v>
      </c>
      <c r="J76" s="79">
        <v>6000</v>
      </c>
      <c r="K76" s="67">
        <f t="shared" si="0"/>
        <v>6000</v>
      </c>
      <c r="M76" s="4"/>
      <c r="N76" s="4"/>
    </row>
    <row r="77" spans="1:14" ht="15.75" x14ac:dyDescent="0.25">
      <c r="A77" s="17">
        <v>21</v>
      </c>
      <c r="B77" s="60" t="s">
        <v>74</v>
      </c>
      <c r="C77" s="91"/>
      <c r="D77" s="19"/>
      <c r="E77" s="10"/>
      <c r="F77" s="10"/>
      <c r="G77" s="22"/>
      <c r="H77" s="10"/>
      <c r="I77" s="10"/>
      <c r="J77" s="77"/>
      <c r="K77" s="71"/>
      <c r="M77" s="4"/>
      <c r="N77" s="4"/>
    </row>
    <row r="78" spans="1:14" ht="15.75" x14ac:dyDescent="0.25">
      <c r="A78" s="17"/>
      <c r="B78" s="66" t="s">
        <v>75</v>
      </c>
      <c r="C78" s="86" t="s">
        <v>6</v>
      </c>
      <c r="D78" s="9">
        <v>8000</v>
      </c>
      <c r="E78" s="9">
        <v>8000</v>
      </c>
      <c r="F78" s="9">
        <v>10000</v>
      </c>
      <c r="G78" s="9">
        <v>8000</v>
      </c>
      <c r="H78" s="9">
        <v>6000</v>
      </c>
      <c r="I78" s="16">
        <v>9000</v>
      </c>
      <c r="J78" s="72" t="s">
        <v>99</v>
      </c>
      <c r="K78" s="67">
        <f t="shared" si="0"/>
        <v>8166.666666666667</v>
      </c>
      <c r="M78" s="4"/>
      <c r="N78" s="4"/>
    </row>
    <row r="79" spans="1:14" ht="15.75" x14ac:dyDescent="0.25">
      <c r="A79" s="17"/>
      <c r="B79" s="66" t="s">
        <v>76</v>
      </c>
      <c r="C79" s="86" t="s">
        <v>6</v>
      </c>
      <c r="D79" s="9">
        <v>8000</v>
      </c>
      <c r="E79" s="9">
        <v>10000</v>
      </c>
      <c r="F79" s="9">
        <v>20000</v>
      </c>
      <c r="G79" s="9">
        <v>12000</v>
      </c>
      <c r="H79" s="9">
        <v>6000</v>
      </c>
      <c r="I79" s="16">
        <v>8000</v>
      </c>
      <c r="J79" s="72">
        <v>15000</v>
      </c>
      <c r="K79" s="67">
        <f t="shared" si="0"/>
        <v>11285.714285714286</v>
      </c>
      <c r="M79" s="4"/>
      <c r="N79" s="4"/>
    </row>
    <row r="80" spans="1:14" ht="15.75" x14ac:dyDescent="0.25">
      <c r="A80" s="17"/>
      <c r="B80" s="66" t="s">
        <v>77</v>
      </c>
      <c r="C80" s="86" t="s">
        <v>6</v>
      </c>
      <c r="D80" s="9">
        <v>18000</v>
      </c>
      <c r="E80" s="9">
        <v>16000</v>
      </c>
      <c r="F80" s="9">
        <v>17000</v>
      </c>
      <c r="G80" s="9">
        <v>17000</v>
      </c>
      <c r="H80" s="9">
        <v>15000</v>
      </c>
      <c r="I80" s="9">
        <v>20000</v>
      </c>
      <c r="J80" s="72">
        <v>18000</v>
      </c>
      <c r="K80" s="67">
        <f t="shared" si="0"/>
        <v>17285.714285714286</v>
      </c>
      <c r="M80" s="4"/>
      <c r="N80" s="4"/>
    </row>
    <row r="81" spans="1:14" ht="15.75" x14ac:dyDescent="0.25">
      <c r="A81" s="17"/>
      <c r="B81" s="66" t="s">
        <v>78</v>
      </c>
      <c r="C81" s="86" t="s">
        <v>6</v>
      </c>
      <c r="D81" s="9">
        <v>22000</v>
      </c>
      <c r="E81" s="9">
        <v>15000</v>
      </c>
      <c r="F81" s="9">
        <v>10000</v>
      </c>
      <c r="G81" s="9">
        <v>18000</v>
      </c>
      <c r="H81" s="9">
        <v>20000</v>
      </c>
      <c r="I81" s="8">
        <v>22000</v>
      </c>
      <c r="J81" s="72">
        <v>20000</v>
      </c>
      <c r="K81" s="67">
        <f t="shared" ref="K81:K88" si="1">AVERAGE(D81:J81)</f>
        <v>18142.857142857141</v>
      </c>
      <c r="M81" s="4"/>
      <c r="N81" s="4"/>
    </row>
    <row r="82" spans="1:14" ht="15.75" x14ac:dyDescent="0.25">
      <c r="A82" s="17"/>
      <c r="B82" s="66" t="s">
        <v>79</v>
      </c>
      <c r="C82" s="86" t="s">
        <v>6</v>
      </c>
      <c r="D82" s="9">
        <v>14000</v>
      </c>
      <c r="E82" s="9">
        <v>12000</v>
      </c>
      <c r="F82" s="9">
        <v>14000</v>
      </c>
      <c r="G82" s="9">
        <v>12000</v>
      </c>
      <c r="H82" s="9">
        <v>10000</v>
      </c>
      <c r="I82" s="9">
        <v>14000</v>
      </c>
      <c r="J82" s="72">
        <v>15000</v>
      </c>
      <c r="K82" s="67">
        <f t="shared" si="1"/>
        <v>13000</v>
      </c>
      <c r="M82" s="4"/>
      <c r="N82" s="4"/>
    </row>
    <row r="83" spans="1:14" ht="15.75" x14ac:dyDescent="0.25">
      <c r="A83" s="17"/>
      <c r="B83" s="66" t="s">
        <v>80</v>
      </c>
      <c r="C83" s="86" t="s">
        <v>6</v>
      </c>
      <c r="D83" s="9">
        <v>9000</v>
      </c>
      <c r="E83" s="9">
        <v>8000</v>
      </c>
      <c r="F83" s="16">
        <v>9000</v>
      </c>
      <c r="G83" s="8">
        <v>8000</v>
      </c>
      <c r="H83" s="9">
        <v>7000</v>
      </c>
      <c r="I83" s="16">
        <v>9000</v>
      </c>
      <c r="J83" s="72">
        <v>8000</v>
      </c>
      <c r="K83" s="67">
        <f t="shared" si="1"/>
        <v>8285.7142857142862</v>
      </c>
      <c r="M83" s="4"/>
      <c r="N83" s="4"/>
    </row>
    <row r="84" spans="1:14" ht="15.75" x14ac:dyDescent="0.25">
      <c r="A84" s="17"/>
      <c r="B84" s="66" t="s">
        <v>81</v>
      </c>
      <c r="C84" s="86" t="s">
        <v>82</v>
      </c>
      <c r="D84" s="9">
        <v>2000</v>
      </c>
      <c r="E84" s="9">
        <v>1500</v>
      </c>
      <c r="F84" s="9">
        <v>2000</v>
      </c>
      <c r="G84" s="8">
        <v>2000</v>
      </c>
      <c r="H84" s="9">
        <v>1500</v>
      </c>
      <c r="I84" s="9">
        <v>2000</v>
      </c>
      <c r="J84" s="79">
        <v>1500</v>
      </c>
      <c r="K84" s="67">
        <f t="shared" si="1"/>
        <v>1785.7142857142858</v>
      </c>
      <c r="L84" s="4"/>
      <c r="M84" s="4"/>
      <c r="N84" s="4"/>
    </row>
    <row r="85" spans="1:14" x14ac:dyDescent="0.25">
      <c r="A85" s="17"/>
      <c r="B85" s="66" t="s">
        <v>83</v>
      </c>
      <c r="C85" s="86" t="s">
        <v>82</v>
      </c>
      <c r="D85" s="9">
        <v>1500</v>
      </c>
      <c r="E85" s="9">
        <v>1500</v>
      </c>
      <c r="F85" s="9">
        <v>1500</v>
      </c>
      <c r="G85" s="8">
        <v>2000</v>
      </c>
      <c r="H85" s="9">
        <v>1500</v>
      </c>
      <c r="I85" s="9">
        <v>1500</v>
      </c>
      <c r="J85" s="79">
        <v>1000</v>
      </c>
      <c r="K85" s="67">
        <f t="shared" si="1"/>
        <v>1500</v>
      </c>
    </row>
    <row r="86" spans="1:14" x14ac:dyDescent="0.25">
      <c r="A86" s="17"/>
      <c r="B86" s="66" t="s">
        <v>84</v>
      </c>
      <c r="C86" s="86" t="s">
        <v>82</v>
      </c>
      <c r="D86" s="9" t="s">
        <v>99</v>
      </c>
      <c r="E86" s="9">
        <v>2000</v>
      </c>
      <c r="F86" s="9" t="s">
        <v>99</v>
      </c>
      <c r="G86" s="8" t="s">
        <v>99</v>
      </c>
      <c r="H86" s="9">
        <v>2500</v>
      </c>
      <c r="I86" s="9" t="s">
        <v>99</v>
      </c>
      <c r="J86" s="79">
        <v>2000</v>
      </c>
      <c r="K86" s="67">
        <f t="shared" si="1"/>
        <v>2166.6666666666665</v>
      </c>
    </row>
    <row r="87" spans="1:14" x14ac:dyDescent="0.25">
      <c r="A87" s="17">
        <v>22</v>
      </c>
      <c r="B87" s="60" t="s">
        <v>85</v>
      </c>
      <c r="C87" s="91"/>
      <c r="D87" s="22"/>
      <c r="E87" s="10"/>
      <c r="F87" s="10" t="s">
        <v>102</v>
      </c>
      <c r="G87" s="22"/>
      <c r="H87" s="10"/>
      <c r="I87" s="10"/>
      <c r="J87" s="77"/>
      <c r="K87" s="71"/>
    </row>
    <row r="88" spans="1:14" x14ac:dyDescent="0.25">
      <c r="A88" s="17"/>
      <c r="B88" s="66" t="s">
        <v>86</v>
      </c>
      <c r="C88" s="86" t="s">
        <v>87</v>
      </c>
      <c r="D88" s="9" t="s">
        <v>99</v>
      </c>
      <c r="E88" s="9" t="s">
        <v>99</v>
      </c>
      <c r="F88" s="9">
        <v>18000</v>
      </c>
      <c r="G88" s="8">
        <v>17000</v>
      </c>
      <c r="H88" s="10" t="s">
        <v>99</v>
      </c>
      <c r="I88" s="16">
        <v>18000</v>
      </c>
      <c r="J88" s="79">
        <v>18000</v>
      </c>
      <c r="K88" s="67">
        <f t="shared" si="1"/>
        <v>17750</v>
      </c>
    </row>
  </sheetData>
  <mergeCells count="28">
    <mergeCell ref="A54:A55"/>
    <mergeCell ref="A56:A60"/>
    <mergeCell ref="A1:K1"/>
    <mergeCell ref="A2:K2"/>
    <mergeCell ref="A3:K3"/>
    <mergeCell ref="A4:A6"/>
    <mergeCell ref="B4:B6"/>
    <mergeCell ref="C4:C6"/>
    <mergeCell ref="K4:K6"/>
    <mergeCell ref="F4:F6"/>
    <mergeCell ref="J4:J6"/>
    <mergeCell ref="H4:H6"/>
    <mergeCell ref="A63:A66"/>
    <mergeCell ref="A69:A73"/>
    <mergeCell ref="I4:I6"/>
    <mergeCell ref="G4:G6"/>
    <mergeCell ref="D4:D6"/>
    <mergeCell ref="E4:E6"/>
    <mergeCell ref="A7:A12"/>
    <mergeCell ref="A13:A15"/>
    <mergeCell ref="A16:A17"/>
    <mergeCell ref="A19:A20"/>
    <mergeCell ref="A21:A25"/>
    <mergeCell ref="A26:A32"/>
    <mergeCell ref="A33:A35"/>
    <mergeCell ref="A43:A45"/>
    <mergeCell ref="A46:A48"/>
    <mergeCell ref="A52:A53"/>
  </mergeCells>
  <pageMargins left="0.7" right="0.7" top="0.75" bottom="0.75" header="0.3" footer="0.3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F646-9A39-403B-9859-586BE9A2A94A}">
  <dimension ref="A1:N88"/>
  <sheetViews>
    <sheetView zoomScale="55" zoomScaleNormal="55" workbookViewId="0">
      <selection activeCell="A4" sqref="A4:A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02" t="s">
        <v>88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M1" s="4"/>
      <c r="N1" s="4"/>
    </row>
    <row r="2" spans="1:14" ht="27.75" customHeight="1" x14ac:dyDescent="0.25">
      <c r="A2" s="103" t="s">
        <v>89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M2" s="4"/>
      <c r="N2" s="4"/>
    </row>
    <row r="3" spans="1:14" ht="27.75" customHeight="1" thickBot="1" x14ac:dyDescent="0.3">
      <c r="A3" s="104" t="s">
        <v>143</v>
      </c>
      <c r="B3" s="104"/>
      <c r="C3" s="104"/>
      <c r="D3" s="104"/>
      <c r="E3" s="104"/>
      <c r="F3" s="104"/>
      <c r="G3" s="104"/>
      <c r="H3" s="104"/>
      <c r="I3" s="104"/>
      <c r="J3" s="104"/>
      <c r="K3" s="105"/>
      <c r="M3" s="4"/>
      <c r="N3" s="4"/>
    </row>
    <row r="4" spans="1:14" ht="25.5" customHeight="1" x14ac:dyDescent="0.25">
      <c r="A4" s="96" t="s">
        <v>1</v>
      </c>
      <c r="B4" s="99" t="s">
        <v>2</v>
      </c>
      <c r="C4" s="96" t="s">
        <v>90</v>
      </c>
      <c r="D4" s="110" t="s">
        <v>91</v>
      </c>
      <c r="E4" s="113" t="s">
        <v>92</v>
      </c>
      <c r="F4" s="125" t="s">
        <v>93</v>
      </c>
      <c r="G4" s="128" t="s">
        <v>94</v>
      </c>
      <c r="H4" s="116" t="s">
        <v>95</v>
      </c>
      <c r="I4" s="119" t="s">
        <v>96</v>
      </c>
      <c r="J4" s="106" t="s">
        <v>97</v>
      </c>
      <c r="K4" s="122" t="s">
        <v>98</v>
      </c>
      <c r="M4" s="4"/>
      <c r="N4" s="4"/>
    </row>
    <row r="5" spans="1:14" ht="15" customHeight="1" x14ac:dyDescent="0.25">
      <c r="A5" s="97"/>
      <c r="B5" s="100"/>
      <c r="C5" s="97"/>
      <c r="D5" s="111"/>
      <c r="E5" s="114"/>
      <c r="F5" s="126"/>
      <c r="G5" s="129"/>
      <c r="H5" s="117"/>
      <c r="I5" s="120"/>
      <c r="J5" s="107"/>
      <c r="K5" s="123"/>
      <c r="M5" s="4"/>
      <c r="N5" s="4"/>
    </row>
    <row r="6" spans="1:14" ht="16.5" thickBot="1" x14ac:dyDescent="0.3">
      <c r="A6" s="98"/>
      <c r="B6" s="109"/>
      <c r="C6" s="98"/>
      <c r="D6" s="112"/>
      <c r="E6" s="115"/>
      <c r="F6" s="127"/>
      <c r="G6" s="130"/>
      <c r="H6" s="118"/>
      <c r="I6" s="121"/>
      <c r="J6" s="108"/>
      <c r="K6" s="124"/>
      <c r="M6" s="4"/>
      <c r="N6" s="4"/>
    </row>
    <row r="7" spans="1:14" ht="15.75" x14ac:dyDescent="0.25">
      <c r="A7" s="101">
        <v>1</v>
      </c>
      <c r="B7" s="60" t="s">
        <v>4</v>
      </c>
      <c r="C7" s="61"/>
      <c r="D7" s="62"/>
      <c r="E7" s="17" t="s">
        <v>102</v>
      </c>
      <c r="F7" s="17"/>
      <c r="G7" s="63"/>
      <c r="H7" s="63" t="s">
        <v>1</v>
      </c>
      <c r="I7" s="64"/>
      <c r="J7" s="63"/>
      <c r="K7" s="65"/>
      <c r="M7" s="4"/>
      <c r="N7" s="4"/>
    </row>
    <row r="8" spans="1:14" ht="15.75" x14ac:dyDescent="0.25">
      <c r="A8" s="101"/>
      <c r="B8" s="66" t="s">
        <v>107</v>
      </c>
      <c r="C8" s="17" t="s">
        <v>6</v>
      </c>
      <c r="D8" s="9">
        <v>15500</v>
      </c>
      <c r="E8" s="9">
        <v>15500</v>
      </c>
      <c r="F8" s="9">
        <v>15500</v>
      </c>
      <c r="G8" s="9">
        <v>15500</v>
      </c>
      <c r="H8" s="9">
        <v>17000</v>
      </c>
      <c r="I8" s="9">
        <v>16500</v>
      </c>
      <c r="J8" s="16">
        <v>17000</v>
      </c>
      <c r="K8" s="67">
        <f>AVERAGE(D8:J8)</f>
        <v>16071.428571428571</v>
      </c>
      <c r="L8" s="1"/>
      <c r="M8" s="7"/>
      <c r="N8" s="4"/>
    </row>
    <row r="9" spans="1:14" ht="15.75" x14ac:dyDescent="0.25">
      <c r="A9" s="101"/>
      <c r="B9" s="66" t="s">
        <v>115</v>
      </c>
      <c r="C9" s="17" t="s">
        <v>6</v>
      </c>
      <c r="D9" s="9">
        <v>10900</v>
      </c>
      <c r="E9" s="9">
        <v>10900</v>
      </c>
      <c r="F9" s="9">
        <v>10900</v>
      </c>
      <c r="G9" s="8">
        <v>10900</v>
      </c>
      <c r="H9" s="9">
        <v>12000</v>
      </c>
      <c r="I9" s="9">
        <v>14000</v>
      </c>
      <c r="J9" s="16" t="s">
        <v>99</v>
      </c>
      <c r="K9" s="67">
        <f t="shared" ref="K9:K80" si="0">AVERAGE(D9:J9)</f>
        <v>11600</v>
      </c>
      <c r="M9" s="4"/>
      <c r="N9" s="4"/>
    </row>
    <row r="10" spans="1:14" ht="15.75" x14ac:dyDescent="0.25">
      <c r="A10" s="101"/>
      <c r="B10" s="66" t="s">
        <v>108</v>
      </c>
      <c r="C10" s="17" t="s">
        <v>6</v>
      </c>
      <c r="D10" s="9" t="s">
        <v>99</v>
      </c>
      <c r="E10" s="9" t="s">
        <v>99</v>
      </c>
      <c r="F10" s="9" t="s">
        <v>99</v>
      </c>
      <c r="G10" s="8" t="s">
        <v>99</v>
      </c>
      <c r="H10" s="9" t="s">
        <v>99</v>
      </c>
      <c r="I10" s="9" t="s">
        <v>99</v>
      </c>
      <c r="J10" s="16" t="s">
        <v>99</v>
      </c>
      <c r="K10" s="67">
        <v>0</v>
      </c>
      <c r="M10" s="4"/>
      <c r="N10" s="4"/>
    </row>
    <row r="11" spans="1:14" ht="15.75" x14ac:dyDescent="0.25">
      <c r="A11" s="101"/>
      <c r="B11" s="66" t="s">
        <v>9</v>
      </c>
      <c r="C11" s="17" t="s">
        <v>6</v>
      </c>
      <c r="D11" s="9" t="s">
        <v>99</v>
      </c>
      <c r="E11" s="9">
        <v>10000</v>
      </c>
      <c r="F11" s="16">
        <v>12000</v>
      </c>
      <c r="G11" s="8">
        <v>10000</v>
      </c>
      <c r="H11" s="9">
        <v>10000</v>
      </c>
      <c r="I11" s="16">
        <v>12000</v>
      </c>
      <c r="J11" s="16">
        <v>10000</v>
      </c>
      <c r="K11" s="67">
        <f>AVERAGE(D11:J11)</f>
        <v>10666.666666666666</v>
      </c>
      <c r="M11" s="4"/>
      <c r="N11" s="4"/>
    </row>
    <row r="12" spans="1:14" ht="15.75" x14ac:dyDescent="0.25">
      <c r="A12" s="101"/>
      <c r="B12" s="66" t="s">
        <v>10</v>
      </c>
      <c r="C12" s="17" t="s">
        <v>6</v>
      </c>
      <c r="D12" s="9" t="s">
        <v>99</v>
      </c>
      <c r="E12" s="9">
        <v>21000</v>
      </c>
      <c r="F12" s="16">
        <v>16000</v>
      </c>
      <c r="G12" s="8">
        <v>18000</v>
      </c>
      <c r="H12" s="9">
        <v>25000</v>
      </c>
      <c r="I12" s="16">
        <v>17000</v>
      </c>
      <c r="J12" s="16">
        <v>17000</v>
      </c>
      <c r="K12" s="67">
        <f t="shared" si="0"/>
        <v>19000</v>
      </c>
      <c r="M12" s="4"/>
      <c r="N12" s="12"/>
    </row>
    <row r="13" spans="1:14" ht="15.75" x14ac:dyDescent="0.25">
      <c r="A13" s="101">
        <v>2</v>
      </c>
      <c r="B13" s="60" t="s">
        <v>11</v>
      </c>
      <c r="C13" s="68"/>
      <c r="D13" s="62"/>
      <c r="E13" s="92"/>
      <c r="F13" s="17"/>
      <c r="G13" s="70"/>
      <c r="H13" s="70"/>
      <c r="I13" s="70"/>
      <c r="J13" s="70"/>
      <c r="K13" s="71"/>
      <c r="M13" s="4"/>
      <c r="N13" s="4"/>
    </row>
    <row r="14" spans="1:14" ht="15.75" x14ac:dyDescent="0.25">
      <c r="A14" s="101"/>
      <c r="B14" s="66" t="s">
        <v>116</v>
      </c>
      <c r="C14" s="17" t="s">
        <v>6</v>
      </c>
      <c r="D14" s="9">
        <v>16000</v>
      </c>
      <c r="E14" s="9">
        <v>16500</v>
      </c>
      <c r="F14" s="9">
        <v>16000</v>
      </c>
      <c r="G14" s="16">
        <v>16000</v>
      </c>
      <c r="H14" s="9">
        <v>16500</v>
      </c>
      <c r="I14" s="9">
        <v>16500</v>
      </c>
      <c r="J14" s="72">
        <v>16500</v>
      </c>
      <c r="K14" s="67">
        <f t="shared" si="0"/>
        <v>16285.714285714286</v>
      </c>
      <c r="M14" s="4"/>
      <c r="N14" s="4"/>
    </row>
    <row r="15" spans="1:14" ht="15.75" x14ac:dyDescent="0.25">
      <c r="A15" s="101"/>
      <c r="B15" s="66" t="s">
        <v>13</v>
      </c>
      <c r="C15" s="17" t="s">
        <v>6</v>
      </c>
      <c r="D15" s="9">
        <v>17000</v>
      </c>
      <c r="E15" s="9">
        <v>16000</v>
      </c>
      <c r="F15" s="16">
        <v>16000</v>
      </c>
      <c r="G15" s="8">
        <v>16000</v>
      </c>
      <c r="H15" s="9">
        <v>17000</v>
      </c>
      <c r="I15" s="9">
        <v>17000</v>
      </c>
      <c r="J15" s="72">
        <v>18000</v>
      </c>
      <c r="K15" s="67">
        <f>AVERAGE(D15:J15)</f>
        <v>16714.285714285714</v>
      </c>
      <c r="M15" s="4"/>
      <c r="N15" s="4"/>
    </row>
    <row r="16" spans="1:14" ht="15.75" x14ac:dyDescent="0.25">
      <c r="A16" s="101">
        <v>3</v>
      </c>
      <c r="B16" s="60" t="s">
        <v>14</v>
      </c>
      <c r="C16" s="73"/>
      <c r="D16" s="74"/>
      <c r="E16" s="15"/>
      <c r="F16" s="15"/>
      <c r="G16" s="15"/>
      <c r="H16" s="15"/>
      <c r="I16" s="15" t="s">
        <v>130</v>
      </c>
      <c r="J16" s="75"/>
      <c r="K16" s="71"/>
      <c r="M16" s="4"/>
      <c r="N16" s="4"/>
    </row>
    <row r="17" spans="1:14" ht="15.75" x14ac:dyDescent="0.25">
      <c r="A17" s="101"/>
      <c r="B17" s="66" t="s">
        <v>15</v>
      </c>
      <c r="C17" s="17" t="s">
        <v>6</v>
      </c>
      <c r="D17" s="9">
        <v>15000</v>
      </c>
      <c r="E17" s="9">
        <v>15000</v>
      </c>
      <c r="F17" s="9">
        <v>14000</v>
      </c>
      <c r="G17" s="9">
        <v>15000</v>
      </c>
      <c r="H17" s="9">
        <v>16000</v>
      </c>
      <c r="I17" s="9">
        <v>16000</v>
      </c>
      <c r="J17" s="72">
        <v>16500</v>
      </c>
      <c r="K17" s="67">
        <f t="shared" si="0"/>
        <v>15357.142857142857</v>
      </c>
      <c r="M17" s="4"/>
      <c r="N17" s="4"/>
    </row>
    <row r="18" spans="1:14" ht="15.75" x14ac:dyDescent="0.25">
      <c r="A18" s="59"/>
      <c r="B18" s="66" t="s">
        <v>109</v>
      </c>
      <c r="C18" s="17" t="s">
        <v>110</v>
      </c>
      <c r="D18" s="9">
        <v>14000</v>
      </c>
      <c r="E18" s="9">
        <v>14000</v>
      </c>
      <c r="F18" s="9">
        <v>14000</v>
      </c>
      <c r="G18" s="9">
        <v>14000</v>
      </c>
      <c r="H18" s="9" t="s">
        <v>99</v>
      </c>
      <c r="I18" s="9">
        <v>14000</v>
      </c>
      <c r="J18" s="72">
        <v>14000</v>
      </c>
      <c r="K18" s="67">
        <f t="shared" si="0"/>
        <v>14000</v>
      </c>
      <c r="M18" s="4"/>
      <c r="N18" s="4"/>
    </row>
    <row r="19" spans="1:14" ht="17.25" customHeight="1" x14ac:dyDescent="0.25">
      <c r="A19" s="101">
        <v>4</v>
      </c>
      <c r="B19" s="60" t="s">
        <v>16</v>
      </c>
      <c r="C19" s="73"/>
      <c r="D19" s="74"/>
      <c r="E19" s="15"/>
      <c r="F19" s="15"/>
      <c r="G19" s="76"/>
      <c r="H19" s="15"/>
      <c r="I19" s="15"/>
      <c r="J19" s="75"/>
      <c r="K19" s="71"/>
      <c r="M19" s="4"/>
      <c r="N19" s="4"/>
    </row>
    <row r="20" spans="1:14" ht="15.75" x14ac:dyDescent="0.25">
      <c r="A20" s="101"/>
      <c r="B20" s="66" t="s">
        <v>17</v>
      </c>
      <c r="C20" s="17" t="s">
        <v>6</v>
      </c>
      <c r="D20" s="9">
        <v>20000</v>
      </c>
      <c r="E20" s="9">
        <v>20000</v>
      </c>
      <c r="F20" s="16">
        <v>20000</v>
      </c>
      <c r="G20" s="8">
        <v>22000</v>
      </c>
      <c r="H20" s="16">
        <v>33000</v>
      </c>
      <c r="I20" s="16">
        <v>20000</v>
      </c>
      <c r="J20" s="77" t="s">
        <v>99</v>
      </c>
      <c r="K20" s="67">
        <f t="shared" si="0"/>
        <v>22500</v>
      </c>
      <c r="M20" s="4"/>
      <c r="N20" s="4"/>
    </row>
    <row r="21" spans="1:14" ht="15.75" x14ac:dyDescent="0.25">
      <c r="A21" s="101">
        <v>5</v>
      </c>
      <c r="B21" s="60" t="s">
        <v>18</v>
      </c>
      <c r="C21" s="73"/>
      <c r="D21" s="74"/>
      <c r="E21" s="17"/>
      <c r="F21" s="15" t="s">
        <v>1</v>
      </c>
      <c r="G21" s="76"/>
      <c r="H21" s="15"/>
      <c r="I21" s="15"/>
      <c r="J21" s="75"/>
      <c r="K21" s="71"/>
      <c r="M21" s="4"/>
      <c r="N21" s="4"/>
    </row>
    <row r="22" spans="1:14" ht="15.75" x14ac:dyDescent="0.25">
      <c r="A22" s="101"/>
      <c r="B22" s="66" t="s">
        <v>19</v>
      </c>
      <c r="C22" s="17" t="s">
        <v>6</v>
      </c>
      <c r="D22" s="9">
        <v>120000</v>
      </c>
      <c r="E22" s="9">
        <v>120000</v>
      </c>
      <c r="F22" s="9">
        <v>120000</v>
      </c>
      <c r="G22" s="9">
        <v>120000</v>
      </c>
      <c r="H22" s="9">
        <v>120000</v>
      </c>
      <c r="I22" s="8">
        <v>120000</v>
      </c>
      <c r="J22" s="72" t="s">
        <v>99</v>
      </c>
      <c r="K22" s="67">
        <f t="shared" si="0"/>
        <v>120000</v>
      </c>
      <c r="M22" s="4"/>
      <c r="N22" s="4"/>
    </row>
    <row r="23" spans="1:14" ht="15.75" x14ac:dyDescent="0.25">
      <c r="A23" s="101"/>
      <c r="B23" s="66" t="s">
        <v>20</v>
      </c>
      <c r="C23" s="17" t="s">
        <v>6</v>
      </c>
      <c r="D23" s="9">
        <v>110000</v>
      </c>
      <c r="E23" s="9">
        <v>110000</v>
      </c>
      <c r="F23" s="9">
        <v>110000</v>
      </c>
      <c r="G23" s="9">
        <v>110000</v>
      </c>
      <c r="H23" s="9">
        <v>115000</v>
      </c>
      <c r="I23" s="9">
        <v>110000</v>
      </c>
      <c r="J23" s="72">
        <v>110000</v>
      </c>
      <c r="K23" s="67">
        <f t="shared" si="0"/>
        <v>110714.28571428571</v>
      </c>
      <c r="M23" s="4"/>
      <c r="N23" s="4"/>
    </row>
    <row r="24" spans="1:14" ht="15.75" x14ac:dyDescent="0.25">
      <c r="A24" s="101"/>
      <c r="B24" s="66" t="s">
        <v>21</v>
      </c>
      <c r="C24" s="17" t="s">
        <v>6</v>
      </c>
      <c r="D24" s="9">
        <v>90000</v>
      </c>
      <c r="E24" s="9">
        <v>90000</v>
      </c>
      <c r="F24" s="9">
        <v>100000</v>
      </c>
      <c r="G24" s="9">
        <v>105000</v>
      </c>
      <c r="H24" s="9">
        <v>110000</v>
      </c>
      <c r="I24" s="8">
        <v>100000</v>
      </c>
      <c r="J24" s="72">
        <v>105000</v>
      </c>
      <c r="K24" s="67">
        <f t="shared" si="0"/>
        <v>100000</v>
      </c>
      <c r="M24" s="4"/>
      <c r="N24" s="4"/>
    </row>
    <row r="25" spans="1:14" ht="15.75" x14ac:dyDescent="0.25">
      <c r="A25" s="101"/>
      <c r="B25" s="66" t="s">
        <v>22</v>
      </c>
      <c r="C25" s="17" t="s">
        <v>6</v>
      </c>
      <c r="D25" s="9">
        <v>34000</v>
      </c>
      <c r="E25" s="9">
        <v>31000</v>
      </c>
      <c r="F25" s="9">
        <v>31000</v>
      </c>
      <c r="G25" s="9">
        <v>32000</v>
      </c>
      <c r="H25" s="72">
        <v>33000</v>
      </c>
      <c r="I25" s="9">
        <v>33000</v>
      </c>
      <c r="J25" s="72">
        <v>35000</v>
      </c>
      <c r="K25" s="67">
        <f t="shared" si="0"/>
        <v>32714.285714285714</v>
      </c>
      <c r="M25" s="4"/>
      <c r="N25" s="4"/>
    </row>
    <row r="26" spans="1:14" ht="15.75" x14ac:dyDescent="0.25">
      <c r="A26" s="101">
        <v>6</v>
      </c>
      <c r="B26" s="60" t="s">
        <v>23</v>
      </c>
      <c r="C26" s="73"/>
      <c r="D26" s="74"/>
      <c r="E26" s="17"/>
      <c r="F26" s="76"/>
      <c r="G26" s="15"/>
      <c r="H26" s="75"/>
      <c r="I26" s="15"/>
      <c r="J26" s="75"/>
      <c r="K26" s="71"/>
      <c r="M26" s="4"/>
      <c r="N26" s="4"/>
    </row>
    <row r="27" spans="1:14" ht="15.75" x14ac:dyDescent="0.25">
      <c r="A27" s="101"/>
      <c r="B27" s="66" t="s">
        <v>24</v>
      </c>
      <c r="C27" s="17" t="s">
        <v>6</v>
      </c>
      <c r="D27" s="9">
        <v>34000</v>
      </c>
      <c r="E27" s="9">
        <v>35000</v>
      </c>
      <c r="F27" s="9" t="s">
        <v>99</v>
      </c>
      <c r="G27" s="9">
        <v>40000</v>
      </c>
      <c r="H27" s="9">
        <v>30000</v>
      </c>
      <c r="I27" s="9" t="s">
        <v>99</v>
      </c>
      <c r="J27" s="72">
        <v>30000</v>
      </c>
      <c r="K27" s="67">
        <f t="shared" si="0"/>
        <v>33800</v>
      </c>
      <c r="L27" t="s">
        <v>100</v>
      </c>
      <c r="M27" s="4"/>
      <c r="N27" s="4"/>
    </row>
    <row r="28" spans="1:14" ht="15.75" x14ac:dyDescent="0.25">
      <c r="A28" s="101"/>
      <c r="B28" s="66" t="s">
        <v>25</v>
      </c>
      <c r="C28" s="17" t="s">
        <v>6</v>
      </c>
      <c r="D28" s="9">
        <v>36000</v>
      </c>
      <c r="E28" s="9">
        <v>28000</v>
      </c>
      <c r="F28" s="9">
        <v>35000</v>
      </c>
      <c r="G28" s="8">
        <v>30000</v>
      </c>
      <c r="H28" s="9">
        <v>22000</v>
      </c>
      <c r="I28" s="9">
        <v>30000</v>
      </c>
      <c r="J28" s="78">
        <v>30000</v>
      </c>
      <c r="K28" s="67">
        <f t="shared" si="0"/>
        <v>30142.857142857141</v>
      </c>
      <c r="M28" s="4"/>
      <c r="N28" s="4"/>
    </row>
    <row r="29" spans="1:14" ht="15.75" x14ac:dyDescent="0.25">
      <c r="A29" s="101"/>
      <c r="B29" s="66" t="s">
        <v>26</v>
      </c>
      <c r="C29" s="17" t="s">
        <v>6</v>
      </c>
      <c r="D29" s="9">
        <v>60000</v>
      </c>
      <c r="E29" s="9">
        <v>60000</v>
      </c>
      <c r="F29" s="16">
        <v>60000</v>
      </c>
      <c r="G29" s="8">
        <v>70000</v>
      </c>
      <c r="H29" s="9">
        <v>65000</v>
      </c>
      <c r="I29" s="9">
        <v>60000</v>
      </c>
      <c r="J29" s="79">
        <v>60000</v>
      </c>
      <c r="K29" s="67">
        <f t="shared" si="0"/>
        <v>62142.857142857145</v>
      </c>
      <c r="M29" s="4"/>
      <c r="N29" s="4"/>
    </row>
    <row r="30" spans="1:14" ht="15.75" x14ac:dyDescent="0.25">
      <c r="A30" s="101"/>
      <c r="B30" s="66" t="s">
        <v>27</v>
      </c>
      <c r="C30" s="17" t="s">
        <v>6</v>
      </c>
      <c r="D30" s="9">
        <v>25000</v>
      </c>
      <c r="E30" s="9" t="s">
        <v>99</v>
      </c>
      <c r="F30" s="10" t="s">
        <v>99</v>
      </c>
      <c r="G30" s="8">
        <v>25000</v>
      </c>
      <c r="H30" s="9">
        <v>23000</v>
      </c>
      <c r="I30" s="9" t="s">
        <v>99</v>
      </c>
      <c r="J30" s="79">
        <v>26000</v>
      </c>
      <c r="K30" s="67">
        <f t="shared" si="0"/>
        <v>24750</v>
      </c>
      <c r="M30" s="4"/>
      <c r="N30" s="4"/>
    </row>
    <row r="31" spans="1:14" ht="15.75" x14ac:dyDescent="0.25">
      <c r="A31" s="101"/>
      <c r="B31" s="66" t="s">
        <v>28</v>
      </c>
      <c r="C31" s="17" t="s">
        <v>6</v>
      </c>
      <c r="D31" s="9">
        <v>34000</v>
      </c>
      <c r="E31" s="9">
        <v>36000</v>
      </c>
      <c r="F31" s="9">
        <v>40000</v>
      </c>
      <c r="G31" s="9">
        <v>40000</v>
      </c>
      <c r="H31" s="9">
        <v>28000</v>
      </c>
      <c r="I31" s="9">
        <v>40000</v>
      </c>
      <c r="J31" s="72">
        <v>35000</v>
      </c>
      <c r="K31" s="67">
        <f t="shared" si="0"/>
        <v>36142.857142857145</v>
      </c>
      <c r="M31" s="4"/>
      <c r="N31" s="4"/>
    </row>
    <row r="32" spans="1:14" ht="15.75" x14ac:dyDescent="0.25">
      <c r="A32" s="101"/>
      <c r="B32" s="66" t="s">
        <v>29</v>
      </c>
      <c r="C32" s="17" t="s">
        <v>6</v>
      </c>
      <c r="D32" s="9" t="s">
        <v>99</v>
      </c>
      <c r="E32" s="9">
        <v>100000</v>
      </c>
      <c r="F32" s="9">
        <v>100000</v>
      </c>
      <c r="G32" s="9" t="s">
        <v>99</v>
      </c>
      <c r="H32" s="9">
        <v>80000</v>
      </c>
      <c r="I32" s="9">
        <v>100000</v>
      </c>
      <c r="J32" s="79">
        <v>70000</v>
      </c>
      <c r="K32" s="67">
        <f t="shared" si="0"/>
        <v>90000</v>
      </c>
      <c r="M32" s="4"/>
      <c r="N32" s="4"/>
    </row>
    <row r="33" spans="1:14" ht="15.75" x14ac:dyDescent="0.25">
      <c r="A33" s="101">
        <v>7</v>
      </c>
      <c r="B33" s="60" t="s">
        <v>30</v>
      </c>
      <c r="C33" s="73"/>
      <c r="D33" s="74"/>
      <c r="E33" s="17"/>
      <c r="F33" s="76"/>
      <c r="G33" s="76"/>
      <c r="H33" s="15"/>
      <c r="I33" s="15"/>
      <c r="J33" s="75"/>
      <c r="K33" s="71"/>
      <c r="M33" s="4"/>
      <c r="N33" s="4"/>
    </row>
    <row r="34" spans="1:14" ht="15.75" x14ac:dyDescent="0.25">
      <c r="A34" s="101"/>
      <c r="B34" s="66" t="s">
        <v>31</v>
      </c>
      <c r="C34" s="17" t="s">
        <v>6</v>
      </c>
      <c r="D34" s="9">
        <v>27000</v>
      </c>
      <c r="E34" s="9">
        <v>27000</v>
      </c>
      <c r="F34" s="9">
        <v>26000</v>
      </c>
      <c r="G34" s="9">
        <v>26000</v>
      </c>
      <c r="H34" s="9">
        <v>28000</v>
      </c>
      <c r="I34" s="9">
        <v>27000</v>
      </c>
      <c r="J34" s="72">
        <v>29500</v>
      </c>
      <c r="K34" s="67">
        <f t="shared" si="0"/>
        <v>27214.285714285714</v>
      </c>
      <c r="M34" s="4"/>
      <c r="N34" s="4"/>
    </row>
    <row r="35" spans="1:14" ht="15.75" x14ac:dyDescent="0.25">
      <c r="A35" s="101"/>
      <c r="B35" s="66" t="s">
        <v>32</v>
      </c>
      <c r="C35" s="17" t="s">
        <v>33</v>
      </c>
      <c r="D35" s="9">
        <v>3000</v>
      </c>
      <c r="E35" s="9">
        <v>2500</v>
      </c>
      <c r="F35" s="9">
        <v>2500</v>
      </c>
      <c r="G35" s="9">
        <v>2800</v>
      </c>
      <c r="H35" s="9">
        <v>2600</v>
      </c>
      <c r="I35" s="9">
        <v>3000</v>
      </c>
      <c r="J35" s="72">
        <v>3000</v>
      </c>
      <c r="K35" s="67">
        <f t="shared" si="0"/>
        <v>2771.4285714285716</v>
      </c>
      <c r="M35" s="4"/>
      <c r="N35" s="4"/>
    </row>
    <row r="36" spans="1:14" ht="15.75" x14ac:dyDescent="0.25">
      <c r="A36" s="59">
        <v>8</v>
      </c>
      <c r="B36" s="73" t="s">
        <v>117</v>
      </c>
      <c r="C36" s="80"/>
      <c r="D36" s="9"/>
      <c r="E36" s="9"/>
      <c r="F36" s="9"/>
      <c r="G36" s="9"/>
      <c r="H36" s="9"/>
      <c r="I36" s="9"/>
      <c r="J36" s="72"/>
      <c r="K36" s="81"/>
      <c r="M36" s="4"/>
      <c r="N36" s="4"/>
    </row>
    <row r="37" spans="1:14" ht="15.75" x14ac:dyDescent="0.25">
      <c r="A37" s="59"/>
      <c r="B37" s="66" t="s">
        <v>118</v>
      </c>
      <c r="C37" s="17" t="s">
        <v>6</v>
      </c>
      <c r="D37" s="9">
        <v>10000</v>
      </c>
      <c r="E37" s="9">
        <v>1250</v>
      </c>
      <c r="F37" s="9">
        <v>9000</v>
      </c>
      <c r="G37" s="9">
        <v>9000</v>
      </c>
      <c r="H37" s="9">
        <v>16000</v>
      </c>
      <c r="I37" s="9">
        <v>9000</v>
      </c>
      <c r="J37" s="72">
        <v>3000</v>
      </c>
      <c r="K37" s="67">
        <f t="shared" si="0"/>
        <v>8178.5714285714284</v>
      </c>
      <c r="M37" s="4"/>
      <c r="N37" s="4"/>
    </row>
    <row r="38" spans="1:14" ht="15.75" x14ac:dyDescent="0.25">
      <c r="A38" s="59"/>
      <c r="B38" s="66" t="s">
        <v>119</v>
      </c>
      <c r="C38" s="17" t="s">
        <v>6</v>
      </c>
      <c r="D38" s="9" t="s">
        <v>99</v>
      </c>
      <c r="E38" s="9">
        <v>10000</v>
      </c>
      <c r="F38" s="9">
        <v>12000</v>
      </c>
      <c r="G38" s="9">
        <v>14000</v>
      </c>
      <c r="H38" s="9" t="s">
        <v>99</v>
      </c>
      <c r="I38" s="9">
        <v>12000</v>
      </c>
      <c r="J38" s="72">
        <v>12000</v>
      </c>
      <c r="K38" s="67">
        <f>AVERAGE(D38:J38)</f>
        <v>12000</v>
      </c>
      <c r="M38" s="4"/>
      <c r="N38" s="4"/>
    </row>
    <row r="39" spans="1:14" ht="15.75" x14ac:dyDescent="0.25">
      <c r="A39" s="59">
        <v>9</v>
      </c>
      <c r="B39" s="82" t="s">
        <v>120</v>
      </c>
      <c r="C39" s="83"/>
      <c r="D39" s="9"/>
      <c r="E39" s="9"/>
      <c r="F39" s="9"/>
      <c r="G39" s="9"/>
      <c r="H39" s="9"/>
      <c r="I39" s="9"/>
      <c r="J39" s="72"/>
      <c r="K39" s="81"/>
      <c r="M39" s="4"/>
      <c r="N39" s="4"/>
    </row>
    <row r="40" spans="1:14" ht="15.75" x14ac:dyDescent="0.25">
      <c r="A40" s="59"/>
      <c r="B40" s="66" t="s">
        <v>121</v>
      </c>
      <c r="C40" s="17" t="s">
        <v>6</v>
      </c>
      <c r="D40" s="9" t="s">
        <v>99</v>
      </c>
      <c r="E40" s="9" t="s">
        <v>99</v>
      </c>
      <c r="F40" s="9" t="s">
        <v>99</v>
      </c>
      <c r="G40" s="9">
        <v>16000</v>
      </c>
      <c r="H40" s="9">
        <v>14000</v>
      </c>
      <c r="I40" s="9" t="s">
        <v>99</v>
      </c>
      <c r="J40" s="72">
        <v>15000</v>
      </c>
      <c r="K40" s="67">
        <f t="shared" si="0"/>
        <v>15000</v>
      </c>
      <c r="M40" s="4"/>
      <c r="N40" s="4"/>
    </row>
    <row r="41" spans="1:14" ht="15.75" x14ac:dyDescent="0.25">
      <c r="A41" s="59"/>
      <c r="B41" s="66" t="s">
        <v>122</v>
      </c>
      <c r="C41" s="17" t="s">
        <v>6</v>
      </c>
      <c r="D41" s="9" t="s">
        <v>99</v>
      </c>
      <c r="E41" s="9" t="s">
        <v>99</v>
      </c>
      <c r="F41" s="9">
        <v>6000</v>
      </c>
      <c r="G41" s="9" t="s">
        <v>99</v>
      </c>
      <c r="H41" s="9" t="s">
        <v>99</v>
      </c>
      <c r="I41" s="9">
        <v>6000</v>
      </c>
      <c r="J41" s="72" t="s">
        <v>99</v>
      </c>
      <c r="K41" s="67">
        <f t="shared" si="0"/>
        <v>6000</v>
      </c>
      <c r="M41" s="4"/>
      <c r="N41" s="4"/>
    </row>
    <row r="42" spans="1:14" ht="15.75" x14ac:dyDescent="0.25">
      <c r="A42" s="59"/>
      <c r="B42" s="66" t="s">
        <v>123</v>
      </c>
      <c r="C42" s="17" t="s">
        <v>6</v>
      </c>
      <c r="D42" s="9" t="s">
        <v>99</v>
      </c>
      <c r="E42" s="9">
        <v>2500</v>
      </c>
      <c r="F42" s="9" t="s">
        <v>99</v>
      </c>
      <c r="G42" s="9" t="s">
        <v>99</v>
      </c>
      <c r="H42" s="9" t="s">
        <v>99</v>
      </c>
      <c r="I42" s="9" t="s">
        <v>99</v>
      </c>
      <c r="J42" s="72" t="s">
        <v>99</v>
      </c>
      <c r="K42" s="67">
        <f t="shared" si="0"/>
        <v>2500</v>
      </c>
      <c r="M42" s="4"/>
      <c r="N42" s="4"/>
    </row>
    <row r="43" spans="1:14" ht="15.75" x14ac:dyDescent="0.25">
      <c r="A43" s="101">
        <v>10</v>
      </c>
      <c r="B43" s="60" t="s">
        <v>34</v>
      </c>
      <c r="C43" s="73"/>
      <c r="D43" s="74"/>
      <c r="E43" s="17"/>
      <c r="F43" s="76"/>
      <c r="G43" s="15"/>
      <c r="H43" s="15"/>
      <c r="I43" s="15"/>
      <c r="J43" s="84"/>
      <c r="K43" s="71"/>
      <c r="M43" s="4"/>
      <c r="N43" s="4"/>
    </row>
    <row r="44" spans="1:14" ht="15.75" x14ac:dyDescent="0.25">
      <c r="A44" s="101"/>
      <c r="B44" s="66" t="s">
        <v>35</v>
      </c>
      <c r="C44" s="17" t="s">
        <v>36</v>
      </c>
      <c r="D44" s="9">
        <v>12000</v>
      </c>
      <c r="E44" s="9">
        <v>12000</v>
      </c>
      <c r="F44" s="9">
        <v>12500</v>
      </c>
      <c r="G44" s="9">
        <v>12500</v>
      </c>
      <c r="H44" s="10" t="s">
        <v>99</v>
      </c>
      <c r="I44" s="16">
        <v>12500</v>
      </c>
      <c r="J44" s="72">
        <v>12500</v>
      </c>
      <c r="K44" s="67">
        <f t="shared" si="0"/>
        <v>12333.333333333334</v>
      </c>
      <c r="M44" s="4"/>
      <c r="N44" s="4"/>
    </row>
    <row r="45" spans="1:14" ht="15.75" x14ac:dyDescent="0.25">
      <c r="A45" s="101"/>
      <c r="B45" s="66" t="s">
        <v>124</v>
      </c>
      <c r="C45" s="17" t="s">
        <v>36</v>
      </c>
      <c r="D45" s="9">
        <v>12000</v>
      </c>
      <c r="E45" s="9">
        <v>13000</v>
      </c>
      <c r="F45" s="16">
        <v>12500</v>
      </c>
      <c r="G45" s="9">
        <v>12500</v>
      </c>
      <c r="H45" s="10" t="s">
        <v>99</v>
      </c>
      <c r="I45" s="16">
        <v>12500</v>
      </c>
      <c r="J45" s="79">
        <v>12500</v>
      </c>
      <c r="K45" s="67">
        <f>AVERAGE(D45:J45)</f>
        <v>12500</v>
      </c>
      <c r="M45" s="4"/>
      <c r="N45" s="4"/>
    </row>
    <row r="46" spans="1:14" ht="15.75" x14ac:dyDescent="0.25">
      <c r="A46" s="101">
        <v>11</v>
      </c>
      <c r="B46" s="60" t="s">
        <v>38</v>
      </c>
      <c r="C46" s="73"/>
      <c r="D46" s="74"/>
      <c r="E46" s="17"/>
      <c r="F46" s="15"/>
      <c r="G46" s="76"/>
      <c r="H46" s="15"/>
      <c r="I46" s="15"/>
      <c r="J46" s="75"/>
      <c r="K46" s="71"/>
      <c r="M46" s="4"/>
      <c r="N46" s="4"/>
    </row>
    <row r="47" spans="1:14" ht="15.75" x14ac:dyDescent="0.25">
      <c r="A47" s="101"/>
      <c r="B47" s="66" t="s">
        <v>39</v>
      </c>
      <c r="C47" s="17" t="s">
        <v>40</v>
      </c>
      <c r="D47" s="9" t="s">
        <v>99</v>
      </c>
      <c r="E47" s="9" t="s">
        <v>99</v>
      </c>
      <c r="F47" s="10" t="s">
        <v>99</v>
      </c>
      <c r="G47" s="8" t="s">
        <v>99</v>
      </c>
      <c r="H47" s="9">
        <v>17500</v>
      </c>
      <c r="I47" s="16" t="s">
        <v>99</v>
      </c>
      <c r="J47" s="79" t="s">
        <v>99</v>
      </c>
      <c r="K47" s="67">
        <f t="shared" si="0"/>
        <v>17500</v>
      </c>
      <c r="M47" s="4"/>
      <c r="N47" s="4"/>
    </row>
    <row r="48" spans="1:14" ht="15.75" x14ac:dyDescent="0.25">
      <c r="A48" s="101"/>
      <c r="B48" s="66" t="s">
        <v>41</v>
      </c>
      <c r="C48" s="17" t="s">
        <v>42</v>
      </c>
      <c r="D48" s="9" t="s">
        <v>99</v>
      </c>
      <c r="E48" s="9" t="s">
        <v>99</v>
      </c>
      <c r="F48" s="10" t="s">
        <v>99</v>
      </c>
      <c r="G48" s="8" t="s">
        <v>99</v>
      </c>
      <c r="H48" s="9">
        <v>2000</v>
      </c>
      <c r="I48" s="16" t="s">
        <v>99</v>
      </c>
      <c r="J48" s="79" t="s">
        <v>99</v>
      </c>
      <c r="K48" s="67">
        <f t="shared" si="0"/>
        <v>2000</v>
      </c>
      <c r="M48" s="4"/>
      <c r="N48" s="4"/>
    </row>
    <row r="49" spans="1:14" ht="15.75" x14ac:dyDescent="0.25">
      <c r="A49" s="59">
        <v>12</v>
      </c>
      <c r="B49" s="85" t="s">
        <v>43</v>
      </c>
      <c r="C49" s="80"/>
      <c r="D49" s="19"/>
      <c r="E49" s="10"/>
      <c r="F49" s="10"/>
      <c r="G49" s="22"/>
      <c r="H49" s="10"/>
      <c r="I49" s="10"/>
      <c r="J49" s="77"/>
      <c r="K49" s="71"/>
      <c r="M49" s="4"/>
      <c r="N49" s="4"/>
    </row>
    <row r="50" spans="1:14" ht="15.75" x14ac:dyDescent="0.25">
      <c r="A50" s="59"/>
      <c r="B50" s="66" t="s">
        <v>44</v>
      </c>
      <c r="C50" s="86" t="s">
        <v>6</v>
      </c>
      <c r="D50" s="9" t="s">
        <v>99</v>
      </c>
      <c r="E50" s="9">
        <v>8000</v>
      </c>
      <c r="F50" s="9">
        <v>10000</v>
      </c>
      <c r="G50" s="9">
        <v>10000</v>
      </c>
      <c r="H50" s="9">
        <v>15000</v>
      </c>
      <c r="I50" s="8">
        <v>15000</v>
      </c>
      <c r="J50" s="72">
        <v>15000</v>
      </c>
      <c r="K50" s="67">
        <f t="shared" si="0"/>
        <v>12166.666666666666</v>
      </c>
      <c r="M50" s="4" t="s">
        <v>101</v>
      </c>
      <c r="N50" s="4"/>
    </row>
    <row r="51" spans="1:14" ht="15.75" x14ac:dyDescent="0.25">
      <c r="A51" s="59"/>
      <c r="B51" s="66" t="s">
        <v>45</v>
      </c>
      <c r="C51" s="86" t="s">
        <v>6</v>
      </c>
      <c r="D51" s="9">
        <v>15000</v>
      </c>
      <c r="E51" s="9">
        <v>10000</v>
      </c>
      <c r="F51" s="8">
        <v>9000</v>
      </c>
      <c r="G51" s="9">
        <v>10000</v>
      </c>
      <c r="H51" s="9">
        <v>12000</v>
      </c>
      <c r="I51" s="9">
        <v>12000</v>
      </c>
      <c r="J51" s="72">
        <v>10000</v>
      </c>
      <c r="K51" s="67">
        <f t="shared" si="0"/>
        <v>11142.857142857143</v>
      </c>
      <c r="M51" s="4"/>
      <c r="N51" s="23"/>
    </row>
    <row r="52" spans="1:14" ht="15.75" x14ac:dyDescent="0.25">
      <c r="A52" s="101">
        <v>13</v>
      </c>
      <c r="B52" s="60" t="s">
        <v>46</v>
      </c>
      <c r="C52" s="73"/>
      <c r="D52" s="74"/>
      <c r="E52" s="17"/>
      <c r="F52" s="76"/>
      <c r="G52" s="76"/>
      <c r="H52" s="15"/>
      <c r="I52" s="15"/>
      <c r="J52" s="84"/>
      <c r="K52" s="71"/>
      <c r="M52" s="4"/>
      <c r="N52" s="4"/>
    </row>
    <row r="53" spans="1:14" ht="15.75" x14ac:dyDescent="0.25">
      <c r="A53" s="101"/>
      <c r="B53" s="66" t="s">
        <v>47</v>
      </c>
      <c r="C53" s="17" t="s">
        <v>125</v>
      </c>
      <c r="D53" s="9">
        <v>3000</v>
      </c>
      <c r="E53" s="9">
        <v>4000</v>
      </c>
      <c r="F53" s="9">
        <v>5000</v>
      </c>
      <c r="G53" s="9">
        <v>5000</v>
      </c>
      <c r="H53" s="9">
        <v>2500</v>
      </c>
      <c r="I53" s="16">
        <v>5000</v>
      </c>
      <c r="J53" s="72">
        <v>2500</v>
      </c>
      <c r="K53" s="67">
        <f t="shared" si="0"/>
        <v>3857.1428571428573</v>
      </c>
      <c r="M53" s="4"/>
      <c r="N53" s="4"/>
    </row>
    <row r="54" spans="1:14" ht="15.75" x14ac:dyDescent="0.25">
      <c r="A54" s="101">
        <v>14</v>
      </c>
      <c r="B54" s="60" t="s">
        <v>49</v>
      </c>
      <c r="C54" s="80"/>
      <c r="D54" s="62"/>
      <c r="E54" s="17"/>
      <c r="F54" s="20"/>
      <c r="G54" s="20"/>
      <c r="H54" s="17"/>
      <c r="I54" s="17"/>
      <c r="J54" s="87"/>
      <c r="K54" s="71"/>
      <c r="M54" s="4"/>
      <c r="N54" s="4"/>
    </row>
    <row r="55" spans="1:14" ht="15.75" x14ac:dyDescent="0.25">
      <c r="A55" s="101"/>
      <c r="B55" s="88" t="s">
        <v>50</v>
      </c>
      <c r="C55" s="86" t="s">
        <v>6</v>
      </c>
      <c r="D55" s="9">
        <v>10000</v>
      </c>
      <c r="E55" s="9">
        <v>10500</v>
      </c>
      <c r="F55" s="9">
        <v>10000</v>
      </c>
      <c r="G55" s="9">
        <v>11000</v>
      </c>
      <c r="H55" s="9">
        <v>12000</v>
      </c>
      <c r="I55" s="9">
        <v>10000</v>
      </c>
      <c r="J55" s="72">
        <v>10000</v>
      </c>
      <c r="K55" s="67">
        <f t="shared" si="0"/>
        <v>10500</v>
      </c>
      <c r="M55" s="4"/>
      <c r="N55" s="4"/>
    </row>
    <row r="56" spans="1:14" ht="15.75" x14ac:dyDescent="0.25">
      <c r="A56" s="101">
        <v>15</v>
      </c>
      <c r="B56" s="60" t="s">
        <v>51</v>
      </c>
      <c r="C56" s="73"/>
      <c r="D56" s="74"/>
      <c r="E56" s="17"/>
      <c r="F56" s="76"/>
      <c r="G56" s="15"/>
      <c r="H56" s="15"/>
      <c r="I56" s="15"/>
      <c r="J56" s="84"/>
      <c r="K56" s="71"/>
      <c r="M56" s="4"/>
      <c r="N56" s="4"/>
    </row>
    <row r="57" spans="1:14" ht="15.75" x14ac:dyDescent="0.25">
      <c r="A57" s="101"/>
      <c r="B57" s="66" t="s">
        <v>52</v>
      </c>
      <c r="C57" s="17" t="s">
        <v>6</v>
      </c>
      <c r="D57" s="9">
        <v>16000</v>
      </c>
      <c r="E57" s="9">
        <v>13000</v>
      </c>
      <c r="F57" s="9">
        <v>14000</v>
      </c>
      <c r="G57" s="9">
        <v>14000</v>
      </c>
      <c r="H57" s="9">
        <v>11500</v>
      </c>
      <c r="I57" s="9">
        <v>17000</v>
      </c>
      <c r="J57" s="72" t="s">
        <v>99</v>
      </c>
      <c r="K57" s="67">
        <f t="shared" si="0"/>
        <v>14250</v>
      </c>
      <c r="M57" s="4"/>
      <c r="N57" s="4"/>
    </row>
    <row r="58" spans="1:14" ht="15.75" x14ac:dyDescent="0.25">
      <c r="A58" s="101"/>
      <c r="B58" s="66" t="s">
        <v>53</v>
      </c>
      <c r="C58" s="17" t="s">
        <v>6</v>
      </c>
      <c r="D58" s="9" t="s">
        <v>99</v>
      </c>
      <c r="E58" s="9" t="s">
        <v>99</v>
      </c>
      <c r="F58" s="16">
        <v>15000</v>
      </c>
      <c r="G58" s="22" t="s">
        <v>99</v>
      </c>
      <c r="H58" s="9">
        <v>13000</v>
      </c>
      <c r="I58" s="8">
        <v>15000</v>
      </c>
      <c r="J58" s="72">
        <v>14000</v>
      </c>
      <c r="K58" s="67">
        <f t="shared" si="0"/>
        <v>14250</v>
      </c>
      <c r="M58" s="4"/>
      <c r="N58" s="4"/>
    </row>
    <row r="59" spans="1:14" ht="15.75" x14ac:dyDescent="0.25">
      <c r="A59" s="101"/>
      <c r="B59" s="66" t="s">
        <v>54</v>
      </c>
      <c r="C59" s="17" t="s">
        <v>6</v>
      </c>
      <c r="D59" s="9">
        <v>22000</v>
      </c>
      <c r="E59" s="9">
        <v>23000</v>
      </c>
      <c r="F59" s="9">
        <v>23000</v>
      </c>
      <c r="G59" s="9">
        <v>23000</v>
      </c>
      <c r="H59" s="9">
        <v>20000</v>
      </c>
      <c r="I59" s="9">
        <v>23000</v>
      </c>
      <c r="J59" s="72">
        <v>24000</v>
      </c>
      <c r="K59" s="67">
        <f t="shared" si="0"/>
        <v>22571.428571428572</v>
      </c>
      <c r="M59" s="4"/>
      <c r="N59" s="4"/>
    </row>
    <row r="60" spans="1:14" ht="15.75" x14ac:dyDescent="0.25">
      <c r="A60" s="101"/>
      <c r="B60" s="66" t="s">
        <v>55</v>
      </c>
      <c r="C60" s="17" t="s">
        <v>6</v>
      </c>
      <c r="D60" s="9">
        <v>26000</v>
      </c>
      <c r="E60" s="9">
        <v>30000</v>
      </c>
      <c r="F60" s="9">
        <v>28000</v>
      </c>
      <c r="G60" s="9">
        <v>30000</v>
      </c>
      <c r="H60" s="9">
        <v>27000</v>
      </c>
      <c r="I60" s="9">
        <v>28000</v>
      </c>
      <c r="J60" s="72">
        <v>28000</v>
      </c>
      <c r="K60" s="67">
        <f t="shared" si="0"/>
        <v>28142.857142857141</v>
      </c>
      <c r="M60" s="4"/>
      <c r="N60" s="4"/>
    </row>
    <row r="61" spans="1:14" ht="15.75" x14ac:dyDescent="0.25">
      <c r="A61" s="17">
        <v>16</v>
      </c>
      <c r="B61" s="60" t="s">
        <v>56</v>
      </c>
      <c r="C61" s="80"/>
      <c r="D61" s="89"/>
      <c r="E61" s="10"/>
      <c r="F61" s="22"/>
      <c r="G61" s="10"/>
      <c r="H61" s="10"/>
      <c r="I61" s="10"/>
      <c r="J61" s="90"/>
      <c r="K61" s="71"/>
      <c r="M61" s="4"/>
      <c r="N61" s="4"/>
    </row>
    <row r="62" spans="1:14" ht="15.75" x14ac:dyDescent="0.25">
      <c r="A62" s="17"/>
      <c r="B62" s="66" t="s">
        <v>57</v>
      </c>
      <c r="C62" s="86" t="s">
        <v>58</v>
      </c>
      <c r="D62" s="9">
        <v>3000</v>
      </c>
      <c r="E62" s="9">
        <v>3200</v>
      </c>
      <c r="F62" s="9">
        <v>3000</v>
      </c>
      <c r="G62" s="9">
        <v>3000</v>
      </c>
      <c r="H62" s="10" t="s">
        <v>99</v>
      </c>
      <c r="I62" s="16">
        <v>3000</v>
      </c>
      <c r="J62" s="72">
        <v>3500</v>
      </c>
      <c r="K62" s="67">
        <f t="shared" si="0"/>
        <v>3116.6666666666665</v>
      </c>
      <c r="M62" s="4"/>
      <c r="N62" s="4"/>
    </row>
    <row r="63" spans="1:14" ht="15.75" x14ac:dyDescent="0.25">
      <c r="A63" s="101">
        <v>17</v>
      </c>
      <c r="B63" s="60" t="s">
        <v>59</v>
      </c>
      <c r="C63" s="73"/>
      <c r="D63" s="74"/>
      <c r="E63" s="17"/>
      <c r="F63" s="76"/>
      <c r="G63" s="76"/>
      <c r="H63" s="15"/>
      <c r="I63" s="15"/>
      <c r="J63" s="84"/>
      <c r="K63" s="71"/>
      <c r="M63" s="4"/>
      <c r="N63" s="4"/>
    </row>
    <row r="64" spans="1:14" ht="15.75" x14ac:dyDescent="0.25">
      <c r="A64" s="101"/>
      <c r="B64" s="66" t="s">
        <v>60</v>
      </c>
      <c r="C64" s="17" t="s">
        <v>6</v>
      </c>
      <c r="D64" s="9">
        <v>75000</v>
      </c>
      <c r="E64" s="9">
        <v>70000</v>
      </c>
      <c r="F64" s="9">
        <v>67000</v>
      </c>
      <c r="G64" s="9">
        <v>70000</v>
      </c>
      <c r="H64" s="9">
        <v>65000</v>
      </c>
      <c r="I64" s="9">
        <v>85000</v>
      </c>
      <c r="J64" s="72">
        <v>70000</v>
      </c>
      <c r="K64" s="67">
        <f t="shared" si="0"/>
        <v>71714.28571428571</v>
      </c>
      <c r="M64" s="4"/>
      <c r="N64" s="4"/>
    </row>
    <row r="65" spans="1:14" ht="15.75" x14ac:dyDescent="0.25">
      <c r="A65" s="101"/>
      <c r="B65" s="66" t="s">
        <v>61</v>
      </c>
      <c r="C65" s="17" t="s">
        <v>6</v>
      </c>
      <c r="D65" s="9">
        <v>85000</v>
      </c>
      <c r="E65" s="9">
        <v>70000</v>
      </c>
      <c r="F65" s="9">
        <v>62000</v>
      </c>
      <c r="G65" s="9">
        <v>60000</v>
      </c>
      <c r="H65" s="9">
        <v>60000</v>
      </c>
      <c r="I65" s="8">
        <v>65000</v>
      </c>
      <c r="J65" s="72">
        <v>65000</v>
      </c>
      <c r="K65" s="67">
        <f t="shared" si="0"/>
        <v>66714.28571428571</v>
      </c>
      <c r="M65" s="4"/>
      <c r="N65" s="4"/>
    </row>
    <row r="66" spans="1:14" ht="15.75" x14ac:dyDescent="0.25">
      <c r="A66" s="101"/>
      <c r="B66" s="66" t="s">
        <v>62</v>
      </c>
      <c r="C66" s="17" t="s">
        <v>6</v>
      </c>
      <c r="D66" s="9">
        <v>65000</v>
      </c>
      <c r="E66" s="9">
        <v>55000</v>
      </c>
      <c r="F66" s="9">
        <v>57000</v>
      </c>
      <c r="G66" s="9">
        <v>65000</v>
      </c>
      <c r="H66" s="9">
        <v>65000</v>
      </c>
      <c r="I66" s="9">
        <v>80000</v>
      </c>
      <c r="J66" s="72">
        <v>80000</v>
      </c>
      <c r="K66" s="67">
        <f t="shared" si="0"/>
        <v>66714.28571428571</v>
      </c>
      <c r="M66" s="4"/>
      <c r="N66" s="4"/>
    </row>
    <row r="67" spans="1:14" ht="15.75" x14ac:dyDescent="0.25">
      <c r="A67" s="17">
        <v>18</v>
      </c>
      <c r="B67" s="60" t="s">
        <v>63</v>
      </c>
      <c r="C67" s="80"/>
      <c r="D67" s="24"/>
      <c r="E67" s="10"/>
      <c r="F67" s="22"/>
      <c r="G67" s="10"/>
      <c r="H67" s="10" t="s">
        <v>1</v>
      </c>
      <c r="I67" s="10"/>
      <c r="J67" s="77"/>
      <c r="K67" s="71"/>
      <c r="M67" s="4"/>
      <c r="N67" s="4"/>
    </row>
    <row r="68" spans="1:14" ht="15.75" x14ac:dyDescent="0.25">
      <c r="A68" s="17"/>
      <c r="B68" s="66" t="s">
        <v>64</v>
      </c>
      <c r="C68" s="17" t="s">
        <v>65</v>
      </c>
      <c r="D68" s="9">
        <v>20000</v>
      </c>
      <c r="E68" s="9">
        <v>18000</v>
      </c>
      <c r="F68" s="9">
        <v>18000</v>
      </c>
      <c r="G68" s="9">
        <v>18000</v>
      </c>
      <c r="H68" s="10" t="s">
        <v>99</v>
      </c>
      <c r="I68" s="9">
        <v>18000</v>
      </c>
      <c r="J68" s="79">
        <v>18000</v>
      </c>
      <c r="K68" s="67">
        <f t="shared" si="0"/>
        <v>18333.333333333332</v>
      </c>
      <c r="M68" s="4"/>
      <c r="N68" s="4"/>
    </row>
    <row r="69" spans="1:14" ht="15.75" x14ac:dyDescent="0.25">
      <c r="A69" s="101">
        <v>19</v>
      </c>
      <c r="B69" s="60" t="s">
        <v>66</v>
      </c>
      <c r="C69" s="60"/>
      <c r="D69" s="74"/>
      <c r="E69" s="17"/>
      <c r="F69" s="15"/>
      <c r="G69" s="15"/>
      <c r="H69" s="15"/>
      <c r="I69" s="15"/>
      <c r="J69" s="75"/>
      <c r="K69" s="71"/>
      <c r="M69" s="4"/>
      <c r="N69" s="4"/>
    </row>
    <row r="70" spans="1:14" ht="15.75" x14ac:dyDescent="0.25">
      <c r="A70" s="101"/>
      <c r="B70" s="66" t="s">
        <v>67</v>
      </c>
      <c r="C70" s="17" t="s">
        <v>6</v>
      </c>
      <c r="D70" s="9">
        <v>38000</v>
      </c>
      <c r="E70" s="9">
        <v>35000</v>
      </c>
      <c r="F70" s="9">
        <v>36000</v>
      </c>
      <c r="G70" s="9">
        <v>35000</v>
      </c>
      <c r="H70" s="9">
        <v>37000</v>
      </c>
      <c r="I70" s="9">
        <v>36000</v>
      </c>
      <c r="J70" s="72">
        <v>40000</v>
      </c>
      <c r="K70" s="67">
        <f t="shared" si="0"/>
        <v>36714.285714285717</v>
      </c>
      <c r="M70" s="4"/>
      <c r="N70" s="4"/>
    </row>
    <row r="71" spans="1:14" ht="15.75" x14ac:dyDescent="0.25">
      <c r="A71" s="101"/>
      <c r="B71" s="66" t="s">
        <v>68</v>
      </c>
      <c r="C71" s="17" t="s">
        <v>6</v>
      </c>
      <c r="D71" s="9">
        <v>34000</v>
      </c>
      <c r="E71" s="9">
        <v>32000</v>
      </c>
      <c r="F71" s="9">
        <v>33000</v>
      </c>
      <c r="G71" s="9">
        <v>32000</v>
      </c>
      <c r="H71" s="9">
        <v>32000</v>
      </c>
      <c r="I71" s="9">
        <v>32000</v>
      </c>
      <c r="J71" s="72">
        <v>33000</v>
      </c>
      <c r="K71" s="67">
        <f t="shared" si="0"/>
        <v>32571.428571428572</v>
      </c>
      <c r="M71" s="4"/>
      <c r="N71" s="4"/>
    </row>
    <row r="72" spans="1:14" ht="15.75" x14ac:dyDescent="0.25">
      <c r="A72" s="101"/>
      <c r="B72" s="66" t="s">
        <v>69</v>
      </c>
      <c r="C72" s="17" t="s">
        <v>6</v>
      </c>
      <c r="D72" s="9">
        <v>28000</v>
      </c>
      <c r="E72" s="9">
        <v>28000</v>
      </c>
      <c r="F72" s="9">
        <v>24000</v>
      </c>
      <c r="G72" s="9">
        <v>28000</v>
      </c>
      <c r="H72" s="9">
        <v>18000</v>
      </c>
      <c r="I72" s="9">
        <v>25000</v>
      </c>
      <c r="J72" s="72">
        <v>20000</v>
      </c>
      <c r="K72" s="67">
        <f t="shared" si="0"/>
        <v>24428.571428571428</v>
      </c>
      <c r="M72" s="4"/>
      <c r="N72" s="4"/>
    </row>
    <row r="73" spans="1:14" ht="15.75" x14ac:dyDescent="0.25">
      <c r="A73" s="101"/>
      <c r="B73" s="66" t="s">
        <v>70</v>
      </c>
      <c r="C73" s="17" t="s">
        <v>6</v>
      </c>
      <c r="D73" s="9">
        <v>28000</v>
      </c>
      <c r="E73" s="9">
        <v>25000</v>
      </c>
      <c r="F73" s="16">
        <v>28000</v>
      </c>
      <c r="G73" s="8">
        <v>30000</v>
      </c>
      <c r="H73" s="9">
        <v>25000</v>
      </c>
      <c r="I73" s="9">
        <v>25000</v>
      </c>
      <c r="J73" s="72">
        <v>30000</v>
      </c>
      <c r="K73" s="67">
        <f t="shared" si="0"/>
        <v>27285.714285714286</v>
      </c>
      <c r="M73" s="4"/>
      <c r="N73" s="4"/>
    </row>
    <row r="74" spans="1:14" ht="15.75" x14ac:dyDescent="0.25">
      <c r="A74" s="17">
        <v>20</v>
      </c>
      <c r="B74" s="60" t="s">
        <v>71</v>
      </c>
      <c r="C74" s="91"/>
      <c r="D74" s="24"/>
      <c r="E74" s="10"/>
      <c r="F74" s="10"/>
      <c r="G74" s="89"/>
      <c r="H74" s="10"/>
      <c r="I74" s="10"/>
      <c r="J74" s="90"/>
      <c r="K74" s="71"/>
      <c r="M74" s="4"/>
      <c r="N74" s="4"/>
    </row>
    <row r="75" spans="1:14" ht="15.75" x14ac:dyDescent="0.25">
      <c r="A75" s="17"/>
      <c r="B75" s="66" t="s">
        <v>72</v>
      </c>
      <c r="C75" s="86" t="s">
        <v>6</v>
      </c>
      <c r="D75" s="9">
        <v>7000</v>
      </c>
      <c r="E75" s="9">
        <v>7000</v>
      </c>
      <c r="F75" s="9">
        <v>5000</v>
      </c>
      <c r="G75" s="9">
        <v>6000</v>
      </c>
      <c r="H75" s="9">
        <v>5000</v>
      </c>
      <c r="I75" s="9">
        <v>5000</v>
      </c>
      <c r="J75" s="72">
        <v>5000</v>
      </c>
      <c r="K75" s="67">
        <f t="shared" si="0"/>
        <v>5714.2857142857147</v>
      </c>
      <c r="M75" s="4"/>
      <c r="N75" s="4"/>
    </row>
    <row r="76" spans="1:14" ht="15.75" x14ac:dyDescent="0.25">
      <c r="A76" s="17"/>
      <c r="B76" s="66" t="s">
        <v>73</v>
      </c>
      <c r="C76" s="86" t="s">
        <v>6</v>
      </c>
      <c r="D76" s="9">
        <v>7000</v>
      </c>
      <c r="E76" s="9">
        <v>6000</v>
      </c>
      <c r="F76" s="16">
        <v>6000</v>
      </c>
      <c r="G76" s="8">
        <v>6000</v>
      </c>
      <c r="H76" s="9">
        <v>5000</v>
      </c>
      <c r="I76" s="9">
        <v>6000</v>
      </c>
      <c r="J76" s="79">
        <v>6000</v>
      </c>
      <c r="K76" s="67">
        <f t="shared" si="0"/>
        <v>6000</v>
      </c>
      <c r="M76" s="4"/>
      <c r="N76" s="4"/>
    </row>
    <row r="77" spans="1:14" ht="15.75" x14ac:dyDescent="0.25">
      <c r="A77" s="17">
        <v>21</v>
      </c>
      <c r="B77" s="60" t="s">
        <v>74</v>
      </c>
      <c r="C77" s="91"/>
      <c r="D77" s="19"/>
      <c r="E77" s="10"/>
      <c r="F77" s="10"/>
      <c r="G77" s="22"/>
      <c r="H77" s="10"/>
      <c r="I77" s="10"/>
      <c r="J77" s="77"/>
      <c r="K77" s="71"/>
      <c r="M77" s="4"/>
      <c r="N77" s="4"/>
    </row>
    <row r="78" spans="1:14" ht="15.75" x14ac:dyDescent="0.25">
      <c r="A78" s="17"/>
      <c r="B78" s="66" t="s">
        <v>75</v>
      </c>
      <c r="C78" s="86" t="s">
        <v>6</v>
      </c>
      <c r="D78" s="9">
        <v>8000</v>
      </c>
      <c r="E78" s="9">
        <v>8000</v>
      </c>
      <c r="F78" s="9">
        <v>10000</v>
      </c>
      <c r="G78" s="9">
        <v>8000</v>
      </c>
      <c r="H78" s="9">
        <v>6000</v>
      </c>
      <c r="I78" s="16">
        <v>9000</v>
      </c>
      <c r="J78" s="72" t="s">
        <v>99</v>
      </c>
      <c r="K78" s="67">
        <f t="shared" si="0"/>
        <v>8166.666666666667</v>
      </c>
      <c r="M78" s="4"/>
      <c r="N78" s="4"/>
    </row>
    <row r="79" spans="1:14" ht="15.75" x14ac:dyDescent="0.25">
      <c r="A79" s="17"/>
      <c r="B79" s="66" t="s">
        <v>76</v>
      </c>
      <c r="C79" s="86" t="s">
        <v>6</v>
      </c>
      <c r="D79" s="9">
        <v>8000</v>
      </c>
      <c r="E79" s="9">
        <v>10000</v>
      </c>
      <c r="F79" s="9">
        <v>20000</v>
      </c>
      <c r="G79" s="9">
        <v>12000</v>
      </c>
      <c r="H79" s="9">
        <v>6000</v>
      </c>
      <c r="I79" s="16">
        <v>8000</v>
      </c>
      <c r="J79" s="72">
        <v>15000</v>
      </c>
      <c r="K79" s="67">
        <f t="shared" si="0"/>
        <v>11285.714285714286</v>
      </c>
      <c r="M79" s="4"/>
      <c r="N79" s="4"/>
    </row>
    <row r="80" spans="1:14" ht="15.75" x14ac:dyDescent="0.25">
      <c r="A80" s="17"/>
      <c r="B80" s="66" t="s">
        <v>77</v>
      </c>
      <c r="C80" s="86" t="s">
        <v>6</v>
      </c>
      <c r="D80" s="9">
        <v>18000</v>
      </c>
      <c r="E80" s="9">
        <v>16000</v>
      </c>
      <c r="F80" s="9">
        <v>17000</v>
      </c>
      <c r="G80" s="9">
        <v>17000</v>
      </c>
      <c r="H80" s="9">
        <v>15000</v>
      </c>
      <c r="I80" s="9">
        <v>20000</v>
      </c>
      <c r="J80" s="72">
        <v>18000</v>
      </c>
      <c r="K80" s="67">
        <f t="shared" si="0"/>
        <v>17285.714285714286</v>
      </c>
      <c r="M80" s="4"/>
      <c r="N80" s="4"/>
    </row>
    <row r="81" spans="1:14" ht="15.75" x14ac:dyDescent="0.25">
      <c r="A81" s="17"/>
      <c r="B81" s="66" t="s">
        <v>78</v>
      </c>
      <c r="C81" s="86" t="s">
        <v>6</v>
      </c>
      <c r="D81" s="9">
        <v>22000</v>
      </c>
      <c r="E81" s="9">
        <v>15000</v>
      </c>
      <c r="F81" s="9">
        <v>10000</v>
      </c>
      <c r="G81" s="9">
        <v>18000</v>
      </c>
      <c r="H81" s="9">
        <v>20000</v>
      </c>
      <c r="I81" s="8">
        <v>22000</v>
      </c>
      <c r="J81" s="72">
        <v>20000</v>
      </c>
      <c r="K81" s="67">
        <f t="shared" ref="K81:K88" si="1">AVERAGE(D81:J81)</f>
        <v>18142.857142857141</v>
      </c>
      <c r="M81" s="4"/>
      <c r="N81" s="4"/>
    </row>
    <row r="82" spans="1:14" ht="15.75" x14ac:dyDescent="0.25">
      <c r="A82" s="17"/>
      <c r="B82" s="66" t="s">
        <v>79</v>
      </c>
      <c r="C82" s="86" t="s">
        <v>6</v>
      </c>
      <c r="D82" s="9">
        <v>14000</v>
      </c>
      <c r="E82" s="9">
        <v>12000</v>
      </c>
      <c r="F82" s="9">
        <v>14000</v>
      </c>
      <c r="G82" s="9">
        <v>12000</v>
      </c>
      <c r="H82" s="9">
        <v>10000</v>
      </c>
      <c r="I82" s="9">
        <v>16000</v>
      </c>
      <c r="J82" s="72">
        <v>15000</v>
      </c>
      <c r="K82" s="67">
        <f t="shared" si="1"/>
        <v>13285.714285714286</v>
      </c>
      <c r="M82" s="4"/>
      <c r="N82" s="4"/>
    </row>
    <row r="83" spans="1:14" ht="15.75" x14ac:dyDescent="0.25">
      <c r="A83" s="17"/>
      <c r="B83" s="66" t="s">
        <v>80</v>
      </c>
      <c r="C83" s="86" t="s">
        <v>6</v>
      </c>
      <c r="D83" s="9">
        <v>9000</v>
      </c>
      <c r="E83" s="9">
        <v>8000</v>
      </c>
      <c r="F83" s="16">
        <v>9000</v>
      </c>
      <c r="G83" s="8">
        <v>8000</v>
      </c>
      <c r="H83" s="9">
        <v>7000</v>
      </c>
      <c r="I83" s="16">
        <v>9000</v>
      </c>
      <c r="J83" s="72">
        <v>8000</v>
      </c>
      <c r="K83" s="67">
        <f t="shared" si="1"/>
        <v>8285.7142857142862</v>
      </c>
      <c r="M83" s="4"/>
      <c r="N83" s="4"/>
    </row>
    <row r="84" spans="1:14" ht="15.75" x14ac:dyDescent="0.25">
      <c r="A84" s="17"/>
      <c r="B84" s="66" t="s">
        <v>81</v>
      </c>
      <c r="C84" s="86" t="s">
        <v>82</v>
      </c>
      <c r="D84" s="9">
        <v>2000</v>
      </c>
      <c r="E84" s="9">
        <v>1500</v>
      </c>
      <c r="F84" s="9">
        <v>2000</v>
      </c>
      <c r="G84" s="8">
        <v>2000</v>
      </c>
      <c r="H84" s="9">
        <v>1500</v>
      </c>
      <c r="I84" s="9">
        <v>2000</v>
      </c>
      <c r="J84" s="79">
        <v>1500</v>
      </c>
      <c r="K84" s="67">
        <f t="shared" si="1"/>
        <v>1785.7142857142858</v>
      </c>
      <c r="L84" s="4"/>
      <c r="M84" s="4"/>
      <c r="N84" s="4"/>
    </row>
    <row r="85" spans="1:14" x14ac:dyDescent="0.25">
      <c r="A85" s="17"/>
      <c r="B85" s="66" t="s">
        <v>83</v>
      </c>
      <c r="C85" s="86" t="s">
        <v>82</v>
      </c>
      <c r="D85" s="9">
        <v>1500</v>
      </c>
      <c r="E85" s="9">
        <v>1500</v>
      </c>
      <c r="F85" s="9">
        <v>1500</v>
      </c>
      <c r="G85" s="8">
        <v>2000</v>
      </c>
      <c r="H85" s="9">
        <v>1500</v>
      </c>
      <c r="I85" s="9">
        <v>1500</v>
      </c>
      <c r="J85" s="79">
        <v>1000</v>
      </c>
      <c r="K85" s="67">
        <f t="shared" si="1"/>
        <v>1500</v>
      </c>
    </row>
    <row r="86" spans="1:14" x14ac:dyDescent="0.25">
      <c r="A86" s="17"/>
      <c r="B86" s="66" t="s">
        <v>84</v>
      </c>
      <c r="C86" s="86" t="s">
        <v>82</v>
      </c>
      <c r="D86" s="9" t="s">
        <v>99</v>
      </c>
      <c r="E86" s="9">
        <v>2000</v>
      </c>
      <c r="F86" s="9" t="s">
        <v>99</v>
      </c>
      <c r="G86" s="8" t="s">
        <v>99</v>
      </c>
      <c r="H86" s="9">
        <v>2500</v>
      </c>
      <c r="I86" s="9" t="s">
        <v>99</v>
      </c>
      <c r="J86" s="79">
        <v>2000</v>
      </c>
      <c r="K86" s="67">
        <f t="shared" si="1"/>
        <v>2166.6666666666665</v>
      </c>
    </row>
    <row r="87" spans="1:14" x14ac:dyDescent="0.25">
      <c r="A87" s="17">
        <v>22</v>
      </c>
      <c r="B87" s="60" t="s">
        <v>85</v>
      </c>
      <c r="C87" s="91"/>
      <c r="D87" s="22"/>
      <c r="E87" s="10"/>
      <c r="F87" s="10" t="s">
        <v>102</v>
      </c>
      <c r="G87" s="22"/>
      <c r="H87" s="10"/>
      <c r="I87" s="10"/>
      <c r="J87" s="77"/>
      <c r="K87" s="71"/>
    </row>
    <row r="88" spans="1:14" x14ac:dyDescent="0.25">
      <c r="A88" s="17"/>
      <c r="B88" s="66" t="s">
        <v>86</v>
      </c>
      <c r="C88" s="86" t="s">
        <v>87</v>
      </c>
      <c r="D88" s="9" t="s">
        <v>99</v>
      </c>
      <c r="E88" s="9" t="s">
        <v>99</v>
      </c>
      <c r="F88" s="9">
        <v>18000</v>
      </c>
      <c r="G88" s="8">
        <v>17000</v>
      </c>
      <c r="H88" s="10" t="s">
        <v>99</v>
      </c>
      <c r="I88" s="16">
        <v>18000</v>
      </c>
      <c r="J88" s="79">
        <v>18000</v>
      </c>
      <c r="K88" s="67">
        <f t="shared" si="1"/>
        <v>17750</v>
      </c>
    </row>
  </sheetData>
  <mergeCells count="28"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I4:I6"/>
    <mergeCell ref="A21:A25"/>
    <mergeCell ref="A26:A32"/>
    <mergeCell ref="A33:A35"/>
    <mergeCell ref="A7:A12"/>
    <mergeCell ref="A13:A15"/>
    <mergeCell ref="A16:A17"/>
    <mergeCell ref="A19:A20"/>
    <mergeCell ref="A63:A66"/>
    <mergeCell ref="A69:A73"/>
    <mergeCell ref="A43:A45"/>
    <mergeCell ref="A46:A48"/>
    <mergeCell ref="A52:A53"/>
    <mergeCell ref="A54:A55"/>
    <mergeCell ref="A56:A60"/>
  </mergeCells>
  <pageMargins left="0.7" right="0.7" top="0.75" bottom="0.75" header="0.3" footer="0.3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B47D9-B8EE-4341-A4F4-C021296EA96C}">
  <dimension ref="A1:N88"/>
  <sheetViews>
    <sheetView workbookViewId="0">
      <selection activeCell="K11" sqref="K11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02" t="s">
        <v>88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M1" s="4"/>
      <c r="N1" s="4"/>
    </row>
    <row r="2" spans="1:14" ht="27.75" customHeight="1" x14ac:dyDescent="0.25">
      <c r="A2" s="103" t="s">
        <v>89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M2" s="4"/>
      <c r="N2" s="4"/>
    </row>
    <row r="3" spans="1:14" ht="27.75" customHeight="1" thickBot="1" x14ac:dyDescent="0.3">
      <c r="A3" s="104" t="s">
        <v>144</v>
      </c>
      <c r="B3" s="104"/>
      <c r="C3" s="104"/>
      <c r="D3" s="104"/>
      <c r="E3" s="104"/>
      <c r="F3" s="104"/>
      <c r="G3" s="104"/>
      <c r="H3" s="104"/>
      <c r="I3" s="104"/>
      <c r="J3" s="104"/>
      <c r="K3" s="105"/>
      <c r="M3" s="4"/>
      <c r="N3" s="4"/>
    </row>
    <row r="4" spans="1:14" ht="25.5" customHeight="1" x14ac:dyDescent="0.25">
      <c r="A4" s="96" t="s">
        <v>1</v>
      </c>
      <c r="B4" s="99" t="s">
        <v>2</v>
      </c>
      <c r="C4" s="96" t="s">
        <v>90</v>
      </c>
      <c r="D4" s="110" t="s">
        <v>91</v>
      </c>
      <c r="E4" s="113" t="s">
        <v>92</v>
      </c>
      <c r="F4" s="125" t="s">
        <v>93</v>
      </c>
      <c r="G4" s="128" t="s">
        <v>94</v>
      </c>
      <c r="H4" s="116" t="s">
        <v>95</v>
      </c>
      <c r="I4" s="119" t="s">
        <v>96</v>
      </c>
      <c r="J4" s="106" t="s">
        <v>97</v>
      </c>
      <c r="K4" s="122" t="s">
        <v>98</v>
      </c>
      <c r="M4" s="4"/>
      <c r="N4" s="4"/>
    </row>
    <row r="5" spans="1:14" ht="15" customHeight="1" x14ac:dyDescent="0.25">
      <c r="A5" s="97"/>
      <c r="B5" s="100"/>
      <c r="C5" s="97"/>
      <c r="D5" s="111"/>
      <c r="E5" s="114"/>
      <c r="F5" s="126"/>
      <c r="G5" s="129"/>
      <c r="H5" s="117"/>
      <c r="I5" s="120"/>
      <c r="J5" s="107"/>
      <c r="K5" s="123"/>
      <c r="M5" s="4"/>
      <c r="N5" s="4"/>
    </row>
    <row r="6" spans="1:14" ht="16.5" thickBot="1" x14ac:dyDescent="0.3">
      <c r="A6" s="98"/>
      <c r="B6" s="109"/>
      <c r="C6" s="98"/>
      <c r="D6" s="112"/>
      <c r="E6" s="115"/>
      <c r="F6" s="127"/>
      <c r="G6" s="130"/>
      <c r="H6" s="118"/>
      <c r="I6" s="121"/>
      <c r="J6" s="108"/>
      <c r="K6" s="124"/>
      <c r="M6" s="4"/>
      <c r="N6" s="4"/>
    </row>
    <row r="7" spans="1:14" ht="15.75" x14ac:dyDescent="0.25">
      <c r="A7" s="101">
        <v>1</v>
      </c>
      <c r="B7" s="60" t="s">
        <v>4</v>
      </c>
      <c r="C7" s="61"/>
      <c r="D7" s="62"/>
      <c r="E7" s="17" t="s">
        <v>102</v>
      </c>
      <c r="F7" s="17"/>
      <c r="G7" s="63"/>
      <c r="H7" s="63" t="s">
        <v>1</v>
      </c>
      <c r="I7" s="64"/>
      <c r="J7" s="63"/>
      <c r="K7" s="65"/>
      <c r="M7" s="4"/>
      <c r="N7" s="4"/>
    </row>
    <row r="8" spans="1:14" ht="15.75" x14ac:dyDescent="0.25">
      <c r="A8" s="101"/>
      <c r="B8" s="66" t="s">
        <v>107</v>
      </c>
      <c r="C8" s="17" t="s">
        <v>6</v>
      </c>
      <c r="D8" s="9">
        <v>15500</v>
      </c>
      <c r="E8" s="9">
        <v>15500</v>
      </c>
      <c r="F8" s="9">
        <v>15500</v>
      </c>
      <c r="G8" s="9">
        <v>15500</v>
      </c>
      <c r="H8" s="9">
        <v>17000</v>
      </c>
      <c r="I8" s="9">
        <v>16500</v>
      </c>
      <c r="J8" s="16">
        <v>17000</v>
      </c>
      <c r="K8" s="67">
        <f>AVERAGE(D8:J8)</f>
        <v>16071.428571428571</v>
      </c>
      <c r="L8" s="1"/>
      <c r="M8" s="7"/>
      <c r="N8" s="4"/>
    </row>
    <row r="9" spans="1:14" ht="15.75" x14ac:dyDescent="0.25">
      <c r="A9" s="101"/>
      <c r="B9" s="66" t="s">
        <v>115</v>
      </c>
      <c r="C9" s="17" t="s">
        <v>6</v>
      </c>
      <c r="D9" s="9">
        <v>10900</v>
      </c>
      <c r="E9" s="9">
        <v>10900</v>
      </c>
      <c r="F9" s="9">
        <v>10900</v>
      </c>
      <c r="G9" s="8">
        <v>10900</v>
      </c>
      <c r="H9" s="9">
        <v>12000</v>
      </c>
      <c r="I9" s="9">
        <v>14000</v>
      </c>
      <c r="J9" s="16" t="s">
        <v>99</v>
      </c>
      <c r="K9" s="67">
        <f t="shared" ref="K9:K80" si="0">AVERAGE(D9:J9)</f>
        <v>11600</v>
      </c>
      <c r="M9" s="4"/>
      <c r="N9" s="4"/>
    </row>
    <row r="10" spans="1:14" ht="15.75" x14ac:dyDescent="0.25">
      <c r="A10" s="101"/>
      <c r="B10" s="66" t="s">
        <v>108</v>
      </c>
      <c r="C10" s="17" t="s">
        <v>6</v>
      </c>
      <c r="D10" s="9" t="s">
        <v>99</v>
      </c>
      <c r="E10" s="9" t="s">
        <v>99</v>
      </c>
      <c r="F10" s="9" t="s">
        <v>99</v>
      </c>
      <c r="G10" s="8" t="s">
        <v>99</v>
      </c>
      <c r="H10" s="9" t="s">
        <v>99</v>
      </c>
      <c r="I10" s="9" t="s">
        <v>99</v>
      </c>
      <c r="J10" s="16" t="s">
        <v>99</v>
      </c>
      <c r="K10" s="67">
        <v>0</v>
      </c>
      <c r="M10" s="4"/>
      <c r="N10" s="4"/>
    </row>
    <row r="11" spans="1:14" ht="15.75" x14ac:dyDescent="0.25">
      <c r="A11" s="101"/>
      <c r="B11" s="66" t="s">
        <v>9</v>
      </c>
      <c r="C11" s="17" t="s">
        <v>6</v>
      </c>
      <c r="D11" s="9" t="s">
        <v>99</v>
      </c>
      <c r="E11" s="9">
        <v>10000</v>
      </c>
      <c r="F11" s="16">
        <v>12000</v>
      </c>
      <c r="G11" s="8">
        <v>10000</v>
      </c>
      <c r="H11" s="9">
        <v>10000</v>
      </c>
      <c r="I11" s="16">
        <v>12000</v>
      </c>
      <c r="J11" s="16">
        <v>10000</v>
      </c>
      <c r="K11" s="67">
        <f>AVERAGE(D11:J11)</f>
        <v>10666.666666666666</v>
      </c>
      <c r="M11" s="4"/>
      <c r="N11" s="4"/>
    </row>
    <row r="12" spans="1:14" ht="15.75" x14ac:dyDescent="0.25">
      <c r="A12" s="101"/>
      <c r="B12" s="66" t="s">
        <v>10</v>
      </c>
      <c r="C12" s="17" t="s">
        <v>6</v>
      </c>
      <c r="D12" s="9" t="s">
        <v>99</v>
      </c>
      <c r="E12" s="9">
        <v>21000</v>
      </c>
      <c r="F12" s="16">
        <v>16000</v>
      </c>
      <c r="G12" s="8">
        <v>18000</v>
      </c>
      <c r="H12" s="9">
        <v>25000</v>
      </c>
      <c r="I12" s="16">
        <v>17000</v>
      </c>
      <c r="J12" s="16">
        <v>17000</v>
      </c>
      <c r="K12" s="67">
        <f t="shared" si="0"/>
        <v>19000</v>
      </c>
      <c r="M12" s="4"/>
      <c r="N12" s="12"/>
    </row>
    <row r="13" spans="1:14" ht="15.75" x14ac:dyDescent="0.25">
      <c r="A13" s="101">
        <v>2</v>
      </c>
      <c r="B13" s="60" t="s">
        <v>11</v>
      </c>
      <c r="C13" s="68"/>
      <c r="D13" s="62"/>
      <c r="E13" s="92"/>
      <c r="F13" s="17"/>
      <c r="G13" s="70"/>
      <c r="H13" s="70"/>
      <c r="I13" s="70"/>
      <c r="J13" s="70"/>
      <c r="K13" s="71"/>
      <c r="M13" s="4"/>
      <c r="N13" s="4"/>
    </row>
    <row r="14" spans="1:14" ht="15.75" x14ac:dyDescent="0.25">
      <c r="A14" s="101"/>
      <c r="B14" s="66" t="s">
        <v>116</v>
      </c>
      <c r="C14" s="17" t="s">
        <v>6</v>
      </c>
      <c r="D14" s="9">
        <v>16000</v>
      </c>
      <c r="E14" s="9">
        <v>16500</v>
      </c>
      <c r="F14" s="9">
        <v>16000</v>
      </c>
      <c r="G14" s="16">
        <v>16000</v>
      </c>
      <c r="H14" s="9">
        <v>16500</v>
      </c>
      <c r="I14" s="9">
        <v>16500</v>
      </c>
      <c r="J14" s="72">
        <v>16500</v>
      </c>
      <c r="K14" s="67">
        <f t="shared" si="0"/>
        <v>16285.714285714286</v>
      </c>
      <c r="M14" s="4"/>
      <c r="N14" s="4"/>
    </row>
    <row r="15" spans="1:14" ht="15.75" x14ac:dyDescent="0.25">
      <c r="A15" s="101"/>
      <c r="B15" s="66" t="s">
        <v>13</v>
      </c>
      <c r="C15" s="17" t="s">
        <v>6</v>
      </c>
      <c r="D15" s="9">
        <v>17000</v>
      </c>
      <c r="E15" s="9">
        <v>16000</v>
      </c>
      <c r="F15" s="16">
        <v>16000</v>
      </c>
      <c r="G15" s="8">
        <v>16000</v>
      </c>
      <c r="H15" s="9">
        <v>17000</v>
      </c>
      <c r="I15" s="9">
        <v>17000</v>
      </c>
      <c r="J15" s="72">
        <v>18000</v>
      </c>
      <c r="K15" s="67">
        <f>AVERAGE(D15:J15)</f>
        <v>16714.285714285714</v>
      </c>
      <c r="M15" s="4"/>
      <c r="N15" s="4"/>
    </row>
    <row r="16" spans="1:14" ht="15.75" x14ac:dyDescent="0.25">
      <c r="A16" s="101">
        <v>3</v>
      </c>
      <c r="B16" s="60" t="s">
        <v>14</v>
      </c>
      <c r="C16" s="73"/>
      <c r="D16" s="74"/>
      <c r="E16" s="15"/>
      <c r="F16" s="15"/>
      <c r="G16" s="15"/>
      <c r="H16" s="15"/>
      <c r="I16" s="15" t="s">
        <v>130</v>
      </c>
      <c r="J16" s="75"/>
      <c r="K16" s="71"/>
      <c r="M16" s="4"/>
      <c r="N16" s="4"/>
    </row>
    <row r="17" spans="1:14" ht="15.75" x14ac:dyDescent="0.25">
      <c r="A17" s="101"/>
      <c r="B17" s="66" t="s">
        <v>15</v>
      </c>
      <c r="C17" s="17" t="s">
        <v>6</v>
      </c>
      <c r="D17" s="9">
        <v>15000</v>
      </c>
      <c r="E17" s="9">
        <v>15000</v>
      </c>
      <c r="F17" s="9">
        <v>14000</v>
      </c>
      <c r="G17" s="9">
        <v>15000</v>
      </c>
      <c r="H17" s="9">
        <v>16000</v>
      </c>
      <c r="I17" s="9">
        <v>16000</v>
      </c>
      <c r="J17" s="72">
        <v>16000</v>
      </c>
      <c r="K17" s="67">
        <f t="shared" si="0"/>
        <v>15285.714285714286</v>
      </c>
      <c r="M17" s="4"/>
      <c r="N17" s="4"/>
    </row>
    <row r="18" spans="1:14" ht="15.75" x14ac:dyDescent="0.25">
      <c r="A18" s="59"/>
      <c r="B18" s="66" t="s">
        <v>109</v>
      </c>
      <c r="C18" s="17" t="s">
        <v>110</v>
      </c>
      <c r="D18" s="9">
        <v>14000</v>
      </c>
      <c r="E18" s="9">
        <v>14000</v>
      </c>
      <c r="F18" s="9">
        <v>14000</v>
      </c>
      <c r="G18" s="9">
        <v>14000</v>
      </c>
      <c r="H18" s="9" t="s">
        <v>99</v>
      </c>
      <c r="I18" s="9">
        <v>14000</v>
      </c>
      <c r="J18" s="72">
        <v>14000</v>
      </c>
      <c r="K18" s="67">
        <f t="shared" si="0"/>
        <v>14000</v>
      </c>
      <c r="M18" s="4"/>
      <c r="N18" s="4"/>
    </row>
    <row r="19" spans="1:14" ht="17.25" customHeight="1" x14ac:dyDescent="0.25">
      <c r="A19" s="101">
        <v>4</v>
      </c>
      <c r="B19" s="60" t="s">
        <v>16</v>
      </c>
      <c r="C19" s="73"/>
      <c r="D19" s="74"/>
      <c r="E19" s="15"/>
      <c r="F19" s="15"/>
      <c r="G19" s="76"/>
      <c r="H19" s="15"/>
      <c r="I19" s="15"/>
      <c r="J19" s="75"/>
      <c r="K19" s="71"/>
      <c r="M19" s="4"/>
      <c r="N19" s="4"/>
    </row>
    <row r="20" spans="1:14" ht="15.75" x14ac:dyDescent="0.25">
      <c r="A20" s="101"/>
      <c r="B20" s="66" t="s">
        <v>17</v>
      </c>
      <c r="C20" s="17" t="s">
        <v>6</v>
      </c>
      <c r="D20" s="9">
        <v>20000</v>
      </c>
      <c r="E20" s="9">
        <v>20000</v>
      </c>
      <c r="F20" s="16">
        <v>20000</v>
      </c>
      <c r="G20" s="8">
        <v>22000</v>
      </c>
      <c r="H20" s="16">
        <v>33000</v>
      </c>
      <c r="I20" s="16">
        <v>20000</v>
      </c>
      <c r="J20" s="77" t="s">
        <v>99</v>
      </c>
      <c r="K20" s="67">
        <f t="shared" si="0"/>
        <v>22500</v>
      </c>
      <c r="M20" s="4"/>
      <c r="N20" s="4"/>
    </row>
    <row r="21" spans="1:14" ht="15.75" x14ac:dyDescent="0.25">
      <c r="A21" s="101">
        <v>5</v>
      </c>
      <c r="B21" s="60" t="s">
        <v>18</v>
      </c>
      <c r="C21" s="73"/>
      <c r="D21" s="74"/>
      <c r="E21" s="17"/>
      <c r="F21" s="15" t="s">
        <v>1</v>
      </c>
      <c r="G21" s="76"/>
      <c r="H21" s="15"/>
      <c r="I21" s="15"/>
      <c r="J21" s="75"/>
      <c r="K21" s="71"/>
      <c r="M21" s="4"/>
      <c r="N21" s="4"/>
    </row>
    <row r="22" spans="1:14" ht="15.75" x14ac:dyDescent="0.25">
      <c r="A22" s="101"/>
      <c r="B22" s="66" t="s">
        <v>19</v>
      </c>
      <c r="C22" s="17" t="s">
        <v>6</v>
      </c>
      <c r="D22" s="9">
        <v>120000</v>
      </c>
      <c r="E22" s="9">
        <v>120000</v>
      </c>
      <c r="F22" s="9">
        <v>120000</v>
      </c>
      <c r="G22" s="9">
        <v>120000</v>
      </c>
      <c r="H22" s="9">
        <v>120000</v>
      </c>
      <c r="I22" s="8">
        <v>120000</v>
      </c>
      <c r="J22" s="72" t="s">
        <v>99</v>
      </c>
      <c r="K22" s="67">
        <f t="shared" si="0"/>
        <v>120000</v>
      </c>
      <c r="M22" s="4"/>
      <c r="N22" s="4"/>
    </row>
    <row r="23" spans="1:14" ht="15.75" x14ac:dyDescent="0.25">
      <c r="A23" s="101"/>
      <c r="B23" s="66" t="s">
        <v>20</v>
      </c>
      <c r="C23" s="17" t="s">
        <v>6</v>
      </c>
      <c r="D23" s="9">
        <v>110000</v>
      </c>
      <c r="E23" s="9">
        <v>110000</v>
      </c>
      <c r="F23" s="9">
        <v>110000</v>
      </c>
      <c r="G23" s="9">
        <v>110000</v>
      </c>
      <c r="H23" s="9">
        <v>115000</v>
      </c>
      <c r="I23" s="9">
        <v>110000</v>
      </c>
      <c r="J23" s="72">
        <v>110000</v>
      </c>
      <c r="K23" s="67">
        <f t="shared" si="0"/>
        <v>110714.28571428571</v>
      </c>
      <c r="M23" s="4"/>
      <c r="N23" s="4"/>
    </row>
    <row r="24" spans="1:14" ht="15.75" x14ac:dyDescent="0.25">
      <c r="A24" s="101"/>
      <c r="B24" s="66" t="s">
        <v>21</v>
      </c>
      <c r="C24" s="17" t="s">
        <v>6</v>
      </c>
      <c r="D24" s="9">
        <v>90000</v>
      </c>
      <c r="E24" s="9">
        <v>90000</v>
      </c>
      <c r="F24" s="9">
        <v>100000</v>
      </c>
      <c r="G24" s="9">
        <v>105000</v>
      </c>
      <c r="H24" s="9">
        <v>110000</v>
      </c>
      <c r="I24" s="8">
        <v>100000</v>
      </c>
      <c r="J24" s="72">
        <v>105000</v>
      </c>
      <c r="K24" s="67">
        <f t="shared" si="0"/>
        <v>100000</v>
      </c>
      <c r="M24" s="4"/>
      <c r="N24" s="4"/>
    </row>
    <row r="25" spans="1:14" ht="15.75" x14ac:dyDescent="0.25">
      <c r="A25" s="101"/>
      <c r="B25" s="66" t="s">
        <v>22</v>
      </c>
      <c r="C25" s="17" t="s">
        <v>6</v>
      </c>
      <c r="D25" s="9">
        <v>34000</v>
      </c>
      <c r="E25" s="9">
        <v>31000</v>
      </c>
      <c r="F25" s="9">
        <v>32000</v>
      </c>
      <c r="G25" s="9">
        <v>32000</v>
      </c>
      <c r="H25" s="72">
        <v>33000</v>
      </c>
      <c r="I25" s="9">
        <v>33000</v>
      </c>
      <c r="J25" s="72">
        <v>35000</v>
      </c>
      <c r="K25" s="67">
        <f t="shared" si="0"/>
        <v>32857.142857142855</v>
      </c>
      <c r="M25" s="4"/>
      <c r="N25" s="4"/>
    </row>
    <row r="26" spans="1:14" ht="15.75" x14ac:dyDescent="0.25">
      <c r="A26" s="101">
        <v>6</v>
      </c>
      <c r="B26" s="60" t="s">
        <v>23</v>
      </c>
      <c r="C26" s="73"/>
      <c r="D26" s="74"/>
      <c r="E26" s="17"/>
      <c r="F26" s="76"/>
      <c r="G26" s="15"/>
      <c r="H26" s="75"/>
      <c r="I26" s="15"/>
      <c r="J26" s="75"/>
      <c r="K26" s="71"/>
      <c r="M26" s="4"/>
      <c r="N26" s="4"/>
    </row>
    <row r="27" spans="1:14" ht="15.75" x14ac:dyDescent="0.25">
      <c r="A27" s="101"/>
      <c r="B27" s="66" t="s">
        <v>24</v>
      </c>
      <c r="C27" s="17" t="s">
        <v>6</v>
      </c>
      <c r="D27" s="9">
        <v>34000</v>
      </c>
      <c r="E27" s="9">
        <v>35000</v>
      </c>
      <c r="F27" s="9" t="s">
        <v>99</v>
      </c>
      <c r="G27" s="9">
        <v>40000</v>
      </c>
      <c r="H27" s="9">
        <v>30000</v>
      </c>
      <c r="I27" s="9" t="s">
        <v>99</v>
      </c>
      <c r="J27" s="72">
        <v>30000</v>
      </c>
      <c r="K27" s="67">
        <f t="shared" si="0"/>
        <v>33800</v>
      </c>
      <c r="L27" t="s">
        <v>100</v>
      </c>
      <c r="M27" s="4"/>
      <c r="N27" s="4"/>
    </row>
    <row r="28" spans="1:14" ht="15.75" x14ac:dyDescent="0.25">
      <c r="A28" s="101"/>
      <c r="B28" s="66" t="s">
        <v>25</v>
      </c>
      <c r="C28" s="17" t="s">
        <v>6</v>
      </c>
      <c r="D28" s="9">
        <v>36000</v>
      </c>
      <c r="E28" s="9">
        <v>28000</v>
      </c>
      <c r="F28" s="9">
        <v>35000</v>
      </c>
      <c r="G28" s="8">
        <v>30000</v>
      </c>
      <c r="H28" s="9">
        <v>22000</v>
      </c>
      <c r="I28" s="9">
        <v>30000</v>
      </c>
      <c r="J28" s="78">
        <v>30000</v>
      </c>
      <c r="K28" s="67">
        <f t="shared" si="0"/>
        <v>30142.857142857141</v>
      </c>
      <c r="M28" s="4"/>
      <c r="N28" s="4"/>
    </row>
    <row r="29" spans="1:14" ht="15.75" x14ac:dyDescent="0.25">
      <c r="A29" s="101"/>
      <c r="B29" s="66" t="s">
        <v>26</v>
      </c>
      <c r="C29" s="17" t="s">
        <v>6</v>
      </c>
      <c r="D29" s="9">
        <v>60000</v>
      </c>
      <c r="E29" s="9">
        <v>60000</v>
      </c>
      <c r="F29" s="16">
        <v>60000</v>
      </c>
      <c r="G29" s="8">
        <v>70000</v>
      </c>
      <c r="H29" s="9">
        <v>65000</v>
      </c>
      <c r="I29" s="9">
        <v>60000</v>
      </c>
      <c r="J29" s="79">
        <v>60000</v>
      </c>
      <c r="K29" s="67">
        <f t="shared" si="0"/>
        <v>62142.857142857145</v>
      </c>
      <c r="M29" s="4"/>
      <c r="N29" s="4"/>
    </row>
    <row r="30" spans="1:14" ht="15.75" x14ac:dyDescent="0.25">
      <c r="A30" s="101"/>
      <c r="B30" s="66" t="s">
        <v>27</v>
      </c>
      <c r="C30" s="17" t="s">
        <v>6</v>
      </c>
      <c r="D30" s="9">
        <v>25000</v>
      </c>
      <c r="E30" s="9" t="s">
        <v>99</v>
      </c>
      <c r="F30" s="10" t="s">
        <v>99</v>
      </c>
      <c r="G30" s="8">
        <v>25000</v>
      </c>
      <c r="H30" s="9">
        <v>23000</v>
      </c>
      <c r="I30" s="9" t="s">
        <v>99</v>
      </c>
      <c r="J30" s="79">
        <v>26000</v>
      </c>
      <c r="K30" s="67">
        <f t="shared" si="0"/>
        <v>24750</v>
      </c>
      <c r="M30" s="4"/>
      <c r="N30" s="4"/>
    </row>
    <row r="31" spans="1:14" ht="15.75" x14ac:dyDescent="0.25">
      <c r="A31" s="101"/>
      <c r="B31" s="66" t="s">
        <v>28</v>
      </c>
      <c r="C31" s="17" t="s">
        <v>6</v>
      </c>
      <c r="D31" s="9">
        <v>34000</v>
      </c>
      <c r="E31" s="9">
        <v>36000</v>
      </c>
      <c r="F31" s="9">
        <v>40000</v>
      </c>
      <c r="G31" s="9">
        <v>40000</v>
      </c>
      <c r="H31" s="9">
        <v>28000</v>
      </c>
      <c r="I31" s="9">
        <v>40000</v>
      </c>
      <c r="J31" s="72">
        <v>35000</v>
      </c>
      <c r="K31" s="67">
        <f t="shared" si="0"/>
        <v>36142.857142857145</v>
      </c>
      <c r="M31" s="4"/>
      <c r="N31" s="4"/>
    </row>
    <row r="32" spans="1:14" ht="15.75" x14ac:dyDescent="0.25">
      <c r="A32" s="101"/>
      <c r="B32" s="66" t="s">
        <v>29</v>
      </c>
      <c r="C32" s="17" t="s">
        <v>6</v>
      </c>
      <c r="D32" s="9" t="s">
        <v>99</v>
      </c>
      <c r="E32" s="9">
        <v>100000</v>
      </c>
      <c r="F32" s="9">
        <v>100000</v>
      </c>
      <c r="G32" s="9" t="s">
        <v>99</v>
      </c>
      <c r="H32" s="9">
        <v>80000</v>
      </c>
      <c r="I32" s="9">
        <v>100000</v>
      </c>
      <c r="J32" s="79">
        <v>70000</v>
      </c>
      <c r="K32" s="67">
        <f t="shared" si="0"/>
        <v>90000</v>
      </c>
      <c r="M32" s="4"/>
      <c r="N32" s="4"/>
    </row>
    <row r="33" spans="1:14" ht="15.75" x14ac:dyDescent="0.25">
      <c r="A33" s="101">
        <v>7</v>
      </c>
      <c r="B33" s="60" t="s">
        <v>30</v>
      </c>
      <c r="C33" s="73"/>
      <c r="D33" s="74"/>
      <c r="E33" s="17"/>
      <c r="F33" s="76"/>
      <c r="G33" s="76"/>
      <c r="H33" s="15"/>
      <c r="I33" s="15"/>
      <c r="J33" s="75"/>
      <c r="K33" s="71"/>
      <c r="M33" s="4"/>
      <c r="N33" s="4"/>
    </row>
    <row r="34" spans="1:14" ht="15.75" x14ac:dyDescent="0.25">
      <c r="A34" s="101"/>
      <c r="B34" s="66" t="s">
        <v>31</v>
      </c>
      <c r="C34" s="17" t="s">
        <v>6</v>
      </c>
      <c r="D34" s="9">
        <v>27000</v>
      </c>
      <c r="E34" s="9">
        <v>27000</v>
      </c>
      <c r="F34" s="9">
        <v>26000</v>
      </c>
      <c r="G34" s="9">
        <v>26000</v>
      </c>
      <c r="H34" s="9">
        <v>28000</v>
      </c>
      <c r="I34" s="9">
        <v>27000</v>
      </c>
      <c r="J34" s="72">
        <v>29000</v>
      </c>
      <c r="K34" s="67">
        <f t="shared" si="0"/>
        <v>27142.857142857141</v>
      </c>
      <c r="M34" s="4"/>
      <c r="N34" s="4"/>
    </row>
    <row r="35" spans="1:14" ht="15.75" x14ac:dyDescent="0.25">
      <c r="A35" s="101"/>
      <c r="B35" s="66" t="s">
        <v>32</v>
      </c>
      <c r="C35" s="17" t="s">
        <v>33</v>
      </c>
      <c r="D35" s="9">
        <v>3000</v>
      </c>
      <c r="E35" s="9">
        <v>2500</v>
      </c>
      <c r="F35" s="9">
        <v>2500</v>
      </c>
      <c r="G35" s="9">
        <v>2800</v>
      </c>
      <c r="H35" s="9">
        <v>2600</v>
      </c>
      <c r="I35" s="9">
        <v>3000</v>
      </c>
      <c r="J35" s="72">
        <v>3000</v>
      </c>
      <c r="K35" s="67">
        <f t="shared" si="0"/>
        <v>2771.4285714285716</v>
      </c>
      <c r="M35" s="4"/>
      <c r="N35" s="4"/>
    </row>
    <row r="36" spans="1:14" ht="15.75" x14ac:dyDescent="0.25">
      <c r="A36" s="59">
        <v>8</v>
      </c>
      <c r="B36" s="73" t="s">
        <v>117</v>
      </c>
      <c r="C36" s="80"/>
      <c r="D36" s="9"/>
      <c r="E36" s="9"/>
      <c r="F36" s="9"/>
      <c r="G36" s="9"/>
      <c r="H36" s="9"/>
      <c r="I36" s="9"/>
      <c r="J36" s="72"/>
      <c r="K36" s="81"/>
      <c r="M36" s="4"/>
      <c r="N36" s="4"/>
    </row>
    <row r="37" spans="1:14" ht="15.75" x14ac:dyDescent="0.25">
      <c r="A37" s="59"/>
      <c r="B37" s="66" t="s">
        <v>118</v>
      </c>
      <c r="C37" s="17" t="s">
        <v>6</v>
      </c>
      <c r="D37" s="9">
        <v>10000</v>
      </c>
      <c r="E37" s="9">
        <v>1250</v>
      </c>
      <c r="F37" s="9">
        <v>9000</v>
      </c>
      <c r="G37" s="9">
        <v>9000</v>
      </c>
      <c r="H37" s="9">
        <v>16000</v>
      </c>
      <c r="I37" s="9">
        <v>9000</v>
      </c>
      <c r="J37" s="72">
        <v>3000</v>
      </c>
      <c r="K37" s="67">
        <f t="shared" si="0"/>
        <v>8178.5714285714284</v>
      </c>
      <c r="M37" s="4"/>
      <c r="N37" s="4"/>
    </row>
    <row r="38" spans="1:14" ht="15.75" x14ac:dyDescent="0.25">
      <c r="A38" s="59"/>
      <c r="B38" s="66" t="s">
        <v>119</v>
      </c>
      <c r="C38" s="17" t="s">
        <v>6</v>
      </c>
      <c r="D38" s="9" t="s">
        <v>99</v>
      </c>
      <c r="E38" s="9">
        <v>10000</v>
      </c>
      <c r="F38" s="9">
        <v>12000</v>
      </c>
      <c r="G38" s="9">
        <v>14000</v>
      </c>
      <c r="H38" s="9" t="s">
        <v>99</v>
      </c>
      <c r="I38" s="9">
        <v>12000</v>
      </c>
      <c r="J38" s="72">
        <v>12000</v>
      </c>
      <c r="K38" s="67">
        <f>AVERAGE(D38:J38)</f>
        <v>12000</v>
      </c>
      <c r="M38" s="4"/>
      <c r="N38" s="4"/>
    </row>
    <row r="39" spans="1:14" ht="15.75" x14ac:dyDescent="0.25">
      <c r="A39" s="59">
        <v>9</v>
      </c>
      <c r="B39" s="82" t="s">
        <v>120</v>
      </c>
      <c r="C39" s="83"/>
      <c r="D39" s="9"/>
      <c r="E39" s="9"/>
      <c r="F39" s="9"/>
      <c r="G39" s="9"/>
      <c r="H39" s="9"/>
      <c r="I39" s="9"/>
      <c r="J39" s="72"/>
      <c r="K39" s="81"/>
      <c r="M39" s="4"/>
      <c r="N39" s="4"/>
    </row>
    <row r="40" spans="1:14" ht="15.75" x14ac:dyDescent="0.25">
      <c r="A40" s="59"/>
      <c r="B40" s="66" t="s">
        <v>121</v>
      </c>
      <c r="C40" s="17" t="s">
        <v>6</v>
      </c>
      <c r="D40" s="9" t="s">
        <v>99</v>
      </c>
      <c r="E40" s="9" t="s">
        <v>99</v>
      </c>
      <c r="F40" s="9" t="s">
        <v>99</v>
      </c>
      <c r="G40" s="9">
        <v>16000</v>
      </c>
      <c r="H40" s="9">
        <v>14000</v>
      </c>
      <c r="I40" s="9" t="s">
        <v>99</v>
      </c>
      <c r="J40" s="72">
        <v>15000</v>
      </c>
      <c r="K40" s="67">
        <f t="shared" si="0"/>
        <v>15000</v>
      </c>
      <c r="M40" s="4"/>
      <c r="N40" s="4"/>
    </row>
    <row r="41" spans="1:14" ht="15.75" x14ac:dyDescent="0.25">
      <c r="A41" s="59"/>
      <c r="B41" s="66" t="s">
        <v>122</v>
      </c>
      <c r="C41" s="17" t="s">
        <v>6</v>
      </c>
      <c r="D41" s="9" t="s">
        <v>99</v>
      </c>
      <c r="E41" s="9" t="s">
        <v>99</v>
      </c>
      <c r="F41" s="9">
        <v>6000</v>
      </c>
      <c r="G41" s="9" t="s">
        <v>99</v>
      </c>
      <c r="H41" s="9" t="s">
        <v>99</v>
      </c>
      <c r="I41" s="9">
        <v>6000</v>
      </c>
      <c r="J41" s="72" t="s">
        <v>99</v>
      </c>
      <c r="K41" s="67">
        <f t="shared" si="0"/>
        <v>6000</v>
      </c>
      <c r="M41" s="4"/>
      <c r="N41" s="4"/>
    </row>
    <row r="42" spans="1:14" ht="15.75" x14ac:dyDescent="0.25">
      <c r="A42" s="59"/>
      <c r="B42" s="66" t="s">
        <v>123</v>
      </c>
      <c r="C42" s="17" t="s">
        <v>6</v>
      </c>
      <c r="D42" s="9" t="s">
        <v>99</v>
      </c>
      <c r="E42" s="9">
        <v>2500</v>
      </c>
      <c r="F42" s="9" t="s">
        <v>99</v>
      </c>
      <c r="G42" s="9" t="s">
        <v>99</v>
      </c>
      <c r="H42" s="9" t="s">
        <v>99</v>
      </c>
      <c r="I42" s="9" t="s">
        <v>99</v>
      </c>
      <c r="J42" s="72" t="s">
        <v>99</v>
      </c>
      <c r="K42" s="67">
        <f t="shared" si="0"/>
        <v>2500</v>
      </c>
      <c r="M42" s="4"/>
      <c r="N42" s="4"/>
    </row>
    <row r="43" spans="1:14" ht="15.75" x14ac:dyDescent="0.25">
      <c r="A43" s="101">
        <v>10</v>
      </c>
      <c r="B43" s="60" t="s">
        <v>34</v>
      </c>
      <c r="C43" s="73"/>
      <c r="D43" s="74"/>
      <c r="E43" s="17"/>
      <c r="F43" s="76"/>
      <c r="G43" s="15"/>
      <c r="H43" s="15"/>
      <c r="I43" s="15"/>
      <c r="J43" s="84"/>
      <c r="K43" s="71"/>
      <c r="M43" s="4"/>
      <c r="N43" s="4"/>
    </row>
    <row r="44" spans="1:14" ht="15.75" x14ac:dyDescent="0.25">
      <c r="A44" s="101"/>
      <c r="B44" s="66" t="s">
        <v>35</v>
      </c>
      <c r="C44" s="17" t="s">
        <v>36</v>
      </c>
      <c r="D44" s="9">
        <v>12000</v>
      </c>
      <c r="E44" s="9">
        <v>12000</v>
      </c>
      <c r="F44" s="9">
        <v>12500</v>
      </c>
      <c r="G44" s="9">
        <v>12500</v>
      </c>
      <c r="H44" s="10" t="s">
        <v>99</v>
      </c>
      <c r="I44" s="16">
        <v>12500</v>
      </c>
      <c r="J44" s="72">
        <v>12500</v>
      </c>
      <c r="K44" s="67">
        <f t="shared" si="0"/>
        <v>12333.333333333334</v>
      </c>
      <c r="M44" s="4"/>
      <c r="N44" s="4"/>
    </row>
    <row r="45" spans="1:14" ht="15.75" x14ac:dyDescent="0.25">
      <c r="A45" s="101"/>
      <c r="B45" s="66" t="s">
        <v>124</v>
      </c>
      <c r="C45" s="17" t="s">
        <v>36</v>
      </c>
      <c r="D45" s="9">
        <v>12000</v>
      </c>
      <c r="E45" s="9">
        <v>13000</v>
      </c>
      <c r="F45" s="16">
        <v>12500</v>
      </c>
      <c r="G45" s="9">
        <v>12500</v>
      </c>
      <c r="H45" s="10" t="s">
        <v>99</v>
      </c>
      <c r="I45" s="16">
        <v>12500</v>
      </c>
      <c r="J45" s="79">
        <v>12500</v>
      </c>
      <c r="K45" s="67">
        <f>AVERAGE(D45:J45)</f>
        <v>12500</v>
      </c>
      <c r="M45" s="4"/>
      <c r="N45" s="4"/>
    </row>
    <row r="46" spans="1:14" ht="15.75" x14ac:dyDescent="0.25">
      <c r="A46" s="101">
        <v>11</v>
      </c>
      <c r="B46" s="60" t="s">
        <v>38</v>
      </c>
      <c r="C46" s="73"/>
      <c r="D46" s="74"/>
      <c r="E46" s="17"/>
      <c r="F46" s="15"/>
      <c r="G46" s="76"/>
      <c r="H46" s="15"/>
      <c r="I46" s="15"/>
      <c r="J46" s="75"/>
      <c r="K46" s="71"/>
      <c r="M46" s="4"/>
      <c r="N46" s="4"/>
    </row>
    <row r="47" spans="1:14" ht="15.75" x14ac:dyDescent="0.25">
      <c r="A47" s="101"/>
      <c r="B47" s="66" t="s">
        <v>39</v>
      </c>
      <c r="C47" s="17" t="s">
        <v>40</v>
      </c>
      <c r="D47" s="9" t="s">
        <v>99</v>
      </c>
      <c r="E47" s="9" t="s">
        <v>99</v>
      </c>
      <c r="F47" s="10" t="s">
        <v>99</v>
      </c>
      <c r="G47" s="8" t="s">
        <v>99</v>
      </c>
      <c r="H47" s="9">
        <v>17500</v>
      </c>
      <c r="I47" s="16" t="s">
        <v>99</v>
      </c>
      <c r="J47" s="79" t="s">
        <v>99</v>
      </c>
      <c r="K47" s="67">
        <f t="shared" si="0"/>
        <v>17500</v>
      </c>
      <c r="M47" s="4"/>
      <c r="N47" s="4"/>
    </row>
    <row r="48" spans="1:14" ht="15.75" x14ac:dyDescent="0.25">
      <c r="A48" s="101"/>
      <c r="B48" s="66" t="s">
        <v>41</v>
      </c>
      <c r="C48" s="17" t="s">
        <v>42</v>
      </c>
      <c r="D48" s="9" t="s">
        <v>99</v>
      </c>
      <c r="E48" s="9" t="s">
        <v>99</v>
      </c>
      <c r="F48" s="10" t="s">
        <v>99</v>
      </c>
      <c r="G48" s="8" t="s">
        <v>99</v>
      </c>
      <c r="H48" s="9">
        <v>2000</v>
      </c>
      <c r="I48" s="16" t="s">
        <v>99</v>
      </c>
      <c r="J48" s="79" t="s">
        <v>99</v>
      </c>
      <c r="K48" s="67">
        <f t="shared" si="0"/>
        <v>2000</v>
      </c>
      <c r="M48" s="4"/>
      <c r="N48" s="4"/>
    </row>
    <row r="49" spans="1:14" ht="15.75" x14ac:dyDescent="0.25">
      <c r="A49" s="59">
        <v>12</v>
      </c>
      <c r="B49" s="85" t="s">
        <v>43</v>
      </c>
      <c r="C49" s="80"/>
      <c r="D49" s="19"/>
      <c r="E49" s="10"/>
      <c r="F49" s="10"/>
      <c r="G49" s="22"/>
      <c r="H49" s="10"/>
      <c r="I49" s="10"/>
      <c r="J49" s="77"/>
      <c r="K49" s="71"/>
      <c r="M49" s="4"/>
      <c r="N49" s="4"/>
    </row>
    <row r="50" spans="1:14" ht="15.75" x14ac:dyDescent="0.25">
      <c r="A50" s="59"/>
      <c r="B50" s="66" t="s">
        <v>44</v>
      </c>
      <c r="C50" s="86" t="s">
        <v>6</v>
      </c>
      <c r="D50" s="9" t="s">
        <v>99</v>
      </c>
      <c r="E50" s="9">
        <v>8000</v>
      </c>
      <c r="F50" s="9">
        <v>10000</v>
      </c>
      <c r="G50" s="9">
        <v>10000</v>
      </c>
      <c r="H50" s="9">
        <v>15000</v>
      </c>
      <c r="I50" s="8">
        <v>15000</v>
      </c>
      <c r="J50" s="72">
        <v>15000</v>
      </c>
      <c r="K50" s="67">
        <f t="shared" si="0"/>
        <v>12166.666666666666</v>
      </c>
      <c r="M50" s="4" t="s">
        <v>101</v>
      </c>
      <c r="N50" s="4"/>
    </row>
    <row r="51" spans="1:14" ht="15.75" x14ac:dyDescent="0.25">
      <c r="A51" s="59"/>
      <c r="B51" s="66" t="s">
        <v>45</v>
      </c>
      <c r="C51" s="86" t="s">
        <v>6</v>
      </c>
      <c r="D51" s="9">
        <v>15000</v>
      </c>
      <c r="E51" s="9">
        <v>10000</v>
      </c>
      <c r="F51" s="8">
        <v>9000</v>
      </c>
      <c r="G51" s="9">
        <v>10000</v>
      </c>
      <c r="H51" s="9">
        <v>12000</v>
      </c>
      <c r="I51" s="9">
        <v>12000</v>
      </c>
      <c r="J51" s="72">
        <v>10000</v>
      </c>
      <c r="K51" s="67">
        <f t="shared" si="0"/>
        <v>11142.857142857143</v>
      </c>
      <c r="M51" s="4"/>
      <c r="N51" s="23"/>
    </row>
    <row r="52" spans="1:14" ht="15.75" x14ac:dyDescent="0.25">
      <c r="A52" s="101">
        <v>13</v>
      </c>
      <c r="B52" s="60" t="s">
        <v>46</v>
      </c>
      <c r="C52" s="73"/>
      <c r="D52" s="74"/>
      <c r="E52" s="17"/>
      <c r="F52" s="76"/>
      <c r="G52" s="76"/>
      <c r="H52" s="15"/>
      <c r="I52" s="15"/>
      <c r="J52" s="84"/>
      <c r="K52" s="71"/>
      <c r="M52" s="4"/>
      <c r="N52" s="4"/>
    </row>
    <row r="53" spans="1:14" ht="15.75" x14ac:dyDescent="0.25">
      <c r="A53" s="101"/>
      <c r="B53" s="66" t="s">
        <v>47</v>
      </c>
      <c r="C53" s="17" t="s">
        <v>125</v>
      </c>
      <c r="D53" s="9">
        <v>3000</v>
      </c>
      <c r="E53" s="9">
        <v>4000</v>
      </c>
      <c r="F53" s="9">
        <v>5000</v>
      </c>
      <c r="G53" s="9">
        <v>5000</v>
      </c>
      <c r="H53" s="9">
        <v>2500</v>
      </c>
      <c r="I53" s="16">
        <v>5000</v>
      </c>
      <c r="J53" s="72">
        <v>2500</v>
      </c>
      <c r="K53" s="67">
        <f t="shared" si="0"/>
        <v>3857.1428571428573</v>
      </c>
      <c r="M53" s="4"/>
      <c r="N53" s="4"/>
    </row>
    <row r="54" spans="1:14" ht="15.75" x14ac:dyDescent="0.25">
      <c r="A54" s="101">
        <v>14</v>
      </c>
      <c r="B54" s="60" t="s">
        <v>49</v>
      </c>
      <c r="C54" s="80"/>
      <c r="D54" s="62"/>
      <c r="E54" s="17"/>
      <c r="F54" s="20"/>
      <c r="G54" s="20"/>
      <c r="H54" s="17"/>
      <c r="I54" s="17"/>
      <c r="J54" s="87"/>
      <c r="K54" s="71"/>
      <c r="M54" s="4"/>
      <c r="N54" s="4"/>
    </row>
    <row r="55" spans="1:14" ht="15.75" x14ac:dyDescent="0.25">
      <c r="A55" s="101"/>
      <c r="B55" s="88" t="s">
        <v>50</v>
      </c>
      <c r="C55" s="86" t="s">
        <v>6</v>
      </c>
      <c r="D55" s="9">
        <v>10000</v>
      </c>
      <c r="E55" s="9">
        <v>10500</v>
      </c>
      <c r="F55" s="9">
        <v>10000</v>
      </c>
      <c r="G55" s="9">
        <v>11000</v>
      </c>
      <c r="H55" s="9">
        <v>12000</v>
      </c>
      <c r="I55" s="9">
        <v>10000</v>
      </c>
      <c r="J55" s="72">
        <v>10000</v>
      </c>
      <c r="K55" s="67">
        <f t="shared" si="0"/>
        <v>10500</v>
      </c>
      <c r="M55" s="4"/>
      <c r="N55" s="4"/>
    </row>
    <row r="56" spans="1:14" ht="15.75" x14ac:dyDescent="0.25">
      <c r="A56" s="101">
        <v>15</v>
      </c>
      <c r="B56" s="60" t="s">
        <v>51</v>
      </c>
      <c r="C56" s="73"/>
      <c r="D56" s="74"/>
      <c r="E56" s="17"/>
      <c r="F56" s="76"/>
      <c r="G56" s="15"/>
      <c r="H56" s="15"/>
      <c r="I56" s="15"/>
      <c r="J56" s="84"/>
      <c r="K56" s="71"/>
      <c r="M56" s="4"/>
      <c r="N56" s="4"/>
    </row>
    <row r="57" spans="1:14" ht="15.75" x14ac:dyDescent="0.25">
      <c r="A57" s="101"/>
      <c r="B57" s="66" t="s">
        <v>52</v>
      </c>
      <c r="C57" s="17" t="s">
        <v>6</v>
      </c>
      <c r="D57" s="9">
        <v>16000</v>
      </c>
      <c r="E57" s="9">
        <v>13000</v>
      </c>
      <c r="F57" s="9">
        <v>14000</v>
      </c>
      <c r="G57" s="9">
        <v>14000</v>
      </c>
      <c r="H57" s="9">
        <v>11500</v>
      </c>
      <c r="I57" s="9">
        <v>17000</v>
      </c>
      <c r="J57" s="72" t="s">
        <v>99</v>
      </c>
      <c r="K57" s="67">
        <f t="shared" si="0"/>
        <v>14250</v>
      </c>
      <c r="M57" s="4"/>
      <c r="N57" s="4"/>
    </row>
    <row r="58" spans="1:14" ht="15.75" x14ac:dyDescent="0.25">
      <c r="A58" s="101"/>
      <c r="B58" s="66" t="s">
        <v>53</v>
      </c>
      <c r="C58" s="17" t="s">
        <v>6</v>
      </c>
      <c r="D58" s="9" t="s">
        <v>99</v>
      </c>
      <c r="E58" s="9" t="s">
        <v>99</v>
      </c>
      <c r="F58" s="16">
        <v>15000</v>
      </c>
      <c r="G58" s="22" t="s">
        <v>99</v>
      </c>
      <c r="H58" s="9">
        <v>13000</v>
      </c>
      <c r="I58" s="8">
        <v>15000</v>
      </c>
      <c r="J58" s="72">
        <v>14000</v>
      </c>
      <c r="K58" s="67">
        <f t="shared" si="0"/>
        <v>14250</v>
      </c>
      <c r="M58" s="4"/>
      <c r="N58" s="4"/>
    </row>
    <row r="59" spans="1:14" ht="15.75" x14ac:dyDescent="0.25">
      <c r="A59" s="101"/>
      <c r="B59" s="66" t="s">
        <v>54</v>
      </c>
      <c r="C59" s="17" t="s">
        <v>6</v>
      </c>
      <c r="D59" s="9">
        <v>22000</v>
      </c>
      <c r="E59" s="9">
        <v>23000</v>
      </c>
      <c r="F59" s="9">
        <v>23000</v>
      </c>
      <c r="G59" s="9">
        <v>23000</v>
      </c>
      <c r="H59" s="9">
        <v>20000</v>
      </c>
      <c r="I59" s="9">
        <v>23000</v>
      </c>
      <c r="J59" s="72">
        <v>24000</v>
      </c>
      <c r="K59" s="67">
        <f t="shared" si="0"/>
        <v>22571.428571428572</v>
      </c>
      <c r="M59" s="4"/>
      <c r="N59" s="4"/>
    </row>
    <row r="60" spans="1:14" ht="15.75" x14ac:dyDescent="0.25">
      <c r="A60" s="101"/>
      <c r="B60" s="66" t="s">
        <v>55</v>
      </c>
      <c r="C60" s="17" t="s">
        <v>6</v>
      </c>
      <c r="D60" s="9">
        <v>26000</v>
      </c>
      <c r="E60" s="9">
        <v>30000</v>
      </c>
      <c r="F60" s="9">
        <v>28000</v>
      </c>
      <c r="G60" s="9">
        <v>30000</v>
      </c>
      <c r="H60" s="9">
        <v>27000</v>
      </c>
      <c r="I60" s="9">
        <v>28000</v>
      </c>
      <c r="J60" s="72">
        <v>28000</v>
      </c>
      <c r="K60" s="67">
        <f t="shared" si="0"/>
        <v>28142.857142857141</v>
      </c>
      <c r="M60" s="4"/>
      <c r="N60" s="4"/>
    </row>
    <row r="61" spans="1:14" ht="15.75" x14ac:dyDescent="0.25">
      <c r="A61" s="17">
        <v>16</v>
      </c>
      <c r="B61" s="60" t="s">
        <v>56</v>
      </c>
      <c r="C61" s="80"/>
      <c r="D61" s="89"/>
      <c r="E61" s="10"/>
      <c r="F61" s="22"/>
      <c r="G61" s="10"/>
      <c r="H61" s="10"/>
      <c r="I61" s="10"/>
      <c r="J61" s="90"/>
      <c r="K61" s="71"/>
      <c r="M61" s="4"/>
      <c r="N61" s="4"/>
    </row>
    <row r="62" spans="1:14" ht="15.75" x14ac:dyDescent="0.25">
      <c r="A62" s="17"/>
      <c r="B62" s="66" t="s">
        <v>57</v>
      </c>
      <c r="C62" s="86" t="s">
        <v>58</v>
      </c>
      <c r="D62" s="9">
        <v>3000</v>
      </c>
      <c r="E62" s="9">
        <v>3200</v>
      </c>
      <c r="F62" s="9">
        <v>3000</v>
      </c>
      <c r="G62" s="9">
        <v>3000</v>
      </c>
      <c r="H62" s="10" t="s">
        <v>99</v>
      </c>
      <c r="I62" s="16">
        <v>3000</v>
      </c>
      <c r="J62" s="72">
        <v>3500</v>
      </c>
      <c r="K62" s="67">
        <f t="shared" si="0"/>
        <v>3116.6666666666665</v>
      </c>
      <c r="M62" s="4"/>
      <c r="N62" s="4"/>
    </row>
    <row r="63" spans="1:14" ht="15.75" x14ac:dyDescent="0.25">
      <c r="A63" s="101">
        <v>17</v>
      </c>
      <c r="B63" s="60" t="s">
        <v>59</v>
      </c>
      <c r="C63" s="73"/>
      <c r="D63" s="74"/>
      <c r="E63" s="17"/>
      <c r="F63" s="76"/>
      <c r="G63" s="76"/>
      <c r="H63" s="15"/>
      <c r="I63" s="15"/>
      <c r="J63" s="84"/>
      <c r="K63" s="71"/>
      <c r="M63" s="4"/>
      <c r="N63" s="4"/>
    </row>
    <row r="64" spans="1:14" ht="15.75" x14ac:dyDescent="0.25">
      <c r="A64" s="101"/>
      <c r="B64" s="66" t="s">
        <v>60</v>
      </c>
      <c r="C64" s="17" t="s">
        <v>6</v>
      </c>
      <c r="D64" s="9">
        <v>75000</v>
      </c>
      <c r="E64" s="9">
        <v>70000</v>
      </c>
      <c r="F64" s="9">
        <v>70000</v>
      </c>
      <c r="G64" s="9">
        <v>70000</v>
      </c>
      <c r="H64" s="9">
        <v>75000</v>
      </c>
      <c r="I64" s="9">
        <v>85000</v>
      </c>
      <c r="J64" s="72">
        <v>80000</v>
      </c>
      <c r="K64" s="67">
        <f t="shared" si="0"/>
        <v>75000</v>
      </c>
      <c r="M64" s="4"/>
      <c r="N64" s="4"/>
    </row>
    <row r="65" spans="1:14" ht="15.75" x14ac:dyDescent="0.25">
      <c r="A65" s="101"/>
      <c r="B65" s="66" t="s">
        <v>61</v>
      </c>
      <c r="C65" s="17" t="s">
        <v>6</v>
      </c>
      <c r="D65" s="9">
        <v>80000</v>
      </c>
      <c r="E65" s="9">
        <v>70000</v>
      </c>
      <c r="F65" s="9">
        <v>54000</v>
      </c>
      <c r="G65" s="9">
        <v>60000</v>
      </c>
      <c r="H65" s="9">
        <v>60000</v>
      </c>
      <c r="I65" s="8">
        <v>65000</v>
      </c>
      <c r="J65" s="72">
        <v>65000</v>
      </c>
      <c r="K65" s="67">
        <f t="shared" si="0"/>
        <v>64857.142857142855</v>
      </c>
      <c r="M65" s="4"/>
      <c r="N65" s="4"/>
    </row>
    <row r="66" spans="1:14" ht="15.75" x14ac:dyDescent="0.25">
      <c r="A66" s="101"/>
      <c r="B66" s="66" t="s">
        <v>62</v>
      </c>
      <c r="C66" s="17" t="s">
        <v>6</v>
      </c>
      <c r="D66" s="9">
        <v>60000</v>
      </c>
      <c r="E66" s="9">
        <v>55000</v>
      </c>
      <c r="F66" s="9">
        <v>70000</v>
      </c>
      <c r="G66" s="9">
        <v>50000</v>
      </c>
      <c r="H66" s="9">
        <v>65000</v>
      </c>
      <c r="I66" s="9">
        <v>80000</v>
      </c>
      <c r="J66" s="72">
        <v>70000</v>
      </c>
      <c r="K66" s="67">
        <f t="shared" si="0"/>
        <v>64285.714285714283</v>
      </c>
      <c r="M66" s="4"/>
      <c r="N66" s="4"/>
    </row>
    <row r="67" spans="1:14" ht="15.75" x14ac:dyDescent="0.25">
      <c r="A67" s="17">
        <v>18</v>
      </c>
      <c r="B67" s="60" t="s">
        <v>63</v>
      </c>
      <c r="C67" s="80"/>
      <c r="D67" s="24"/>
      <c r="E67" s="10"/>
      <c r="F67" s="22"/>
      <c r="G67" s="10"/>
      <c r="H67" s="10" t="s">
        <v>1</v>
      </c>
      <c r="I67" s="10"/>
      <c r="J67" s="77"/>
      <c r="K67" s="71"/>
      <c r="M67" s="4"/>
      <c r="N67" s="4"/>
    </row>
    <row r="68" spans="1:14" ht="15.75" x14ac:dyDescent="0.25">
      <c r="A68" s="17"/>
      <c r="B68" s="66" t="s">
        <v>64</v>
      </c>
      <c r="C68" s="17" t="s">
        <v>65</v>
      </c>
      <c r="D68" s="9">
        <v>20000</v>
      </c>
      <c r="E68" s="9">
        <v>18000</v>
      </c>
      <c r="F68" s="9">
        <v>18000</v>
      </c>
      <c r="G68" s="9">
        <v>18000</v>
      </c>
      <c r="H68" s="10" t="s">
        <v>99</v>
      </c>
      <c r="I68" s="9">
        <v>18000</v>
      </c>
      <c r="J68" s="79">
        <v>18000</v>
      </c>
      <c r="K68" s="67">
        <f t="shared" si="0"/>
        <v>18333.333333333332</v>
      </c>
      <c r="M68" s="4"/>
      <c r="N68" s="4"/>
    </row>
    <row r="69" spans="1:14" ht="15.75" x14ac:dyDescent="0.25">
      <c r="A69" s="101">
        <v>19</v>
      </c>
      <c r="B69" s="60" t="s">
        <v>66</v>
      </c>
      <c r="C69" s="60"/>
      <c r="D69" s="74"/>
      <c r="E69" s="17"/>
      <c r="F69" s="15"/>
      <c r="G69" s="15"/>
      <c r="H69" s="15"/>
      <c r="I69" s="15"/>
      <c r="J69" s="75"/>
      <c r="K69" s="71"/>
      <c r="M69" s="4"/>
      <c r="N69" s="4"/>
    </row>
    <row r="70" spans="1:14" ht="15.75" x14ac:dyDescent="0.25">
      <c r="A70" s="101"/>
      <c r="B70" s="66" t="s">
        <v>67</v>
      </c>
      <c r="C70" s="17" t="s">
        <v>6</v>
      </c>
      <c r="D70" s="9">
        <v>38000</v>
      </c>
      <c r="E70" s="9">
        <v>35000</v>
      </c>
      <c r="F70" s="9">
        <v>36000</v>
      </c>
      <c r="G70" s="9">
        <v>35000</v>
      </c>
      <c r="H70" s="9">
        <v>37000</v>
      </c>
      <c r="I70" s="9">
        <v>36000</v>
      </c>
      <c r="J70" s="72">
        <v>40000</v>
      </c>
      <c r="K70" s="67">
        <f t="shared" si="0"/>
        <v>36714.285714285717</v>
      </c>
      <c r="M70" s="4"/>
      <c r="N70" s="4"/>
    </row>
    <row r="71" spans="1:14" ht="15.75" x14ac:dyDescent="0.25">
      <c r="A71" s="101"/>
      <c r="B71" s="66" t="s">
        <v>68</v>
      </c>
      <c r="C71" s="17" t="s">
        <v>6</v>
      </c>
      <c r="D71" s="9">
        <v>34000</v>
      </c>
      <c r="E71" s="9">
        <v>32000</v>
      </c>
      <c r="F71" s="9">
        <v>33000</v>
      </c>
      <c r="G71" s="9">
        <v>32000</v>
      </c>
      <c r="H71" s="9">
        <v>32000</v>
      </c>
      <c r="I71" s="9">
        <v>32000</v>
      </c>
      <c r="J71" s="72">
        <v>33000</v>
      </c>
      <c r="K71" s="67">
        <f t="shared" si="0"/>
        <v>32571.428571428572</v>
      </c>
      <c r="M71" s="4"/>
      <c r="N71" s="4"/>
    </row>
    <row r="72" spans="1:14" ht="15.75" x14ac:dyDescent="0.25">
      <c r="A72" s="101"/>
      <c r="B72" s="66" t="s">
        <v>69</v>
      </c>
      <c r="C72" s="17" t="s">
        <v>6</v>
      </c>
      <c r="D72" s="9">
        <v>24000</v>
      </c>
      <c r="E72" s="9">
        <v>28000</v>
      </c>
      <c r="F72" s="9">
        <v>24000</v>
      </c>
      <c r="G72" s="9">
        <v>24000</v>
      </c>
      <c r="H72" s="9">
        <v>18000</v>
      </c>
      <c r="I72" s="9">
        <v>25000</v>
      </c>
      <c r="J72" s="72">
        <v>20000</v>
      </c>
      <c r="K72" s="67">
        <f t="shared" si="0"/>
        <v>23285.714285714286</v>
      </c>
      <c r="M72" s="4"/>
      <c r="N72" s="4"/>
    </row>
    <row r="73" spans="1:14" ht="15.75" x14ac:dyDescent="0.25">
      <c r="A73" s="101"/>
      <c r="B73" s="66" t="s">
        <v>70</v>
      </c>
      <c r="C73" s="17" t="s">
        <v>6</v>
      </c>
      <c r="D73" s="9">
        <v>28000</v>
      </c>
      <c r="E73" s="9">
        <v>25000</v>
      </c>
      <c r="F73" s="16">
        <v>28000</v>
      </c>
      <c r="G73" s="8">
        <v>30000</v>
      </c>
      <c r="H73" s="9">
        <v>25000</v>
      </c>
      <c r="I73" s="9">
        <v>25000</v>
      </c>
      <c r="J73" s="72">
        <v>30000</v>
      </c>
      <c r="K73" s="67">
        <f t="shared" si="0"/>
        <v>27285.714285714286</v>
      </c>
      <c r="M73" s="4"/>
      <c r="N73" s="4"/>
    </row>
    <row r="74" spans="1:14" ht="15.75" x14ac:dyDescent="0.25">
      <c r="A74" s="17">
        <v>20</v>
      </c>
      <c r="B74" s="60" t="s">
        <v>71</v>
      </c>
      <c r="C74" s="91"/>
      <c r="D74" s="24"/>
      <c r="E74" s="10"/>
      <c r="F74" s="10"/>
      <c r="G74" s="89"/>
      <c r="H74" s="10"/>
      <c r="I74" s="10"/>
      <c r="J74" s="90"/>
      <c r="K74" s="71"/>
      <c r="M74" s="4"/>
      <c r="N74" s="4"/>
    </row>
    <row r="75" spans="1:14" ht="15.75" x14ac:dyDescent="0.25">
      <c r="A75" s="17"/>
      <c r="B75" s="66" t="s">
        <v>72</v>
      </c>
      <c r="C75" s="86" t="s">
        <v>6</v>
      </c>
      <c r="D75" s="9">
        <v>7000</v>
      </c>
      <c r="E75" s="9">
        <v>7000</v>
      </c>
      <c r="F75" s="9">
        <v>5000</v>
      </c>
      <c r="G75" s="9">
        <v>6000</v>
      </c>
      <c r="H75" s="9">
        <v>5000</v>
      </c>
      <c r="I75" s="9">
        <v>5000</v>
      </c>
      <c r="J75" s="72">
        <v>5000</v>
      </c>
      <c r="K75" s="67">
        <f t="shared" si="0"/>
        <v>5714.2857142857147</v>
      </c>
      <c r="M75" s="4"/>
      <c r="N75" s="4"/>
    </row>
    <row r="76" spans="1:14" ht="15.75" x14ac:dyDescent="0.25">
      <c r="A76" s="17"/>
      <c r="B76" s="66" t="s">
        <v>73</v>
      </c>
      <c r="C76" s="86" t="s">
        <v>6</v>
      </c>
      <c r="D76" s="9">
        <v>7000</v>
      </c>
      <c r="E76" s="9">
        <v>6000</v>
      </c>
      <c r="F76" s="16">
        <v>6000</v>
      </c>
      <c r="G76" s="8">
        <v>6000</v>
      </c>
      <c r="H76" s="9">
        <v>5000</v>
      </c>
      <c r="I76" s="9">
        <v>6000</v>
      </c>
      <c r="J76" s="79">
        <v>6000</v>
      </c>
      <c r="K76" s="67">
        <f t="shared" si="0"/>
        <v>6000</v>
      </c>
      <c r="M76" s="4"/>
      <c r="N76" s="4"/>
    </row>
    <row r="77" spans="1:14" ht="15.75" x14ac:dyDescent="0.25">
      <c r="A77" s="17">
        <v>21</v>
      </c>
      <c r="B77" s="60" t="s">
        <v>74</v>
      </c>
      <c r="C77" s="91"/>
      <c r="D77" s="19"/>
      <c r="E77" s="10"/>
      <c r="F77" s="10"/>
      <c r="G77" s="22"/>
      <c r="H77" s="10"/>
      <c r="I77" s="10"/>
      <c r="J77" s="77"/>
      <c r="K77" s="71"/>
      <c r="M77" s="4"/>
      <c r="N77" s="4"/>
    </row>
    <row r="78" spans="1:14" ht="15.75" x14ac:dyDescent="0.25">
      <c r="A78" s="17"/>
      <c r="B78" s="66" t="s">
        <v>75</v>
      </c>
      <c r="C78" s="86" t="s">
        <v>6</v>
      </c>
      <c r="D78" s="9">
        <v>6000</v>
      </c>
      <c r="E78" s="9">
        <v>8000</v>
      </c>
      <c r="F78" s="9">
        <v>10000</v>
      </c>
      <c r="G78" s="9">
        <v>8000</v>
      </c>
      <c r="H78" s="9">
        <v>6000</v>
      </c>
      <c r="I78" s="16">
        <v>9000</v>
      </c>
      <c r="J78" s="72" t="s">
        <v>99</v>
      </c>
      <c r="K78" s="67">
        <f t="shared" si="0"/>
        <v>7833.333333333333</v>
      </c>
      <c r="M78" s="4"/>
      <c r="N78" s="4"/>
    </row>
    <row r="79" spans="1:14" ht="15.75" x14ac:dyDescent="0.25">
      <c r="A79" s="17"/>
      <c r="B79" s="66" t="s">
        <v>76</v>
      </c>
      <c r="C79" s="86" t="s">
        <v>6</v>
      </c>
      <c r="D79" s="9">
        <v>8000</v>
      </c>
      <c r="E79" s="9">
        <v>10000</v>
      </c>
      <c r="F79" s="9">
        <v>20000</v>
      </c>
      <c r="G79" s="9">
        <v>12000</v>
      </c>
      <c r="H79" s="9">
        <v>6000</v>
      </c>
      <c r="I79" s="16">
        <v>8000</v>
      </c>
      <c r="J79" s="72">
        <v>15000</v>
      </c>
      <c r="K79" s="67">
        <f t="shared" si="0"/>
        <v>11285.714285714286</v>
      </c>
      <c r="M79" s="4"/>
      <c r="N79" s="4"/>
    </row>
    <row r="80" spans="1:14" ht="15.75" x14ac:dyDescent="0.25">
      <c r="A80" s="17"/>
      <c r="B80" s="66" t="s">
        <v>77</v>
      </c>
      <c r="C80" s="86" t="s">
        <v>6</v>
      </c>
      <c r="D80" s="9">
        <v>17000</v>
      </c>
      <c r="E80" s="9">
        <v>16000</v>
      </c>
      <c r="F80" s="9">
        <v>17000</v>
      </c>
      <c r="G80" s="9">
        <v>17000</v>
      </c>
      <c r="H80" s="9">
        <v>15000</v>
      </c>
      <c r="I80" s="9">
        <v>20000</v>
      </c>
      <c r="J80" s="72">
        <v>18000</v>
      </c>
      <c r="K80" s="67">
        <f t="shared" si="0"/>
        <v>17142.857142857141</v>
      </c>
      <c r="M80" s="4"/>
      <c r="N80" s="4"/>
    </row>
    <row r="81" spans="1:14" ht="15.75" x14ac:dyDescent="0.25">
      <c r="A81" s="17"/>
      <c r="B81" s="66" t="s">
        <v>78</v>
      </c>
      <c r="C81" s="86" t="s">
        <v>6</v>
      </c>
      <c r="D81" s="9">
        <v>18000</v>
      </c>
      <c r="E81" s="9">
        <v>15000</v>
      </c>
      <c r="F81" s="9">
        <v>10000</v>
      </c>
      <c r="G81" s="9">
        <v>15000</v>
      </c>
      <c r="H81" s="9">
        <v>20000</v>
      </c>
      <c r="I81" s="8">
        <v>22000</v>
      </c>
      <c r="J81" s="72">
        <v>20000</v>
      </c>
      <c r="K81" s="67">
        <f t="shared" ref="K81:K88" si="1">AVERAGE(D81:J81)</f>
        <v>17142.857142857141</v>
      </c>
      <c r="M81" s="4"/>
      <c r="N81" s="4"/>
    </row>
    <row r="82" spans="1:14" ht="15.75" x14ac:dyDescent="0.25">
      <c r="A82" s="17"/>
      <c r="B82" s="66" t="s">
        <v>79</v>
      </c>
      <c r="C82" s="86" t="s">
        <v>6</v>
      </c>
      <c r="D82" s="9">
        <v>14000</v>
      </c>
      <c r="E82" s="9">
        <v>12000</v>
      </c>
      <c r="F82" s="9">
        <v>14000</v>
      </c>
      <c r="G82" s="9">
        <v>12000</v>
      </c>
      <c r="H82" s="9">
        <v>10000</v>
      </c>
      <c r="I82" s="9">
        <v>16000</v>
      </c>
      <c r="J82" s="72">
        <v>15000</v>
      </c>
      <c r="K82" s="67">
        <f t="shared" si="1"/>
        <v>13285.714285714286</v>
      </c>
      <c r="M82" s="4"/>
      <c r="N82" s="4"/>
    </row>
    <row r="83" spans="1:14" ht="15.75" x14ac:dyDescent="0.25">
      <c r="A83" s="17"/>
      <c r="B83" s="66" t="s">
        <v>80</v>
      </c>
      <c r="C83" s="86" t="s">
        <v>6</v>
      </c>
      <c r="D83" s="9">
        <v>9000</v>
      </c>
      <c r="E83" s="9">
        <v>8000</v>
      </c>
      <c r="F83" s="16">
        <v>9000</v>
      </c>
      <c r="G83" s="8">
        <v>8000</v>
      </c>
      <c r="H83" s="9">
        <v>7000</v>
      </c>
      <c r="I83" s="16">
        <v>9000</v>
      </c>
      <c r="J83" s="72">
        <v>8000</v>
      </c>
      <c r="K83" s="67">
        <f t="shared" si="1"/>
        <v>8285.7142857142862</v>
      </c>
      <c r="M83" s="4"/>
      <c r="N83" s="4"/>
    </row>
    <row r="84" spans="1:14" ht="15.75" x14ac:dyDescent="0.25">
      <c r="A84" s="17"/>
      <c r="B84" s="66" t="s">
        <v>81</v>
      </c>
      <c r="C84" s="86" t="s">
        <v>82</v>
      </c>
      <c r="D84" s="9">
        <v>2000</v>
      </c>
      <c r="E84" s="9">
        <v>1500</v>
      </c>
      <c r="F84" s="9">
        <v>2000</v>
      </c>
      <c r="G84" s="8">
        <v>2000</v>
      </c>
      <c r="H84" s="9">
        <v>1500</v>
      </c>
      <c r="I84" s="9">
        <v>2000</v>
      </c>
      <c r="J84" s="79">
        <v>1500</v>
      </c>
      <c r="K84" s="67">
        <f t="shared" si="1"/>
        <v>1785.7142857142858</v>
      </c>
      <c r="L84" s="4"/>
      <c r="M84" s="4"/>
      <c r="N84" s="4"/>
    </row>
    <row r="85" spans="1:14" x14ac:dyDescent="0.25">
      <c r="A85" s="17"/>
      <c r="B85" s="66" t="s">
        <v>83</v>
      </c>
      <c r="C85" s="86" t="s">
        <v>82</v>
      </c>
      <c r="D85" s="9">
        <v>1500</v>
      </c>
      <c r="E85" s="9">
        <v>1500</v>
      </c>
      <c r="F85" s="9">
        <v>1500</v>
      </c>
      <c r="G85" s="8">
        <v>2000</v>
      </c>
      <c r="H85" s="9">
        <v>1500</v>
      </c>
      <c r="I85" s="9">
        <v>1500</v>
      </c>
      <c r="J85" s="79">
        <v>1000</v>
      </c>
      <c r="K85" s="67">
        <f t="shared" si="1"/>
        <v>1500</v>
      </c>
    </row>
    <row r="86" spans="1:14" x14ac:dyDescent="0.25">
      <c r="A86" s="17"/>
      <c r="B86" s="66" t="s">
        <v>84</v>
      </c>
      <c r="C86" s="86" t="s">
        <v>82</v>
      </c>
      <c r="D86" s="9" t="s">
        <v>99</v>
      </c>
      <c r="E86" s="9">
        <v>2000</v>
      </c>
      <c r="F86" s="9" t="s">
        <v>99</v>
      </c>
      <c r="G86" s="8" t="s">
        <v>99</v>
      </c>
      <c r="H86" s="9">
        <v>2500</v>
      </c>
      <c r="I86" s="9" t="s">
        <v>99</v>
      </c>
      <c r="J86" s="79">
        <v>2000</v>
      </c>
      <c r="K86" s="67">
        <f t="shared" si="1"/>
        <v>2166.6666666666665</v>
      </c>
    </row>
    <row r="87" spans="1:14" x14ac:dyDescent="0.25">
      <c r="A87" s="17">
        <v>22</v>
      </c>
      <c r="B87" s="60" t="s">
        <v>85</v>
      </c>
      <c r="C87" s="91"/>
      <c r="D87" s="22"/>
      <c r="E87" s="10"/>
      <c r="F87" s="10" t="s">
        <v>102</v>
      </c>
      <c r="G87" s="22"/>
      <c r="H87" s="10"/>
      <c r="I87" s="10"/>
      <c r="J87" s="77"/>
      <c r="K87" s="71"/>
    </row>
    <row r="88" spans="1:14" x14ac:dyDescent="0.25">
      <c r="A88" s="17"/>
      <c r="B88" s="66" t="s">
        <v>86</v>
      </c>
      <c r="C88" s="86" t="s">
        <v>87</v>
      </c>
      <c r="D88" s="9" t="s">
        <v>99</v>
      </c>
      <c r="E88" s="9" t="s">
        <v>99</v>
      </c>
      <c r="F88" s="9">
        <v>18000</v>
      </c>
      <c r="G88" s="8">
        <v>17000</v>
      </c>
      <c r="H88" s="10" t="s">
        <v>99</v>
      </c>
      <c r="I88" s="16">
        <v>18000</v>
      </c>
      <c r="J88" s="79">
        <v>18000</v>
      </c>
      <c r="K88" s="67">
        <f t="shared" si="1"/>
        <v>17750</v>
      </c>
    </row>
  </sheetData>
  <mergeCells count="28">
    <mergeCell ref="A43:A45"/>
    <mergeCell ref="A69:A73"/>
    <mergeCell ref="A46:A48"/>
    <mergeCell ref="A52:A53"/>
    <mergeCell ref="A54:A55"/>
    <mergeCell ref="A56:A60"/>
    <mergeCell ref="A63:A66"/>
    <mergeCell ref="A19:A20"/>
    <mergeCell ref="A21:A25"/>
    <mergeCell ref="A26:A32"/>
    <mergeCell ref="A33:A35"/>
    <mergeCell ref="I4:I6"/>
    <mergeCell ref="A7:A12"/>
    <mergeCell ref="A13:A15"/>
    <mergeCell ref="A16:A17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</mergeCells>
  <pageMargins left="0.7" right="0.7" top="0.75" bottom="0.75" header="0.3" footer="0.3"/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4F689-BDF5-4AAD-9E07-20CB567D5C71}">
  <dimension ref="A1:N88"/>
  <sheetViews>
    <sheetView workbookViewId="0">
      <selection activeCell="K11" sqref="K11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02" t="s">
        <v>88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M1" s="4"/>
      <c r="N1" s="4"/>
    </row>
    <row r="2" spans="1:14" ht="27.75" customHeight="1" x14ac:dyDescent="0.25">
      <c r="A2" s="103" t="s">
        <v>89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M2" s="4"/>
      <c r="N2" s="4"/>
    </row>
    <row r="3" spans="1:14" ht="27.75" customHeight="1" thickBot="1" x14ac:dyDescent="0.3">
      <c r="A3" s="104" t="s">
        <v>145</v>
      </c>
      <c r="B3" s="104"/>
      <c r="C3" s="104"/>
      <c r="D3" s="104"/>
      <c r="E3" s="104"/>
      <c r="F3" s="104"/>
      <c r="G3" s="104"/>
      <c r="H3" s="104"/>
      <c r="I3" s="104"/>
      <c r="J3" s="104"/>
      <c r="K3" s="105"/>
      <c r="M3" s="4"/>
      <c r="N3" s="4"/>
    </row>
    <row r="4" spans="1:14" ht="25.5" customHeight="1" x14ac:dyDescent="0.25">
      <c r="A4" s="96" t="s">
        <v>1</v>
      </c>
      <c r="B4" s="99" t="s">
        <v>2</v>
      </c>
      <c r="C4" s="96" t="s">
        <v>90</v>
      </c>
      <c r="D4" s="110" t="s">
        <v>91</v>
      </c>
      <c r="E4" s="113" t="s">
        <v>92</v>
      </c>
      <c r="F4" s="125" t="s">
        <v>93</v>
      </c>
      <c r="G4" s="128" t="s">
        <v>94</v>
      </c>
      <c r="H4" s="116" t="s">
        <v>95</v>
      </c>
      <c r="I4" s="119" t="s">
        <v>96</v>
      </c>
      <c r="J4" s="106" t="s">
        <v>97</v>
      </c>
      <c r="K4" s="122" t="s">
        <v>98</v>
      </c>
      <c r="M4" s="4"/>
      <c r="N4" s="4"/>
    </row>
    <row r="5" spans="1:14" ht="15" customHeight="1" x14ac:dyDescent="0.25">
      <c r="A5" s="97"/>
      <c r="B5" s="100"/>
      <c r="C5" s="97"/>
      <c r="D5" s="111"/>
      <c r="E5" s="114"/>
      <c r="F5" s="126"/>
      <c r="G5" s="129"/>
      <c r="H5" s="117"/>
      <c r="I5" s="120"/>
      <c r="J5" s="107"/>
      <c r="K5" s="123"/>
      <c r="M5" s="4"/>
      <c r="N5" s="4"/>
    </row>
    <row r="6" spans="1:14" ht="16.5" thickBot="1" x14ac:dyDescent="0.3">
      <c r="A6" s="98"/>
      <c r="B6" s="109"/>
      <c r="C6" s="98"/>
      <c r="D6" s="112"/>
      <c r="E6" s="115"/>
      <c r="F6" s="127"/>
      <c r="G6" s="130"/>
      <c r="H6" s="118"/>
      <c r="I6" s="121"/>
      <c r="J6" s="108"/>
      <c r="K6" s="124"/>
      <c r="M6" s="4"/>
      <c r="N6" s="4"/>
    </row>
    <row r="7" spans="1:14" ht="15.75" x14ac:dyDescent="0.25">
      <c r="A7" s="101">
        <v>1</v>
      </c>
      <c r="B7" s="60" t="s">
        <v>4</v>
      </c>
      <c r="C7" s="61"/>
      <c r="D7" s="62"/>
      <c r="E7" s="17" t="s">
        <v>102</v>
      </c>
      <c r="F7" s="17"/>
      <c r="G7" s="63"/>
      <c r="H7" s="63" t="s">
        <v>1</v>
      </c>
      <c r="I7" s="64"/>
      <c r="J7" s="63"/>
      <c r="K7" s="65"/>
      <c r="M7" s="4"/>
      <c r="N7" s="4"/>
    </row>
    <row r="8" spans="1:14" ht="15.75" x14ac:dyDescent="0.25">
      <c r="A8" s="101"/>
      <c r="B8" s="66" t="s">
        <v>107</v>
      </c>
      <c r="C8" s="17" t="s">
        <v>6</v>
      </c>
      <c r="D8" s="9">
        <v>15500</v>
      </c>
      <c r="E8" s="9">
        <v>15500</v>
      </c>
      <c r="F8" s="9">
        <v>15500</v>
      </c>
      <c r="G8" s="9">
        <v>15500</v>
      </c>
      <c r="H8" s="9">
        <v>17000</v>
      </c>
      <c r="I8" s="9">
        <v>17000</v>
      </c>
      <c r="J8" s="16">
        <v>17000</v>
      </c>
      <c r="K8" s="67">
        <f>AVERAGE(D8:J8)</f>
        <v>16142.857142857143</v>
      </c>
      <c r="L8" s="1"/>
      <c r="M8" s="7"/>
      <c r="N8" s="4"/>
    </row>
    <row r="9" spans="1:14" ht="15.75" x14ac:dyDescent="0.25">
      <c r="A9" s="101"/>
      <c r="B9" s="66" t="s">
        <v>115</v>
      </c>
      <c r="C9" s="17" t="s">
        <v>6</v>
      </c>
      <c r="D9" s="9">
        <v>10900</v>
      </c>
      <c r="E9" s="9">
        <v>10900</v>
      </c>
      <c r="F9" s="9">
        <v>10900</v>
      </c>
      <c r="G9" s="8">
        <v>10900</v>
      </c>
      <c r="H9" s="9">
        <v>12000</v>
      </c>
      <c r="I9" s="9">
        <v>15000</v>
      </c>
      <c r="J9" s="16" t="s">
        <v>99</v>
      </c>
      <c r="K9" s="67">
        <f t="shared" ref="K9:K80" si="0">AVERAGE(D9:J9)</f>
        <v>11766.666666666666</v>
      </c>
      <c r="M9" s="4"/>
      <c r="N9" s="4"/>
    </row>
    <row r="10" spans="1:14" ht="15.75" x14ac:dyDescent="0.25">
      <c r="A10" s="101"/>
      <c r="B10" s="66" t="s">
        <v>108</v>
      </c>
      <c r="C10" s="17" t="s">
        <v>6</v>
      </c>
      <c r="D10" s="9" t="s">
        <v>99</v>
      </c>
      <c r="E10" s="9" t="s">
        <v>99</v>
      </c>
      <c r="F10" s="9" t="s">
        <v>99</v>
      </c>
      <c r="G10" s="8" t="s">
        <v>99</v>
      </c>
      <c r="H10" s="9" t="s">
        <v>99</v>
      </c>
      <c r="I10" s="9" t="s">
        <v>99</v>
      </c>
      <c r="J10" s="16" t="s">
        <v>99</v>
      </c>
      <c r="K10" s="67">
        <v>0</v>
      </c>
      <c r="M10" s="4"/>
      <c r="N10" s="4"/>
    </row>
    <row r="11" spans="1:14" ht="15.75" x14ac:dyDescent="0.25">
      <c r="A11" s="101"/>
      <c r="B11" s="66" t="s">
        <v>9</v>
      </c>
      <c r="C11" s="17" t="s">
        <v>6</v>
      </c>
      <c r="D11" s="9" t="s">
        <v>99</v>
      </c>
      <c r="E11" s="9">
        <v>10000</v>
      </c>
      <c r="F11" s="16">
        <v>12000</v>
      </c>
      <c r="G11" s="8">
        <v>10000</v>
      </c>
      <c r="H11" s="9">
        <v>10000</v>
      </c>
      <c r="I11" s="16">
        <v>12000</v>
      </c>
      <c r="J11" s="16">
        <v>10000</v>
      </c>
      <c r="K11" s="67">
        <f>AVERAGE(D11:J11)</f>
        <v>10666.666666666666</v>
      </c>
      <c r="M11" s="4"/>
      <c r="N11" s="4"/>
    </row>
    <row r="12" spans="1:14" ht="15.75" x14ac:dyDescent="0.25">
      <c r="A12" s="101"/>
      <c r="B12" s="66" t="s">
        <v>10</v>
      </c>
      <c r="C12" s="17" t="s">
        <v>6</v>
      </c>
      <c r="D12" s="9" t="s">
        <v>99</v>
      </c>
      <c r="E12" s="9">
        <v>21000</v>
      </c>
      <c r="F12" s="16">
        <v>16000</v>
      </c>
      <c r="G12" s="8">
        <v>18000</v>
      </c>
      <c r="H12" s="9">
        <v>25000</v>
      </c>
      <c r="I12" s="16">
        <v>17000</v>
      </c>
      <c r="J12" s="16">
        <v>17000</v>
      </c>
      <c r="K12" s="67">
        <f t="shared" si="0"/>
        <v>19000</v>
      </c>
      <c r="M12" s="4"/>
      <c r="N12" s="12"/>
    </row>
    <row r="13" spans="1:14" ht="15.75" x14ac:dyDescent="0.25">
      <c r="A13" s="101">
        <v>2</v>
      </c>
      <c r="B13" s="60" t="s">
        <v>11</v>
      </c>
      <c r="C13" s="68"/>
      <c r="D13" s="62"/>
      <c r="E13" s="92"/>
      <c r="F13" s="17"/>
      <c r="G13" s="70"/>
      <c r="H13" s="70"/>
      <c r="I13" s="70"/>
      <c r="J13" s="70"/>
      <c r="K13" s="71"/>
      <c r="M13" s="4"/>
      <c r="N13" s="4"/>
    </row>
    <row r="14" spans="1:14" ht="15.75" x14ac:dyDescent="0.25">
      <c r="A14" s="101"/>
      <c r="B14" s="66" t="s">
        <v>116</v>
      </c>
      <c r="C14" s="17" t="s">
        <v>6</v>
      </c>
      <c r="D14" s="9">
        <v>16000</v>
      </c>
      <c r="E14" s="9">
        <v>16500</v>
      </c>
      <c r="F14" s="9">
        <v>17000</v>
      </c>
      <c r="G14" s="16">
        <v>16000</v>
      </c>
      <c r="H14" s="9">
        <v>16500</v>
      </c>
      <c r="I14" s="9">
        <v>16500</v>
      </c>
      <c r="J14" s="72">
        <v>16500</v>
      </c>
      <c r="K14" s="67">
        <f t="shared" si="0"/>
        <v>16428.571428571428</v>
      </c>
      <c r="M14" s="4"/>
      <c r="N14" s="4"/>
    </row>
    <row r="15" spans="1:14" ht="15.75" x14ac:dyDescent="0.25">
      <c r="A15" s="101"/>
      <c r="B15" s="66" t="s">
        <v>13</v>
      </c>
      <c r="C15" s="17" t="s">
        <v>6</v>
      </c>
      <c r="D15" s="9">
        <v>17000</v>
      </c>
      <c r="E15" s="9">
        <v>16000</v>
      </c>
      <c r="F15" s="16">
        <v>16000</v>
      </c>
      <c r="G15" s="8">
        <v>16000</v>
      </c>
      <c r="H15" s="9">
        <v>17000</v>
      </c>
      <c r="I15" s="9">
        <v>18000</v>
      </c>
      <c r="J15" s="72">
        <v>18000</v>
      </c>
      <c r="K15" s="67">
        <f>AVERAGE(D15:J15)</f>
        <v>16857.142857142859</v>
      </c>
      <c r="M15" s="4"/>
      <c r="N15" s="4"/>
    </row>
    <row r="16" spans="1:14" ht="15.75" x14ac:dyDescent="0.25">
      <c r="A16" s="101">
        <v>3</v>
      </c>
      <c r="B16" s="60" t="s">
        <v>14</v>
      </c>
      <c r="C16" s="73"/>
      <c r="D16" s="74"/>
      <c r="E16" s="15"/>
      <c r="F16" s="15"/>
      <c r="G16" s="15"/>
      <c r="H16" s="15"/>
      <c r="I16" s="15" t="s">
        <v>130</v>
      </c>
      <c r="J16" s="75"/>
      <c r="K16" s="71"/>
      <c r="M16" s="4"/>
      <c r="N16" s="4"/>
    </row>
    <row r="17" spans="1:14" ht="15.75" x14ac:dyDescent="0.25">
      <c r="A17" s="101"/>
      <c r="B17" s="66" t="s">
        <v>15</v>
      </c>
      <c r="C17" s="17" t="s">
        <v>6</v>
      </c>
      <c r="D17" s="9">
        <v>15000</v>
      </c>
      <c r="E17" s="9">
        <v>15000</v>
      </c>
      <c r="F17" s="9">
        <v>16000</v>
      </c>
      <c r="G17" s="9">
        <v>15000</v>
      </c>
      <c r="H17" s="9">
        <v>16000</v>
      </c>
      <c r="I17" s="9">
        <v>16000</v>
      </c>
      <c r="J17" s="72">
        <v>16000</v>
      </c>
      <c r="K17" s="67">
        <f t="shared" si="0"/>
        <v>15571.428571428571</v>
      </c>
      <c r="M17" s="4"/>
      <c r="N17" s="4"/>
    </row>
    <row r="18" spans="1:14" ht="15.75" x14ac:dyDescent="0.25">
      <c r="A18" s="59"/>
      <c r="B18" s="66" t="s">
        <v>109</v>
      </c>
      <c r="C18" s="17" t="s">
        <v>110</v>
      </c>
      <c r="D18" s="9">
        <v>14000</v>
      </c>
      <c r="E18" s="9">
        <v>14000</v>
      </c>
      <c r="F18" s="9">
        <v>14000</v>
      </c>
      <c r="G18" s="9">
        <v>14000</v>
      </c>
      <c r="H18" s="9" t="s">
        <v>99</v>
      </c>
      <c r="I18" s="9">
        <v>14000</v>
      </c>
      <c r="J18" s="72">
        <v>14000</v>
      </c>
      <c r="K18" s="67">
        <f t="shared" si="0"/>
        <v>14000</v>
      </c>
      <c r="M18" s="4"/>
      <c r="N18" s="4"/>
    </row>
    <row r="19" spans="1:14" ht="17.25" customHeight="1" x14ac:dyDescent="0.25">
      <c r="A19" s="101">
        <v>4</v>
      </c>
      <c r="B19" s="60" t="s">
        <v>16</v>
      </c>
      <c r="C19" s="73"/>
      <c r="D19" s="74"/>
      <c r="E19" s="15"/>
      <c r="F19" s="15"/>
      <c r="G19" s="76"/>
      <c r="H19" s="15"/>
      <c r="I19" s="15"/>
      <c r="J19" s="75"/>
      <c r="K19" s="71"/>
      <c r="M19" s="4"/>
      <c r="N19" s="4"/>
    </row>
    <row r="20" spans="1:14" ht="15.75" x14ac:dyDescent="0.25">
      <c r="A20" s="101"/>
      <c r="B20" s="66" t="s">
        <v>17</v>
      </c>
      <c r="C20" s="17" t="s">
        <v>6</v>
      </c>
      <c r="D20" s="9">
        <v>20000</v>
      </c>
      <c r="E20" s="9">
        <v>20000</v>
      </c>
      <c r="F20" s="16">
        <v>20000</v>
      </c>
      <c r="G20" s="8">
        <v>22000</v>
      </c>
      <c r="H20" s="16">
        <v>33000</v>
      </c>
      <c r="I20" s="16">
        <v>20000</v>
      </c>
      <c r="J20" s="77" t="s">
        <v>99</v>
      </c>
      <c r="K20" s="67">
        <f t="shared" si="0"/>
        <v>22500</v>
      </c>
      <c r="M20" s="4"/>
      <c r="N20" s="4"/>
    </row>
    <row r="21" spans="1:14" ht="15.75" x14ac:dyDescent="0.25">
      <c r="A21" s="101">
        <v>5</v>
      </c>
      <c r="B21" s="60" t="s">
        <v>18</v>
      </c>
      <c r="C21" s="73"/>
      <c r="D21" s="74"/>
      <c r="E21" s="17"/>
      <c r="F21" s="15" t="s">
        <v>1</v>
      </c>
      <c r="G21" s="76"/>
      <c r="H21" s="15"/>
      <c r="I21" s="15"/>
      <c r="J21" s="75"/>
      <c r="K21" s="71"/>
      <c r="M21" s="4"/>
      <c r="N21" s="4"/>
    </row>
    <row r="22" spans="1:14" ht="15.75" x14ac:dyDescent="0.25">
      <c r="A22" s="101"/>
      <c r="B22" s="66" t="s">
        <v>19</v>
      </c>
      <c r="C22" s="17" t="s">
        <v>6</v>
      </c>
      <c r="D22" s="9">
        <v>120000</v>
      </c>
      <c r="E22" s="9">
        <v>120000</v>
      </c>
      <c r="F22" s="9">
        <v>120000</v>
      </c>
      <c r="G22" s="9">
        <v>120000</v>
      </c>
      <c r="H22" s="9">
        <v>120000</v>
      </c>
      <c r="I22" s="8">
        <v>120000</v>
      </c>
      <c r="J22" s="72" t="s">
        <v>99</v>
      </c>
      <c r="K22" s="67">
        <f t="shared" si="0"/>
        <v>120000</v>
      </c>
      <c r="M22" s="4"/>
      <c r="N22" s="4"/>
    </row>
    <row r="23" spans="1:14" ht="15.75" x14ac:dyDescent="0.25">
      <c r="A23" s="101"/>
      <c r="B23" s="66" t="s">
        <v>20</v>
      </c>
      <c r="C23" s="17" t="s">
        <v>6</v>
      </c>
      <c r="D23" s="9">
        <v>110000</v>
      </c>
      <c r="E23" s="9">
        <v>110000</v>
      </c>
      <c r="F23" s="9">
        <v>110000</v>
      </c>
      <c r="G23" s="9">
        <v>110000</v>
      </c>
      <c r="H23" s="9">
        <v>115000</v>
      </c>
      <c r="I23" s="9">
        <v>110000</v>
      </c>
      <c r="J23" s="72">
        <v>110000</v>
      </c>
      <c r="K23" s="67">
        <f t="shared" si="0"/>
        <v>110714.28571428571</v>
      </c>
      <c r="M23" s="4"/>
      <c r="N23" s="4"/>
    </row>
    <row r="24" spans="1:14" ht="15.75" x14ac:dyDescent="0.25">
      <c r="A24" s="101"/>
      <c r="B24" s="66" t="s">
        <v>21</v>
      </c>
      <c r="C24" s="17" t="s">
        <v>6</v>
      </c>
      <c r="D24" s="9">
        <v>90000</v>
      </c>
      <c r="E24" s="9">
        <v>90000</v>
      </c>
      <c r="F24" s="9">
        <v>100000</v>
      </c>
      <c r="G24" s="9">
        <v>105000</v>
      </c>
      <c r="H24" s="9">
        <v>110000</v>
      </c>
      <c r="I24" s="8">
        <v>100000</v>
      </c>
      <c r="J24" s="72">
        <v>105000</v>
      </c>
      <c r="K24" s="67">
        <f t="shared" si="0"/>
        <v>100000</v>
      </c>
      <c r="M24" s="4"/>
      <c r="N24" s="4"/>
    </row>
    <row r="25" spans="1:14" ht="15.75" x14ac:dyDescent="0.25">
      <c r="A25" s="101"/>
      <c r="B25" s="66" t="s">
        <v>22</v>
      </c>
      <c r="C25" s="17" t="s">
        <v>6</v>
      </c>
      <c r="D25" s="9">
        <v>34000</v>
      </c>
      <c r="E25" s="9">
        <v>31000</v>
      </c>
      <c r="F25" s="9">
        <v>34000</v>
      </c>
      <c r="G25" s="9">
        <v>33000</v>
      </c>
      <c r="H25" s="72">
        <v>33000</v>
      </c>
      <c r="I25" s="9">
        <v>33000</v>
      </c>
      <c r="J25" s="72">
        <v>35000</v>
      </c>
      <c r="K25" s="67">
        <f t="shared" si="0"/>
        <v>33285.714285714283</v>
      </c>
      <c r="M25" s="4"/>
      <c r="N25" s="4"/>
    </row>
    <row r="26" spans="1:14" ht="15.75" x14ac:dyDescent="0.25">
      <c r="A26" s="101">
        <v>6</v>
      </c>
      <c r="B26" s="60" t="s">
        <v>23</v>
      </c>
      <c r="C26" s="73"/>
      <c r="D26" s="74"/>
      <c r="E26" s="17"/>
      <c r="F26" s="76"/>
      <c r="G26" s="15"/>
      <c r="H26" s="75"/>
      <c r="I26" s="15"/>
      <c r="J26" s="75"/>
      <c r="K26" s="71"/>
      <c r="M26" s="4"/>
      <c r="N26" s="4"/>
    </row>
    <row r="27" spans="1:14" ht="15.75" x14ac:dyDescent="0.25">
      <c r="A27" s="101"/>
      <c r="B27" s="66" t="s">
        <v>24</v>
      </c>
      <c r="C27" s="17" t="s">
        <v>6</v>
      </c>
      <c r="D27" s="9">
        <v>32000</v>
      </c>
      <c r="E27" s="9">
        <v>35000</v>
      </c>
      <c r="F27" s="9" t="s">
        <v>99</v>
      </c>
      <c r="G27" s="9">
        <v>40000</v>
      </c>
      <c r="H27" s="9">
        <v>30000</v>
      </c>
      <c r="I27" s="9" t="s">
        <v>99</v>
      </c>
      <c r="J27" s="72">
        <v>30000</v>
      </c>
      <c r="K27" s="67">
        <f t="shared" si="0"/>
        <v>33400</v>
      </c>
      <c r="L27" t="s">
        <v>100</v>
      </c>
      <c r="M27" s="4"/>
      <c r="N27" s="4"/>
    </row>
    <row r="28" spans="1:14" ht="15.75" x14ac:dyDescent="0.25">
      <c r="A28" s="101"/>
      <c r="B28" s="66" t="s">
        <v>25</v>
      </c>
      <c r="C28" s="17" t="s">
        <v>6</v>
      </c>
      <c r="D28" s="9">
        <v>30000</v>
      </c>
      <c r="E28" s="9">
        <v>28000</v>
      </c>
      <c r="F28" s="9">
        <v>35000</v>
      </c>
      <c r="G28" s="8">
        <v>30000</v>
      </c>
      <c r="H28" s="9">
        <v>22000</v>
      </c>
      <c r="I28" s="9">
        <v>30000</v>
      </c>
      <c r="J28" s="78">
        <v>30000</v>
      </c>
      <c r="K28" s="67">
        <f t="shared" si="0"/>
        <v>29285.714285714286</v>
      </c>
      <c r="M28" s="4"/>
      <c r="N28" s="4"/>
    </row>
    <row r="29" spans="1:14" ht="15.75" x14ac:dyDescent="0.25">
      <c r="A29" s="101"/>
      <c r="B29" s="66" t="s">
        <v>26</v>
      </c>
      <c r="C29" s="17" t="s">
        <v>6</v>
      </c>
      <c r="D29" s="9">
        <v>60000</v>
      </c>
      <c r="E29" s="9">
        <v>60000</v>
      </c>
      <c r="F29" s="16">
        <v>60000</v>
      </c>
      <c r="G29" s="8">
        <v>70000</v>
      </c>
      <c r="H29" s="9">
        <v>65000</v>
      </c>
      <c r="I29" s="9">
        <v>60000</v>
      </c>
      <c r="J29" s="79">
        <v>60000</v>
      </c>
      <c r="K29" s="67">
        <f t="shared" si="0"/>
        <v>62142.857142857145</v>
      </c>
      <c r="M29" s="4"/>
      <c r="N29" s="4"/>
    </row>
    <row r="30" spans="1:14" ht="15.75" x14ac:dyDescent="0.25">
      <c r="A30" s="101"/>
      <c r="B30" s="66" t="s">
        <v>27</v>
      </c>
      <c r="C30" s="17" t="s">
        <v>6</v>
      </c>
      <c r="D30" s="9">
        <v>25000</v>
      </c>
      <c r="E30" s="9" t="s">
        <v>99</v>
      </c>
      <c r="F30" s="10" t="s">
        <v>99</v>
      </c>
      <c r="G30" s="8">
        <v>25000</v>
      </c>
      <c r="H30" s="9">
        <v>23000</v>
      </c>
      <c r="I30" s="9" t="s">
        <v>99</v>
      </c>
      <c r="J30" s="79">
        <v>26000</v>
      </c>
      <c r="K30" s="67">
        <f t="shared" si="0"/>
        <v>24750</v>
      </c>
      <c r="M30" s="4"/>
      <c r="N30" s="4"/>
    </row>
    <row r="31" spans="1:14" ht="15.75" x14ac:dyDescent="0.25">
      <c r="A31" s="101"/>
      <c r="B31" s="66" t="s">
        <v>28</v>
      </c>
      <c r="C31" s="17" t="s">
        <v>6</v>
      </c>
      <c r="D31" s="9">
        <v>32000</v>
      </c>
      <c r="E31" s="9">
        <v>36000</v>
      </c>
      <c r="F31" s="9">
        <v>40000</v>
      </c>
      <c r="G31" s="9">
        <v>40000</v>
      </c>
      <c r="H31" s="9">
        <v>30000</v>
      </c>
      <c r="I31" s="9">
        <v>40000</v>
      </c>
      <c r="J31" s="72">
        <v>35000</v>
      </c>
      <c r="K31" s="67">
        <f t="shared" si="0"/>
        <v>36142.857142857145</v>
      </c>
      <c r="M31" s="4"/>
      <c r="N31" s="4"/>
    </row>
    <row r="32" spans="1:14" ht="15.75" x14ac:dyDescent="0.25">
      <c r="A32" s="101"/>
      <c r="B32" s="66" t="s">
        <v>29</v>
      </c>
      <c r="C32" s="17" t="s">
        <v>6</v>
      </c>
      <c r="D32" s="9" t="s">
        <v>99</v>
      </c>
      <c r="E32" s="9">
        <v>100000</v>
      </c>
      <c r="F32" s="9">
        <v>100000</v>
      </c>
      <c r="G32" s="9" t="s">
        <v>99</v>
      </c>
      <c r="H32" s="9">
        <v>80000</v>
      </c>
      <c r="I32" s="9">
        <v>100000</v>
      </c>
      <c r="J32" s="79">
        <v>70000</v>
      </c>
      <c r="K32" s="67">
        <f t="shared" si="0"/>
        <v>90000</v>
      </c>
      <c r="M32" s="4"/>
      <c r="N32" s="4"/>
    </row>
    <row r="33" spans="1:14" ht="15.75" x14ac:dyDescent="0.25">
      <c r="A33" s="101">
        <v>7</v>
      </c>
      <c r="B33" s="60" t="s">
        <v>30</v>
      </c>
      <c r="C33" s="73"/>
      <c r="D33" s="74"/>
      <c r="E33" s="17"/>
      <c r="F33" s="76"/>
      <c r="G33" s="76"/>
      <c r="H33" s="15"/>
      <c r="I33" s="15"/>
      <c r="J33" s="75"/>
      <c r="K33" s="71"/>
      <c r="M33" s="4"/>
      <c r="N33" s="4"/>
    </row>
    <row r="34" spans="1:14" ht="15.75" x14ac:dyDescent="0.25">
      <c r="A34" s="101"/>
      <c r="B34" s="66" t="s">
        <v>31</v>
      </c>
      <c r="C34" s="17" t="s">
        <v>6</v>
      </c>
      <c r="D34" s="9">
        <v>27000</v>
      </c>
      <c r="E34" s="9">
        <v>27000</v>
      </c>
      <c r="F34" s="9">
        <v>28000</v>
      </c>
      <c r="G34" s="9">
        <v>27000</v>
      </c>
      <c r="H34" s="9">
        <v>28000</v>
      </c>
      <c r="I34" s="9">
        <v>30000</v>
      </c>
      <c r="J34" s="72">
        <v>29000</v>
      </c>
      <c r="K34" s="67">
        <f t="shared" si="0"/>
        <v>28000</v>
      </c>
      <c r="M34" s="4"/>
      <c r="N34" s="4"/>
    </row>
    <row r="35" spans="1:14" ht="15.75" x14ac:dyDescent="0.25">
      <c r="A35" s="101"/>
      <c r="B35" s="66" t="s">
        <v>32</v>
      </c>
      <c r="C35" s="17" t="s">
        <v>33</v>
      </c>
      <c r="D35" s="9">
        <v>3000</v>
      </c>
      <c r="E35" s="9">
        <v>2500</v>
      </c>
      <c r="F35" s="9">
        <v>2500</v>
      </c>
      <c r="G35" s="9">
        <v>2800</v>
      </c>
      <c r="H35" s="9">
        <v>2600</v>
      </c>
      <c r="I35" s="9">
        <v>3000</v>
      </c>
      <c r="J35" s="72">
        <v>3000</v>
      </c>
      <c r="K35" s="67">
        <f t="shared" si="0"/>
        <v>2771.4285714285716</v>
      </c>
      <c r="M35" s="4"/>
      <c r="N35" s="4"/>
    </row>
    <row r="36" spans="1:14" ht="15.75" x14ac:dyDescent="0.25">
      <c r="A36" s="59">
        <v>8</v>
      </c>
      <c r="B36" s="73" t="s">
        <v>117</v>
      </c>
      <c r="C36" s="80"/>
      <c r="D36" s="9"/>
      <c r="E36" s="9"/>
      <c r="F36" s="9"/>
      <c r="G36" s="9"/>
      <c r="H36" s="9"/>
      <c r="I36" s="9"/>
      <c r="J36" s="72"/>
      <c r="K36" s="81"/>
      <c r="M36" s="4"/>
      <c r="N36" s="4"/>
    </row>
    <row r="37" spans="1:14" ht="15.75" x14ac:dyDescent="0.25">
      <c r="A37" s="59"/>
      <c r="B37" s="66" t="s">
        <v>118</v>
      </c>
      <c r="C37" s="17" t="s">
        <v>6</v>
      </c>
      <c r="D37" s="9">
        <v>10000</v>
      </c>
      <c r="E37" s="9">
        <v>1250</v>
      </c>
      <c r="F37" s="9">
        <v>9000</v>
      </c>
      <c r="G37" s="9">
        <v>9000</v>
      </c>
      <c r="H37" s="9">
        <v>16000</v>
      </c>
      <c r="I37" s="9">
        <v>9000</v>
      </c>
      <c r="J37" s="72">
        <v>3000</v>
      </c>
      <c r="K37" s="67">
        <f t="shared" si="0"/>
        <v>8178.5714285714284</v>
      </c>
      <c r="M37" s="4"/>
      <c r="N37" s="4"/>
    </row>
    <row r="38" spans="1:14" ht="15.75" x14ac:dyDescent="0.25">
      <c r="A38" s="59"/>
      <c r="B38" s="66" t="s">
        <v>119</v>
      </c>
      <c r="C38" s="17" t="s">
        <v>6</v>
      </c>
      <c r="D38" s="9" t="s">
        <v>99</v>
      </c>
      <c r="E38" s="9">
        <v>10000</v>
      </c>
      <c r="F38" s="9">
        <v>12000</v>
      </c>
      <c r="G38" s="9">
        <v>14000</v>
      </c>
      <c r="H38" s="9" t="s">
        <v>99</v>
      </c>
      <c r="I38" s="9">
        <v>12000</v>
      </c>
      <c r="J38" s="72">
        <v>12000</v>
      </c>
      <c r="K38" s="67">
        <f>AVERAGE(D38:J38)</f>
        <v>12000</v>
      </c>
      <c r="M38" s="4"/>
      <c r="N38" s="4"/>
    </row>
    <row r="39" spans="1:14" ht="15.75" x14ac:dyDescent="0.25">
      <c r="A39" s="59">
        <v>9</v>
      </c>
      <c r="B39" s="82" t="s">
        <v>120</v>
      </c>
      <c r="C39" s="83"/>
      <c r="D39" s="9"/>
      <c r="E39" s="9"/>
      <c r="F39" s="9"/>
      <c r="G39" s="9"/>
      <c r="H39" s="9"/>
      <c r="I39" s="9"/>
      <c r="J39" s="72"/>
      <c r="K39" s="81"/>
      <c r="M39" s="4"/>
      <c r="N39" s="4"/>
    </row>
    <row r="40" spans="1:14" ht="15.75" x14ac:dyDescent="0.25">
      <c r="A40" s="59"/>
      <c r="B40" s="66" t="s">
        <v>121</v>
      </c>
      <c r="C40" s="17" t="s">
        <v>6</v>
      </c>
      <c r="D40" s="9" t="s">
        <v>99</v>
      </c>
      <c r="E40" s="9" t="s">
        <v>99</v>
      </c>
      <c r="F40" s="9" t="s">
        <v>99</v>
      </c>
      <c r="G40" s="9">
        <v>16000</v>
      </c>
      <c r="H40" s="9">
        <v>14000</v>
      </c>
      <c r="I40" s="9" t="s">
        <v>99</v>
      </c>
      <c r="J40" s="72">
        <v>15000</v>
      </c>
      <c r="K40" s="67">
        <f t="shared" si="0"/>
        <v>15000</v>
      </c>
      <c r="M40" s="4"/>
      <c r="N40" s="4"/>
    </row>
    <row r="41" spans="1:14" ht="15.75" x14ac:dyDescent="0.25">
      <c r="A41" s="59"/>
      <c r="B41" s="66" t="s">
        <v>122</v>
      </c>
      <c r="C41" s="17" t="s">
        <v>6</v>
      </c>
      <c r="D41" s="9" t="s">
        <v>99</v>
      </c>
      <c r="E41" s="9" t="s">
        <v>99</v>
      </c>
      <c r="F41" s="9">
        <v>6000</v>
      </c>
      <c r="G41" s="9" t="s">
        <v>99</v>
      </c>
      <c r="H41" s="9" t="s">
        <v>99</v>
      </c>
      <c r="I41" s="9">
        <v>6000</v>
      </c>
      <c r="J41" s="72" t="s">
        <v>99</v>
      </c>
      <c r="K41" s="67">
        <f t="shared" si="0"/>
        <v>6000</v>
      </c>
      <c r="M41" s="4"/>
      <c r="N41" s="4"/>
    </row>
    <row r="42" spans="1:14" ht="15.75" x14ac:dyDescent="0.25">
      <c r="A42" s="59"/>
      <c r="B42" s="66" t="s">
        <v>123</v>
      </c>
      <c r="C42" s="17" t="s">
        <v>6</v>
      </c>
      <c r="D42" s="9" t="s">
        <v>99</v>
      </c>
      <c r="E42" s="9">
        <v>2500</v>
      </c>
      <c r="F42" s="9" t="s">
        <v>99</v>
      </c>
      <c r="G42" s="9" t="s">
        <v>99</v>
      </c>
      <c r="H42" s="9" t="s">
        <v>99</v>
      </c>
      <c r="I42" s="9" t="s">
        <v>99</v>
      </c>
      <c r="J42" s="72" t="s">
        <v>99</v>
      </c>
      <c r="K42" s="67">
        <f t="shared" si="0"/>
        <v>2500</v>
      </c>
      <c r="M42" s="4"/>
      <c r="N42" s="4"/>
    </row>
    <row r="43" spans="1:14" ht="15.75" x14ac:dyDescent="0.25">
      <c r="A43" s="101">
        <v>10</v>
      </c>
      <c r="B43" s="60" t="s">
        <v>34</v>
      </c>
      <c r="C43" s="73"/>
      <c r="D43" s="74"/>
      <c r="E43" s="17"/>
      <c r="F43" s="76"/>
      <c r="G43" s="15"/>
      <c r="H43" s="15"/>
      <c r="I43" s="15"/>
      <c r="J43" s="84"/>
      <c r="K43" s="71"/>
      <c r="M43" s="4"/>
      <c r="N43" s="4"/>
    </row>
    <row r="44" spans="1:14" ht="15.75" x14ac:dyDescent="0.25">
      <c r="A44" s="101"/>
      <c r="B44" s="66" t="s">
        <v>35</v>
      </c>
      <c r="C44" s="17" t="s">
        <v>36</v>
      </c>
      <c r="D44" s="9">
        <v>12000</v>
      </c>
      <c r="E44" s="9">
        <v>12000</v>
      </c>
      <c r="F44" s="9">
        <v>12500</v>
      </c>
      <c r="G44" s="9">
        <v>12500</v>
      </c>
      <c r="H44" s="10" t="s">
        <v>99</v>
      </c>
      <c r="I44" s="16">
        <v>12500</v>
      </c>
      <c r="J44" s="72">
        <v>12500</v>
      </c>
      <c r="K44" s="67">
        <f t="shared" si="0"/>
        <v>12333.333333333334</v>
      </c>
      <c r="M44" s="4"/>
      <c r="N44" s="4"/>
    </row>
    <row r="45" spans="1:14" ht="15.75" x14ac:dyDescent="0.25">
      <c r="A45" s="101"/>
      <c r="B45" s="66" t="s">
        <v>124</v>
      </c>
      <c r="C45" s="17" t="s">
        <v>36</v>
      </c>
      <c r="D45" s="9">
        <v>12000</v>
      </c>
      <c r="E45" s="9">
        <v>13000</v>
      </c>
      <c r="F45" s="16">
        <v>12500</v>
      </c>
      <c r="G45" s="9">
        <v>12500</v>
      </c>
      <c r="H45" s="10" t="s">
        <v>99</v>
      </c>
      <c r="I45" s="16">
        <v>12500</v>
      </c>
      <c r="J45" s="79">
        <v>12500</v>
      </c>
      <c r="K45" s="67">
        <f>AVERAGE(D45:J45)</f>
        <v>12500</v>
      </c>
      <c r="M45" s="4"/>
      <c r="N45" s="4"/>
    </row>
    <row r="46" spans="1:14" ht="15.75" x14ac:dyDescent="0.25">
      <c r="A46" s="101">
        <v>11</v>
      </c>
      <c r="B46" s="60" t="s">
        <v>38</v>
      </c>
      <c r="C46" s="73"/>
      <c r="D46" s="74"/>
      <c r="E46" s="17"/>
      <c r="F46" s="15"/>
      <c r="G46" s="76"/>
      <c r="H46" s="15"/>
      <c r="I46" s="15"/>
      <c r="J46" s="75"/>
      <c r="K46" s="71"/>
      <c r="M46" s="4"/>
      <c r="N46" s="4"/>
    </row>
    <row r="47" spans="1:14" ht="15.75" x14ac:dyDescent="0.25">
      <c r="A47" s="101"/>
      <c r="B47" s="66" t="s">
        <v>39</v>
      </c>
      <c r="C47" s="17" t="s">
        <v>40</v>
      </c>
      <c r="D47" s="9" t="s">
        <v>99</v>
      </c>
      <c r="E47" s="9" t="s">
        <v>99</v>
      </c>
      <c r="F47" s="10" t="s">
        <v>99</v>
      </c>
      <c r="G47" s="8" t="s">
        <v>99</v>
      </c>
      <c r="H47" s="9">
        <v>17500</v>
      </c>
      <c r="I47" s="16" t="s">
        <v>99</v>
      </c>
      <c r="J47" s="79" t="s">
        <v>99</v>
      </c>
      <c r="K47" s="67">
        <f t="shared" si="0"/>
        <v>17500</v>
      </c>
      <c r="M47" s="4"/>
      <c r="N47" s="4"/>
    </row>
    <row r="48" spans="1:14" ht="15.75" x14ac:dyDescent="0.25">
      <c r="A48" s="101"/>
      <c r="B48" s="66" t="s">
        <v>41</v>
      </c>
      <c r="C48" s="17" t="s">
        <v>42</v>
      </c>
      <c r="D48" s="9" t="s">
        <v>99</v>
      </c>
      <c r="E48" s="9" t="s">
        <v>99</v>
      </c>
      <c r="F48" s="10" t="s">
        <v>99</v>
      </c>
      <c r="G48" s="8" t="s">
        <v>99</v>
      </c>
      <c r="H48" s="9">
        <v>2000</v>
      </c>
      <c r="I48" s="16" t="s">
        <v>99</v>
      </c>
      <c r="J48" s="79" t="s">
        <v>99</v>
      </c>
      <c r="K48" s="67">
        <f t="shared" si="0"/>
        <v>2000</v>
      </c>
      <c r="M48" s="4"/>
      <c r="N48" s="4"/>
    </row>
    <row r="49" spans="1:14" ht="15.75" x14ac:dyDescent="0.25">
      <c r="A49" s="59">
        <v>12</v>
      </c>
      <c r="B49" s="85" t="s">
        <v>43</v>
      </c>
      <c r="C49" s="80"/>
      <c r="D49" s="19"/>
      <c r="E49" s="10"/>
      <c r="F49" s="10"/>
      <c r="G49" s="22"/>
      <c r="H49" s="10"/>
      <c r="I49" s="10"/>
      <c r="J49" s="77"/>
      <c r="K49" s="71"/>
      <c r="M49" s="4"/>
      <c r="N49" s="4"/>
    </row>
    <row r="50" spans="1:14" ht="15.75" x14ac:dyDescent="0.25">
      <c r="A50" s="59"/>
      <c r="B50" s="66" t="s">
        <v>44</v>
      </c>
      <c r="C50" s="86" t="s">
        <v>6</v>
      </c>
      <c r="D50" s="9">
        <v>10000</v>
      </c>
      <c r="E50" s="9">
        <v>8000</v>
      </c>
      <c r="F50" s="9">
        <v>10000</v>
      </c>
      <c r="G50" s="9">
        <v>10000</v>
      </c>
      <c r="H50" s="9">
        <v>15000</v>
      </c>
      <c r="I50" s="8">
        <v>15000</v>
      </c>
      <c r="J50" s="72">
        <v>15000</v>
      </c>
      <c r="K50" s="67">
        <f t="shared" si="0"/>
        <v>11857.142857142857</v>
      </c>
      <c r="M50" s="4" t="s">
        <v>101</v>
      </c>
      <c r="N50" s="4"/>
    </row>
    <row r="51" spans="1:14" ht="15.75" x14ac:dyDescent="0.25">
      <c r="A51" s="59"/>
      <c r="B51" s="66" t="s">
        <v>45</v>
      </c>
      <c r="C51" s="86" t="s">
        <v>6</v>
      </c>
      <c r="D51" s="9" t="s">
        <v>99</v>
      </c>
      <c r="E51" s="9">
        <v>10000</v>
      </c>
      <c r="F51" s="8">
        <v>9000</v>
      </c>
      <c r="G51" s="9">
        <v>10000</v>
      </c>
      <c r="H51" s="9">
        <v>12000</v>
      </c>
      <c r="I51" s="9">
        <v>12000</v>
      </c>
      <c r="J51" s="72">
        <v>10000</v>
      </c>
      <c r="K51" s="67">
        <f t="shared" si="0"/>
        <v>10500</v>
      </c>
      <c r="M51" s="4"/>
      <c r="N51" s="23"/>
    </row>
    <row r="52" spans="1:14" ht="15.75" x14ac:dyDescent="0.25">
      <c r="A52" s="101">
        <v>13</v>
      </c>
      <c r="B52" s="60" t="s">
        <v>46</v>
      </c>
      <c r="C52" s="73"/>
      <c r="D52" s="74"/>
      <c r="E52" s="17"/>
      <c r="F52" s="76"/>
      <c r="G52" s="76"/>
      <c r="H52" s="15"/>
      <c r="I52" s="15"/>
      <c r="J52" s="84"/>
      <c r="K52" s="71"/>
      <c r="M52" s="4"/>
      <c r="N52" s="4"/>
    </row>
    <row r="53" spans="1:14" ht="15.75" x14ac:dyDescent="0.25">
      <c r="A53" s="101"/>
      <c r="B53" s="66" t="s">
        <v>47</v>
      </c>
      <c r="C53" s="17" t="s">
        <v>125</v>
      </c>
      <c r="D53" s="9">
        <v>3000</v>
      </c>
      <c r="E53" s="9">
        <v>4000</v>
      </c>
      <c r="F53" s="9">
        <v>5000</v>
      </c>
      <c r="G53" s="9">
        <v>5000</v>
      </c>
      <c r="H53" s="9">
        <v>2500</v>
      </c>
      <c r="I53" s="16">
        <v>5000</v>
      </c>
      <c r="J53" s="72">
        <v>2500</v>
      </c>
      <c r="K53" s="67">
        <f t="shared" si="0"/>
        <v>3857.1428571428573</v>
      </c>
      <c r="M53" s="4"/>
      <c r="N53" s="4"/>
    </row>
    <row r="54" spans="1:14" ht="15.75" x14ac:dyDescent="0.25">
      <c r="A54" s="101">
        <v>14</v>
      </c>
      <c r="B54" s="60" t="s">
        <v>49</v>
      </c>
      <c r="C54" s="80"/>
      <c r="D54" s="62"/>
      <c r="E54" s="17"/>
      <c r="F54" s="20"/>
      <c r="G54" s="20"/>
      <c r="H54" s="17"/>
      <c r="I54" s="17"/>
      <c r="J54" s="87"/>
      <c r="K54" s="71"/>
      <c r="M54" s="4"/>
      <c r="N54" s="4"/>
    </row>
    <row r="55" spans="1:14" ht="15.75" x14ac:dyDescent="0.25">
      <c r="A55" s="101"/>
      <c r="B55" s="88" t="s">
        <v>50</v>
      </c>
      <c r="C55" s="86" t="s">
        <v>6</v>
      </c>
      <c r="D55" s="9">
        <v>10000</v>
      </c>
      <c r="E55" s="9">
        <v>10500</v>
      </c>
      <c r="F55" s="9">
        <v>10000</v>
      </c>
      <c r="G55" s="9">
        <v>11000</v>
      </c>
      <c r="H55" s="9">
        <v>12000</v>
      </c>
      <c r="I55" s="9">
        <v>10000</v>
      </c>
      <c r="J55" s="72">
        <v>10000</v>
      </c>
      <c r="K55" s="67">
        <f t="shared" si="0"/>
        <v>10500</v>
      </c>
      <c r="M55" s="4"/>
      <c r="N55" s="4"/>
    </row>
    <row r="56" spans="1:14" ht="15.75" x14ac:dyDescent="0.25">
      <c r="A56" s="101">
        <v>15</v>
      </c>
      <c r="B56" s="60" t="s">
        <v>51</v>
      </c>
      <c r="C56" s="73"/>
      <c r="D56" s="74"/>
      <c r="E56" s="17"/>
      <c r="F56" s="76"/>
      <c r="G56" s="15"/>
      <c r="H56" s="15"/>
      <c r="I56" s="15"/>
      <c r="J56" s="84"/>
      <c r="K56" s="71"/>
      <c r="M56" s="4"/>
      <c r="N56" s="4"/>
    </row>
    <row r="57" spans="1:14" ht="15.75" x14ac:dyDescent="0.25">
      <c r="A57" s="101"/>
      <c r="B57" s="66" t="s">
        <v>52</v>
      </c>
      <c r="C57" s="17" t="s">
        <v>6</v>
      </c>
      <c r="D57" s="9">
        <v>16000</v>
      </c>
      <c r="E57" s="9">
        <v>13000</v>
      </c>
      <c r="F57" s="9">
        <v>14000</v>
      </c>
      <c r="G57" s="9">
        <v>14000</v>
      </c>
      <c r="H57" s="9">
        <v>11500</v>
      </c>
      <c r="I57" s="9">
        <v>17000</v>
      </c>
      <c r="J57" s="72" t="s">
        <v>99</v>
      </c>
      <c r="K57" s="67">
        <f t="shared" si="0"/>
        <v>14250</v>
      </c>
      <c r="M57" s="4"/>
      <c r="N57" s="4"/>
    </row>
    <row r="58" spans="1:14" ht="15.75" x14ac:dyDescent="0.25">
      <c r="A58" s="101"/>
      <c r="B58" s="66" t="s">
        <v>53</v>
      </c>
      <c r="C58" s="17" t="s">
        <v>6</v>
      </c>
      <c r="D58" s="9" t="s">
        <v>99</v>
      </c>
      <c r="E58" s="9" t="s">
        <v>99</v>
      </c>
      <c r="F58" s="16">
        <v>15000</v>
      </c>
      <c r="G58" s="22" t="s">
        <v>99</v>
      </c>
      <c r="H58" s="9">
        <v>13000</v>
      </c>
      <c r="I58" s="8">
        <v>15000</v>
      </c>
      <c r="J58" s="72">
        <v>14000</v>
      </c>
      <c r="K58" s="67">
        <f t="shared" si="0"/>
        <v>14250</v>
      </c>
      <c r="M58" s="4"/>
      <c r="N58" s="4"/>
    </row>
    <row r="59" spans="1:14" ht="15.75" x14ac:dyDescent="0.25">
      <c r="A59" s="101"/>
      <c r="B59" s="66" t="s">
        <v>54</v>
      </c>
      <c r="C59" s="17" t="s">
        <v>6</v>
      </c>
      <c r="D59" s="9">
        <v>22000</v>
      </c>
      <c r="E59" s="9">
        <v>23000</v>
      </c>
      <c r="F59" s="9">
        <v>23000</v>
      </c>
      <c r="G59" s="9">
        <v>23000</v>
      </c>
      <c r="H59" s="9">
        <v>20000</v>
      </c>
      <c r="I59" s="9">
        <v>23000</v>
      </c>
      <c r="J59" s="72">
        <v>24000</v>
      </c>
      <c r="K59" s="67">
        <f t="shared" si="0"/>
        <v>22571.428571428572</v>
      </c>
      <c r="M59" s="4"/>
      <c r="N59" s="4"/>
    </row>
    <row r="60" spans="1:14" ht="15.75" x14ac:dyDescent="0.25">
      <c r="A60" s="101"/>
      <c r="B60" s="66" t="s">
        <v>55</v>
      </c>
      <c r="C60" s="17" t="s">
        <v>6</v>
      </c>
      <c r="D60" s="9">
        <v>26000</v>
      </c>
      <c r="E60" s="9">
        <v>30000</v>
      </c>
      <c r="F60" s="9">
        <v>28000</v>
      </c>
      <c r="G60" s="9">
        <v>30000</v>
      </c>
      <c r="H60" s="9">
        <v>27000</v>
      </c>
      <c r="I60" s="9">
        <v>28000</v>
      </c>
      <c r="J60" s="72">
        <v>28000</v>
      </c>
      <c r="K60" s="67">
        <f t="shared" si="0"/>
        <v>28142.857142857141</v>
      </c>
      <c r="M60" s="4"/>
      <c r="N60" s="4"/>
    </row>
    <row r="61" spans="1:14" ht="15.75" x14ac:dyDescent="0.25">
      <c r="A61" s="17">
        <v>16</v>
      </c>
      <c r="B61" s="60" t="s">
        <v>56</v>
      </c>
      <c r="C61" s="80"/>
      <c r="D61" s="89"/>
      <c r="E61" s="10"/>
      <c r="F61" s="22"/>
      <c r="G61" s="10"/>
      <c r="H61" s="10"/>
      <c r="I61" s="10"/>
      <c r="J61" s="90"/>
      <c r="K61" s="71"/>
      <c r="M61" s="4"/>
      <c r="N61" s="4"/>
    </row>
    <row r="62" spans="1:14" ht="15.75" x14ac:dyDescent="0.25">
      <c r="A62" s="17"/>
      <c r="B62" s="66" t="s">
        <v>57</v>
      </c>
      <c r="C62" s="86" t="s">
        <v>58</v>
      </c>
      <c r="D62" s="9">
        <v>3000</v>
      </c>
      <c r="E62" s="9">
        <v>3200</v>
      </c>
      <c r="F62" s="9">
        <v>3000</v>
      </c>
      <c r="G62" s="9">
        <v>3000</v>
      </c>
      <c r="H62" s="10" t="s">
        <v>99</v>
      </c>
      <c r="I62" s="16">
        <v>3000</v>
      </c>
      <c r="J62" s="72">
        <v>3500</v>
      </c>
      <c r="K62" s="67">
        <f t="shared" si="0"/>
        <v>3116.6666666666665</v>
      </c>
      <c r="M62" s="4"/>
      <c r="N62" s="4"/>
    </row>
    <row r="63" spans="1:14" ht="15.75" x14ac:dyDescent="0.25">
      <c r="A63" s="101">
        <v>17</v>
      </c>
      <c r="B63" s="60" t="s">
        <v>59</v>
      </c>
      <c r="C63" s="73"/>
      <c r="D63" s="74"/>
      <c r="E63" s="17"/>
      <c r="F63" s="76"/>
      <c r="G63" s="76"/>
      <c r="H63" s="15"/>
      <c r="I63" s="15"/>
      <c r="J63" s="84"/>
      <c r="K63" s="71"/>
      <c r="M63" s="4"/>
      <c r="N63" s="4"/>
    </row>
    <row r="64" spans="1:14" ht="15.75" x14ac:dyDescent="0.25">
      <c r="A64" s="101"/>
      <c r="B64" s="66" t="s">
        <v>60</v>
      </c>
      <c r="C64" s="17" t="s">
        <v>6</v>
      </c>
      <c r="D64" s="9">
        <v>75000</v>
      </c>
      <c r="E64" s="9">
        <v>70000</v>
      </c>
      <c r="F64" s="9">
        <v>70000</v>
      </c>
      <c r="G64" s="9">
        <v>70000</v>
      </c>
      <c r="H64" s="9">
        <v>75000</v>
      </c>
      <c r="I64" s="9">
        <v>90000</v>
      </c>
      <c r="J64" s="72">
        <v>80000</v>
      </c>
      <c r="K64" s="67">
        <f t="shared" si="0"/>
        <v>75714.28571428571</v>
      </c>
      <c r="M64" s="4"/>
      <c r="N64" s="4"/>
    </row>
    <row r="65" spans="1:14" ht="15.75" x14ac:dyDescent="0.25">
      <c r="A65" s="101"/>
      <c r="B65" s="66" t="s">
        <v>61</v>
      </c>
      <c r="C65" s="17" t="s">
        <v>6</v>
      </c>
      <c r="D65" s="9">
        <v>80000</v>
      </c>
      <c r="E65" s="9">
        <v>70000</v>
      </c>
      <c r="F65" s="9">
        <v>70000</v>
      </c>
      <c r="G65" s="9">
        <v>60000</v>
      </c>
      <c r="H65" s="9">
        <v>65000</v>
      </c>
      <c r="I65" s="8">
        <v>65000</v>
      </c>
      <c r="J65" s="72">
        <v>65000</v>
      </c>
      <c r="K65" s="67">
        <f t="shared" si="0"/>
        <v>67857.142857142855</v>
      </c>
      <c r="M65" s="4"/>
      <c r="N65" s="4"/>
    </row>
    <row r="66" spans="1:14" ht="15.75" x14ac:dyDescent="0.25">
      <c r="A66" s="101"/>
      <c r="B66" s="66" t="s">
        <v>62</v>
      </c>
      <c r="C66" s="17" t="s">
        <v>6</v>
      </c>
      <c r="D66" s="9">
        <v>60000</v>
      </c>
      <c r="E66" s="9">
        <v>60000</v>
      </c>
      <c r="F66" s="9">
        <v>52000</v>
      </c>
      <c r="G66" s="9">
        <v>50000</v>
      </c>
      <c r="H66" s="9">
        <v>55000</v>
      </c>
      <c r="I66" s="9">
        <v>75000</v>
      </c>
      <c r="J66" s="72">
        <v>70000</v>
      </c>
      <c r="K66" s="67">
        <f t="shared" si="0"/>
        <v>60285.714285714283</v>
      </c>
      <c r="M66" s="4"/>
      <c r="N66" s="4"/>
    </row>
    <row r="67" spans="1:14" ht="15.75" x14ac:dyDescent="0.25">
      <c r="A67" s="17">
        <v>18</v>
      </c>
      <c r="B67" s="60" t="s">
        <v>63</v>
      </c>
      <c r="C67" s="80"/>
      <c r="D67" s="24"/>
      <c r="E67" s="10"/>
      <c r="F67" s="22"/>
      <c r="G67" s="10"/>
      <c r="H67" s="10" t="s">
        <v>1</v>
      </c>
      <c r="I67" s="10"/>
      <c r="J67" s="77"/>
      <c r="K67" s="71"/>
      <c r="M67" s="4"/>
      <c r="N67" s="4"/>
    </row>
    <row r="68" spans="1:14" ht="15.75" x14ac:dyDescent="0.25">
      <c r="A68" s="17"/>
      <c r="B68" s="66" t="s">
        <v>64</v>
      </c>
      <c r="C68" s="17" t="s">
        <v>65</v>
      </c>
      <c r="D68" s="9">
        <v>20000</v>
      </c>
      <c r="E68" s="9">
        <v>18000</v>
      </c>
      <c r="F68" s="9">
        <v>18000</v>
      </c>
      <c r="G68" s="9">
        <v>18000</v>
      </c>
      <c r="H68" s="10" t="s">
        <v>99</v>
      </c>
      <c r="I68" s="9">
        <v>18000</v>
      </c>
      <c r="J68" s="79">
        <v>18000</v>
      </c>
      <c r="K68" s="67">
        <f t="shared" si="0"/>
        <v>18333.333333333332</v>
      </c>
      <c r="M68" s="4"/>
      <c r="N68" s="4"/>
    </row>
    <row r="69" spans="1:14" ht="15.75" x14ac:dyDescent="0.25">
      <c r="A69" s="101">
        <v>19</v>
      </c>
      <c r="B69" s="60" t="s">
        <v>66</v>
      </c>
      <c r="C69" s="60"/>
      <c r="D69" s="74"/>
      <c r="E69" s="17"/>
      <c r="F69" s="15"/>
      <c r="G69" s="15"/>
      <c r="H69" s="15"/>
      <c r="I69" s="15"/>
      <c r="J69" s="75"/>
      <c r="K69" s="71"/>
      <c r="M69" s="4"/>
      <c r="N69" s="4"/>
    </row>
    <row r="70" spans="1:14" ht="15.75" x14ac:dyDescent="0.25">
      <c r="A70" s="101"/>
      <c r="B70" s="66" t="s">
        <v>67</v>
      </c>
      <c r="C70" s="17" t="s">
        <v>6</v>
      </c>
      <c r="D70" s="9">
        <v>38000</v>
      </c>
      <c r="E70" s="9">
        <v>35000</v>
      </c>
      <c r="F70" s="9">
        <v>36000</v>
      </c>
      <c r="G70" s="9">
        <v>35000</v>
      </c>
      <c r="H70" s="9">
        <v>37000</v>
      </c>
      <c r="I70" s="9">
        <v>38000</v>
      </c>
      <c r="J70" s="72">
        <v>40000</v>
      </c>
      <c r="K70" s="67">
        <f t="shared" si="0"/>
        <v>37000</v>
      </c>
      <c r="M70" s="4"/>
      <c r="N70" s="4"/>
    </row>
    <row r="71" spans="1:14" ht="15.75" x14ac:dyDescent="0.25">
      <c r="A71" s="101"/>
      <c r="B71" s="66" t="s">
        <v>68</v>
      </c>
      <c r="C71" s="17" t="s">
        <v>6</v>
      </c>
      <c r="D71" s="9">
        <v>34000</v>
      </c>
      <c r="E71" s="9">
        <v>32000</v>
      </c>
      <c r="F71" s="9">
        <v>33000</v>
      </c>
      <c r="G71" s="9">
        <v>32000</v>
      </c>
      <c r="H71" s="9">
        <v>32000</v>
      </c>
      <c r="I71" s="9">
        <v>32000</v>
      </c>
      <c r="J71" s="72">
        <v>33000</v>
      </c>
      <c r="K71" s="67">
        <f t="shared" si="0"/>
        <v>32571.428571428572</v>
      </c>
      <c r="M71" s="4"/>
      <c r="N71" s="4"/>
    </row>
    <row r="72" spans="1:14" ht="15.75" x14ac:dyDescent="0.25">
      <c r="A72" s="101"/>
      <c r="B72" s="66" t="s">
        <v>69</v>
      </c>
      <c r="C72" s="17" t="s">
        <v>6</v>
      </c>
      <c r="D72" s="9">
        <v>28000</v>
      </c>
      <c r="E72" s="9">
        <v>28000</v>
      </c>
      <c r="F72" s="9">
        <v>24000</v>
      </c>
      <c r="G72" s="9">
        <v>24000</v>
      </c>
      <c r="H72" s="9">
        <v>18000</v>
      </c>
      <c r="I72" s="9">
        <v>30000</v>
      </c>
      <c r="J72" s="72">
        <v>20000</v>
      </c>
      <c r="K72" s="67">
        <f t="shared" si="0"/>
        <v>24571.428571428572</v>
      </c>
      <c r="M72" s="4"/>
      <c r="N72" s="4"/>
    </row>
    <row r="73" spans="1:14" ht="15.75" x14ac:dyDescent="0.25">
      <c r="A73" s="101"/>
      <c r="B73" s="66" t="s">
        <v>70</v>
      </c>
      <c r="C73" s="17" t="s">
        <v>6</v>
      </c>
      <c r="D73" s="9">
        <v>28000</v>
      </c>
      <c r="E73" s="9">
        <v>25000</v>
      </c>
      <c r="F73" s="16">
        <v>28000</v>
      </c>
      <c r="G73" s="8">
        <v>30000</v>
      </c>
      <c r="H73" s="9">
        <v>25000</v>
      </c>
      <c r="I73" s="9">
        <v>28000</v>
      </c>
      <c r="J73" s="72">
        <v>30000</v>
      </c>
      <c r="K73" s="67">
        <f t="shared" si="0"/>
        <v>27714.285714285714</v>
      </c>
      <c r="M73" s="4"/>
      <c r="N73" s="4"/>
    </row>
    <row r="74" spans="1:14" ht="15.75" x14ac:dyDescent="0.25">
      <c r="A74" s="17">
        <v>20</v>
      </c>
      <c r="B74" s="60" t="s">
        <v>71</v>
      </c>
      <c r="C74" s="91"/>
      <c r="D74" s="24"/>
      <c r="E74" s="10"/>
      <c r="F74" s="10"/>
      <c r="G74" s="89"/>
      <c r="H74" s="10"/>
      <c r="I74" s="10"/>
      <c r="J74" s="90"/>
      <c r="K74" s="71"/>
      <c r="M74" s="4"/>
      <c r="N74" s="4"/>
    </row>
    <row r="75" spans="1:14" ht="15.75" x14ac:dyDescent="0.25">
      <c r="A75" s="17"/>
      <c r="B75" s="66" t="s">
        <v>72</v>
      </c>
      <c r="C75" s="86" t="s">
        <v>6</v>
      </c>
      <c r="D75" s="9">
        <v>7000</v>
      </c>
      <c r="E75" s="9">
        <v>7000</v>
      </c>
      <c r="F75" s="9">
        <v>5000</v>
      </c>
      <c r="G75" s="9">
        <v>6000</v>
      </c>
      <c r="H75" s="9">
        <v>5000</v>
      </c>
      <c r="I75" s="9">
        <v>5000</v>
      </c>
      <c r="J75" s="72">
        <v>5000</v>
      </c>
      <c r="K75" s="67">
        <f t="shared" si="0"/>
        <v>5714.2857142857147</v>
      </c>
      <c r="M75" s="4"/>
      <c r="N75" s="4"/>
    </row>
    <row r="76" spans="1:14" ht="15.75" x14ac:dyDescent="0.25">
      <c r="A76" s="17"/>
      <c r="B76" s="66" t="s">
        <v>73</v>
      </c>
      <c r="C76" s="86" t="s">
        <v>6</v>
      </c>
      <c r="D76" s="9">
        <v>7000</v>
      </c>
      <c r="E76" s="9">
        <v>6000</v>
      </c>
      <c r="F76" s="16">
        <v>6000</v>
      </c>
      <c r="G76" s="8">
        <v>6000</v>
      </c>
      <c r="H76" s="9">
        <v>5000</v>
      </c>
      <c r="I76" s="9">
        <v>6000</v>
      </c>
      <c r="J76" s="79">
        <v>6000</v>
      </c>
      <c r="K76" s="67">
        <f t="shared" si="0"/>
        <v>6000</v>
      </c>
      <c r="M76" s="4"/>
      <c r="N76" s="4"/>
    </row>
    <row r="77" spans="1:14" ht="15.75" x14ac:dyDescent="0.25">
      <c r="A77" s="17">
        <v>21</v>
      </c>
      <c r="B77" s="60" t="s">
        <v>74</v>
      </c>
      <c r="C77" s="91"/>
      <c r="D77" s="19"/>
      <c r="E77" s="10"/>
      <c r="F77" s="10"/>
      <c r="G77" s="22"/>
      <c r="H77" s="10"/>
      <c r="I77" s="10"/>
      <c r="J77" s="77"/>
      <c r="K77" s="71"/>
      <c r="M77" s="4"/>
      <c r="N77" s="4"/>
    </row>
    <row r="78" spans="1:14" ht="15.75" x14ac:dyDescent="0.25">
      <c r="A78" s="17"/>
      <c r="B78" s="66" t="s">
        <v>75</v>
      </c>
      <c r="C78" s="86" t="s">
        <v>6</v>
      </c>
      <c r="D78" s="9">
        <v>6000</v>
      </c>
      <c r="E78" s="9">
        <v>8000</v>
      </c>
      <c r="F78" s="9">
        <v>10000</v>
      </c>
      <c r="G78" s="9">
        <v>8000</v>
      </c>
      <c r="H78" s="9">
        <v>6000</v>
      </c>
      <c r="I78" s="16">
        <v>9000</v>
      </c>
      <c r="J78" s="72" t="s">
        <v>99</v>
      </c>
      <c r="K78" s="67">
        <f t="shared" si="0"/>
        <v>7833.333333333333</v>
      </c>
      <c r="M78" s="4"/>
      <c r="N78" s="4"/>
    </row>
    <row r="79" spans="1:14" ht="15.75" x14ac:dyDescent="0.25">
      <c r="A79" s="17"/>
      <c r="B79" s="66" t="s">
        <v>76</v>
      </c>
      <c r="C79" s="86" t="s">
        <v>6</v>
      </c>
      <c r="D79" s="9">
        <v>8000</v>
      </c>
      <c r="E79" s="9">
        <v>10000</v>
      </c>
      <c r="F79" s="9">
        <v>20000</v>
      </c>
      <c r="G79" s="9">
        <v>12000</v>
      </c>
      <c r="H79" s="9">
        <v>6000</v>
      </c>
      <c r="I79" s="16">
        <v>8000</v>
      </c>
      <c r="J79" s="72">
        <v>15000</v>
      </c>
      <c r="K79" s="67">
        <f t="shared" si="0"/>
        <v>11285.714285714286</v>
      </c>
      <c r="M79" s="4"/>
      <c r="N79" s="4"/>
    </row>
    <row r="80" spans="1:14" ht="15.75" x14ac:dyDescent="0.25">
      <c r="A80" s="17"/>
      <c r="B80" s="66" t="s">
        <v>77</v>
      </c>
      <c r="C80" s="86" t="s">
        <v>6</v>
      </c>
      <c r="D80" s="9">
        <v>17000</v>
      </c>
      <c r="E80" s="9">
        <v>16000</v>
      </c>
      <c r="F80" s="9">
        <v>17000</v>
      </c>
      <c r="G80" s="9">
        <v>17000</v>
      </c>
      <c r="H80" s="9">
        <v>15000</v>
      </c>
      <c r="I80" s="9">
        <v>18000</v>
      </c>
      <c r="J80" s="72">
        <v>18000</v>
      </c>
      <c r="K80" s="67">
        <f t="shared" si="0"/>
        <v>16857.142857142859</v>
      </c>
      <c r="M80" s="4"/>
      <c r="N80" s="4"/>
    </row>
    <row r="81" spans="1:14" ht="15.75" x14ac:dyDescent="0.25">
      <c r="A81" s="17"/>
      <c r="B81" s="66" t="s">
        <v>78</v>
      </c>
      <c r="C81" s="86" t="s">
        <v>6</v>
      </c>
      <c r="D81" s="9">
        <v>18000</v>
      </c>
      <c r="E81" s="9">
        <v>15000</v>
      </c>
      <c r="F81" s="9">
        <v>10000</v>
      </c>
      <c r="G81" s="9">
        <v>20000</v>
      </c>
      <c r="H81" s="9">
        <v>20000</v>
      </c>
      <c r="I81" s="8">
        <v>20000</v>
      </c>
      <c r="J81" s="72">
        <v>20000</v>
      </c>
      <c r="K81" s="67">
        <f t="shared" ref="K81:K88" si="1">AVERAGE(D81:J81)</f>
        <v>17571.428571428572</v>
      </c>
      <c r="M81" s="4"/>
      <c r="N81" s="4"/>
    </row>
    <row r="82" spans="1:14" ht="15.75" x14ac:dyDescent="0.25">
      <c r="A82" s="17"/>
      <c r="B82" s="66" t="s">
        <v>79</v>
      </c>
      <c r="C82" s="86" t="s">
        <v>6</v>
      </c>
      <c r="D82" s="9">
        <v>14000</v>
      </c>
      <c r="E82" s="9">
        <v>12000</v>
      </c>
      <c r="F82" s="9">
        <v>14000</v>
      </c>
      <c r="G82" s="9">
        <v>12000</v>
      </c>
      <c r="H82" s="9">
        <v>10000</v>
      </c>
      <c r="I82" s="9">
        <v>16000</v>
      </c>
      <c r="J82" s="72">
        <v>15000</v>
      </c>
      <c r="K82" s="67">
        <f t="shared" si="1"/>
        <v>13285.714285714286</v>
      </c>
      <c r="M82" s="4"/>
      <c r="N82" s="4"/>
    </row>
    <row r="83" spans="1:14" ht="15.75" x14ac:dyDescent="0.25">
      <c r="A83" s="17"/>
      <c r="B83" s="66" t="s">
        <v>80</v>
      </c>
      <c r="C83" s="86" t="s">
        <v>6</v>
      </c>
      <c r="D83" s="9">
        <v>9000</v>
      </c>
      <c r="E83" s="9">
        <v>8000</v>
      </c>
      <c r="F83" s="16">
        <v>9000</v>
      </c>
      <c r="G83" s="8">
        <v>8000</v>
      </c>
      <c r="H83" s="9">
        <v>7000</v>
      </c>
      <c r="I83" s="16">
        <v>9000</v>
      </c>
      <c r="J83" s="72">
        <v>8000</v>
      </c>
      <c r="K83" s="67">
        <f t="shared" si="1"/>
        <v>8285.7142857142862</v>
      </c>
      <c r="M83" s="4"/>
      <c r="N83" s="4"/>
    </row>
    <row r="84" spans="1:14" ht="15.75" x14ac:dyDescent="0.25">
      <c r="A84" s="17"/>
      <c r="B84" s="66" t="s">
        <v>81</v>
      </c>
      <c r="C84" s="86" t="s">
        <v>82</v>
      </c>
      <c r="D84" s="9">
        <v>2000</v>
      </c>
      <c r="E84" s="9">
        <v>1500</v>
      </c>
      <c r="F84" s="9">
        <v>2000</v>
      </c>
      <c r="G84" s="8">
        <v>2000</v>
      </c>
      <c r="H84" s="9">
        <v>1500</v>
      </c>
      <c r="I84" s="9">
        <v>2000</v>
      </c>
      <c r="J84" s="79">
        <v>1500</v>
      </c>
      <c r="K84" s="67">
        <f t="shared" si="1"/>
        <v>1785.7142857142858</v>
      </c>
      <c r="L84" s="4"/>
      <c r="M84" s="4"/>
      <c r="N84" s="4"/>
    </row>
    <row r="85" spans="1:14" x14ac:dyDescent="0.25">
      <c r="A85" s="17"/>
      <c r="B85" s="66" t="s">
        <v>83</v>
      </c>
      <c r="C85" s="86" t="s">
        <v>82</v>
      </c>
      <c r="D85" s="9">
        <v>1500</v>
      </c>
      <c r="E85" s="9">
        <v>1500</v>
      </c>
      <c r="F85" s="9">
        <v>1500</v>
      </c>
      <c r="G85" s="8">
        <v>2000</v>
      </c>
      <c r="H85" s="9">
        <v>1500</v>
      </c>
      <c r="I85" s="9">
        <v>1500</v>
      </c>
      <c r="J85" s="79">
        <v>1000</v>
      </c>
      <c r="K85" s="67">
        <f t="shared" si="1"/>
        <v>1500</v>
      </c>
    </row>
    <row r="86" spans="1:14" x14ac:dyDescent="0.25">
      <c r="A86" s="17"/>
      <c r="B86" s="66" t="s">
        <v>84</v>
      </c>
      <c r="C86" s="86" t="s">
        <v>82</v>
      </c>
      <c r="D86" s="9" t="s">
        <v>99</v>
      </c>
      <c r="E86" s="9">
        <v>2000</v>
      </c>
      <c r="F86" s="9" t="s">
        <v>99</v>
      </c>
      <c r="G86" s="8" t="s">
        <v>99</v>
      </c>
      <c r="H86" s="9">
        <v>2500</v>
      </c>
      <c r="I86" s="9" t="s">
        <v>99</v>
      </c>
      <c r="J86" s="79">
        <v>2000</v>
      </c>
      <c r="K86" s="67">
        <f t="shared" si="1"/>
        <v>2166.6666666666665</v>
      </c>
    </row>
    <row r="87" spans="1:14" x14ac:dyDescent="0.25">
      <c r="A87" s="17">
        <v>22</v>
      </c>
      <c r="B87" s="60" t="s">
        <v>85</v>
      </c>
      <c r="C87" s="91"/>
      <c r="D87" s="22"/>
      <c r="E87" s="10"/>
      <c r="F87" s="10" t="s">
        <v>102</v>
      </c>
      <c r="G87" s="22"/>
      <c r="H87" s="10"/>
      <c r="I87" s="10"/>
      <c r="J87" s="77"/>
      <c r="K87" s="71"/>
    </row>
    <row r="88" spans="1:14" x14ac:dyDescent="0.25">
      <c r="A88" s="17"/>
      <c r="B88" s="66" t="s">
        <v>86</v>
      </c>
      <c r="C88" s="86" t="s">
        <v>87</v>
      </c>
      <c r="D88" s="9" t="s">
        <v>99</v>
      </c>
      <c r="E88" s="9" t="s">
        <v>99</v>
      </c>
      <c r="F88" s="9">
        <v>18000</v>
      </c>
      <c r="G88" s="8">
        <v>17000</v>
      </c>
      <c r="H88" s="10" t="s">
        <v>99</v>
      </c>
      <c r="I88" s="16">
        <v>18000</v>
      </c>
      <c r="J88" s="79">
        <v>18000</v>
      </c>
      <c r="K88" s="67">
        <f t="shared" si="1"/>
        <v>17750</v>
      </c>
    </row>
  </sheetData>
  <mergeCells count="28">
    <mergeCell ref="A56:A60"/>
    <mergeCell ref="A63:A66"/>
    <mergeCell ref="A69:A73"/>
    <mergeCell ref="A33:A35"/>
    <mergeCell ref="A43:A45"/>
    <mergeCell ref="A46:A48"/>
    <mergeCell ref="A52:A53"/>
    <mergeCell ref="A54:A55"/>
    <mergeCell ref="A13:A15"/>
    <mergeCell ref="A16:A17"/>
    <mergeCell ref="A19:A20"/>
    <mergeCell ref="A21:A25"/>
    <mergeCell ref="A26:A32"/>
    <mergeCell ref="I4:I6"/>
    <mergeCell ref="A7:A12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</mergeCells>
  <pageMargins left="0.7" right="0.7" top="0.75" bottom="0.75" header="0.3" footer="0.3"/>
  <drawing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256E6-5B4B-49BB-B7A1-4771A9138888}">
  <dimension ref="A1:N88"/>
  <sheetViews>
    <sheetView topLeftCell="A28" zoomScale="70" zoomScaleNormal="70" workbookViewId="0">
      <selection activeCell="K11" sqref="K11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02" t="s">
        <v>88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M1" s="4"/>
      <c r="N1" s="4"/>
    </row>
    <row r="2" spans="1:14" ht="27.75" customHeight="1" x14ac:dyDescent="0.25">
      <c r="A2" s="103" t="s">
        <v>89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M2" s="4"/>
      <c r="N2" s="4"/>
    </row>
    <row r="3" spans="1:14" ht="27.75" customHeight="1" thickBot="1" x14ac:dyDescent="0.3">
      <c r="A3" s="104" t="s">
        <v>146</v>
      </c>
      <c r="B3" s="104"/>
      <c r="C3" s="104"/>
      <c r="D3" s="104"/>
      <c r="E3" s="104"/>
      <c r="F3" s="104"/>
      <c r="G3" s="104"/>
      <c r="H3" s="104"/>
      <c r="I3" s="104"/>
      <c r="J3" s="104"/>
      <c r="K3" s="105"/>
      <c r="M3" s="4"/>
      <c r="N3" s="4"/>
    </row>
    <row r="4" spans="1:14" ht="25.5" customHeight="1" x14ac:dyDescent="0.25">
      <c r="A4" s="96" t="s">
        <v>1</v>
      </c>
      <c r="B4" s="99" t="s">
        <v>2</v>
      </c>
      <c r="C4" s="96" t="s">
        <v>90</v>
      </c>
      <c r="D4" s="110" t="s">
        <v>91</v>
      </c>
      <c r="E4" s="113" t="s">
        <v>92</v>
      </c>
      <c r="F4" s="125" t="s">
        <v>93</v>
      </c>
      <c r="G4" s="128" t="s">
        <v>94</v>
      </c>
      <c r="H4" s="147" t="s">
        <v>95</v>
      </c>
      <c r="I4" s="119" t="s">
        <v>96</v>
      </c>
      <c r="J4" s="106" t="s">
        <v>97</v>
      </c>
      <c r="K4" s="122" t="s">
        <v>98</v>
      </c>
      <c r="M4" s="4"/>
      <c r="N4" s="4"/>
    </row>
    <row r="5" spans="1:14" ht="15" customHeight="1" x14ac:dyDescent="0.25">
      <c r="A5" s="97"/>
      <c r="B5" s="100"/>
      <c r="C5" s="97"/>
      <c r="D5" s="111"/>
      <c r="E5" s="114"/>
      <c r="F5" s="126"/>
      <c r="G5" s="129"/>
      <c r="H5" s="148"/>
      <c r="I5" s="120"/>
      <c r="J5" s="107"/>
      <c r="K5" s="123"/>
      <c r="M5" s="4"/>
      <c r="N5" s="4"/>
    </row>
    <row r="6" spans="1:14" ht="16.5" thickBot="1" x14ac:dyDescent="0.3">
      <c r="A6" s="98"/>
      <c r="B6" s="109"/>
      <c r="C6" s="98"/>
      <c r="D6" s="112"/>
      <c r="E6" s="115"/>
      <c r="F6" s="127"/>
      <c r="G6" s="130"/>
      <c r="H6" s="149"/>
      <c r="I6" s="121"/>
      <c r="J6" s="108"/>
      <c r="K6" s="124"/>
      <c r="M6" s="4"/>
      <c r="N6" s="4"/>
    </row>
    <row r="7" spans="1:14" ht="15.75" x14ac:dyDescent="0.25">
      <c r="A7" s="101">
        <v>1</v>
      </c>
      <c r="B7" s="60" t="s">
        <v>4</v>
      </c>
      <c r="C7" s="61"/>
      <c r="D7" s="62"/>
      <c r="E7" s="17" t="s">
        <v>102</v>
      </c>
      <c r="F7" s="17"/>
      <c r="G7" s="63"/>
      <c r="H7" s="63" t="s">
        <v>1</v>
      </c>
      <c r="I7" s="64"/>
      <c r="J7" s="63"/>
      <c r="K7" s="65"/>
      <c r="M7" s="5" t="s">
        <v>4</v>
      </c>
      <c r="N7" s="4"/>
    </row>
    <row r="8" spans="1:14" ht="15.75" x14ac:dyDescent="0.25">
      <c r="A8" s="101"/>
      <c r="B8" s="66" t="s">
        <v>107</v>
      </c>
      <c r="C8" s="17" t="s">
        <v>6</v>
      </c>
      <c r="D8" s="9">
        <v>15500</v>
      </c>
      <c r="E8" s="9">
        <v>15500</v>
      </c>
      <c r="F8" s="9">
        <v>15500</v>
      </c>
      <c r="G8" s="9">
        <v>15500</v>
      </c>
      <c r="H8" s="9">
        <v>17000</v>
      </c>
      <c r="I8" s="9">
        <v>17000</v>
      </c>
      <c r="J8" s="16">
        <v>17000</v>
      </c>
      <c r="K8" s="67">
        <f>AVERAGE(D8:J8)</f>
        <v>16142.857142857143</v>
      </c>
      <c r="L8" s="1"/>
      <c r="M8" s="6" t="s">
        <v>107</v>
      </c>
      <c r="N8" s="4"/>
    </row>
    <row r="9" spans="1:14" ht="15.75" x14ac:dyDescent="0.25">
      <c r="A9" s="101"/>
      <c r="B9" s="66" t="s">
        <v>115</v>
      </c>
      <c r="C9" s="17" t="s">
        <v>6</v>
      </c>
      <c r="D9" s="9">
        <v>10900</v>
      </c>
      <c r="E9" s="9">
        <v>10900</v>
      </c>
      <c r="F9" s="9">
        <v>10900</v>
      </c>
      <c r="G9" s="8">
        <v>10900</v>
      </c>
      <c r="H9" s="9">
        <v>12000</v>
      </c>
      <c r="I9" s="9">
        <v>15000</v>
      </c>
      <c r="J9" s="16" t="s">
        <v>99</v>
      </c>
      <c r="K9" s="67">
        <f t="shared" ref="K9:K80" si="0">AVERAGE(D9:J9)</f>
        <v>11766.666666666666</v>
      </c>
      <c r="M9" s="6" t="s">
        <v>108</v>
      </c>
      <c r="N9" s="4"/>
    </row>
    <row r="10" spans="1:14" ht="15.75" x14ac:dyDescent="0.25">
      <c r="A10" s="101"/>
      <c r="B10" s="66" t="s">
        <v>108</v>
      </c>
      <c r="C10" s="17" t="s">
        <v>6</v>
      </c>
      <c r="D10" s="9" t="s">
        <v>99</v>
      </c>
      <c r="E10" s="9" t="s">
        <v>99</v>
      </c>
      <c r="F10" s="9" t="s">
        <v>99</v>
      </c>
      <c r="G10" s="8" t="s">
        <v>99</v>
      </c>
      <c r="H10" s="9" t="s">
        <v>99</v>
      </c>
      <c r="I10" s="9" t="s">
        <v>99</v>
      </c>
      <c r="J10" s="16" t="s">
        <v>99</v>
      </c>
      <c r="K10" s="67">
        <v>0</v>
      </c>
      <c r="M10" s="6" t="s">
        <v>9</v>
      </c>
      <c r="N10" s="4"/>
    </row>
    <row r="11" spans="1:14" ht="15.75" x14ac:dyDescent="0.25">
      <c r="A11" s="101"/>
      <c r="B11" s="66" t="s">
        <v>9</v>
      </c>
      <c r="C11" s="17" t="s">
        <v>6</v>
      </c>
      <c r="D11" s="9" t="s">
        <v>99</v>
      </c>
      <c r="E11" s="9">
        <v>10000</v>
      </c>
      <c r="F11" s="16">
        <v>12000</v>
      </c>
      <c r="G11" s="8">
        <v>10000</v>
      </c>
      <c r="H11" s="9">
        <v>10000</v>
      </c>
      <c r="I11" s="16">
        <v>12000</v>
      </c>
      <c r="J11" s="16">
        <v>10000</v>
      </c>
      <c r="K11" s="67">
        <f>AVERAGE(D11:J11)</f>
        <v>10666.666666666666</v>
      </c>
      <c r="M11" s="6" t="s">
        <v>10</v>
      </c>
      <c r="N11" s="4"/>
    </row>
    <row r="12" spans="1:14" ht="15.75" x14ac:dyDescent="0.25">
      <c r="A12" s="101"/>
      <c r="B12" s="66" t="s">
        <v>10</v>
      </c>
      <c r="C12" s="17" t="s">
        <v>6</v>
      </c>
      <c r="D12" s="9" t="s">
        <v>99</v>
      </c>
      <c r="E12" s="9">
        <v>21000</v>
      </c>
      <c r="F12" s="16">
        <v>16000</v>
      </c>
      <c r="G12" s="8">
        <v>18000</v>
      </c>
      <c r="H12" s="9">
        <v>25000</v>
      </c>
      <c r="I12" s="16">
        <v>17000</v>
      </c>
      <c r="J12" s="16">
        <v>17000</v>
      </c>
      <c r="K12" s="67">
        <f t="shared" si="0"/>
        <v>19000</v>
      </c>
      <c r="M12" s="11" t="s">
        <v>11</v>
      </c>
      <c r="N12" s="12"/>
    </row>
    <row r="13" spans="1:14" ht="15.75" x14ac:dyDescent="0.25">
      <c r="A13" s="101">
        <v>2</v>
      </c>
      <c r="B13" s="60" t="s">
        <v>11</v>
      </c>
      <c r="C13" s="68"/>
      <c r="D13" s="62"/>
      <c r="E13" s="92"/>
      <c r="F13" s="17"/>
      <c r="G13" s="70"/>
      <c r="H13" s="70"/>
      <c r="I13" s="70"/>
      <c r="J13" s="70"/>
      <c r="K13" s="71"/>
      <c r="M13" s="13" t="s">
        <v>12</v>
      </c>
      <c r="N13" s="4"/>
    </row>
    <row r="14" spans="1:14" ht="15.75" x14ac:dyDescent="0.25">
      <c r="A14" s="101"/>
      <c r="B14" s="66" t="s">
        <v>116</v>
      </c>
      <c r="C14" s="17" t="s">
        <v>6</v>
      </c>
      <c r="D14" s="9">
        <v>16000</v>
      </c>
      <c r="E14" s="9">
        <v>16500</v>
      </c>
      <c r="F14" s="9">
        <v>17000</v>
      </c>
      <c r="G14" s="16">
        <v>16000</v>
      </c>
      <c r="H14" s="9">
        <v>16500</v>
      </c>
      <c r="I14" s="9">
        <v>16500</v>
      </c>
      <c r="J14" s="72">
        <v>16500</v>
      </c>
      <c r="K14" s="67">
        <f t="shared" si="0"/>
        <v>16428.571428571428</v>
      </c>
      <c r="M14" s="6" t="s">
        <v>13</v>
      </c>
      <c r="N14" s="4"/>
    </row>
    <row r="15" spans="1:14" ht="15.75" x14ac:dyDescent="0.25">
      <c r="A15" s="101"/>
      <c r="B15" s="66" t="s">
        <v>13</v>
      </c>
      <c r="C15" s="17" t="s">
        <v>6</v>
      </c>
      <c r="D15" s="9">
        <v>17000</v>
      </c>
      <c r="E15" s="9">
        <v>16000</v>
      </c>
      <c r="F15" s="16">
        <v>16000</v>
      </c>
      <c r="G15" s="8">
        <v>16000</v>
      </c>
      <c r="H15" s="9">
        <v>17000</v>
      </c>
      <c r="I15" s="9">
        <v>18000</v>
      </c>
      <c r="J15" s="72">
        <v>18000</v>
      </c>
      <c r="K15" s="67">
        <f>AVERAGE(D15:J15)</f>
        <v>16857.142857142859</v>
      </c>
      <c r="M15" s="11" t="s">
        <v>14</v>
      </c>
      <c r="N15" s="4"/>
    </row>
    <row r="16" spans="1:14" ht="15.75" x14ac:dyDescent="0.25">
      <c r="A16" s="101">
        <v>3</v>
      </c>
      <c r="B16" s="60" t="s">
        <v>14</v>
      </c>
      <c r="C16" s="73"/>
      <c r="D16" s="74"/>
      <c r="E16" s="15"/>
      <c r="F16" s="15"/>
      <c r="G16" s="15"/>
      <c r="H16" s="15"/>
      <c r="I16" s="15" t="s">
        <v>130</v>
      </c>
      <c r="J16" s="75"/>
      <c r="K16" s="71"/>
      <c r="M16" s="6" t="s">
        <v>15</v>
      </c>
      <c r="N16" s="4"/>
    </row>
    <row r="17" spans="1:14" ht="15.75" x14ac:dyDescent="0.25">
      <c r="A17" s="101"/>
      <c r="B17" s="66" t="s">
        <v>15</v>
      </c>
      <c r="C17" s="17" t="s">
        <v>6</v>
      </c>
      <c r="D17" s="9">
        <v>15000</v>
      </c>
      <c r="E17" s="9">
        <v>15000</v>
      </c>
      <c r="F17" s="9">
        <v>16000</v>
      </c>
      <c r="G17" s="9">
        <v>15000</v>
      </c>
      <c r="H17" s="9">
        <v>16000</v>
      </c>
      <c r="I17" s="9">
        <v>16000</v>
      </c>
      <c r="J17" s="72">
        <v>16000</v>
      </c>
      <c r="K17" s="67">
        <f t="shared" si="0"/>
        <v>15571.428571428571</v>
      </c>
      <c r="M17" s="6" t="s">
        <v>109</v>
      </c>
      <c r="N17" s="4"/>
    </row>
    <row r="18" spans="1:14" ht="15.75" x14ac:dyDescent="0.25">
      <c r="A18" s="59"/>
      <c r="B18" s="66" t="s">
        <v>109</v>
      </c>
      <c r="C18" s="17" t="s">
        <v>110</v>
      </c>
      <c r="D18" s="9">
        <v>14000</v>
      </c>
      <c r="E18" s="9">
        <v>14000</v>
      </c>
      <c r="F18" s="9">
        <v>14000</v>
      </c>
      <c r="G18" s="9">
        <v>14000</v>
      </c>
      <c r="H18" s="9" t="s">
        <v>99</v>
      </c>
      <c r="I18" s="9">
        <v>14000</v>
      </c>
      <c r="J18" s="72">
        <v>14000</v>
      </c>
      <c r="K18" s="67">
        <f t="shared" si="0"/>
        <v>14000</v>
      </c>
      <c r="M18" s="11" t="s">
        <v>16</v>
      </c>
      <c r="N18" s="4"/>
    </row>
    <row r="19" spans="1:14" ht="17.25" customHeight="1" x14ac:dyDescent="0.25">
      <c r="A19" s="101">
        <v>4</v>
      </c>
      <c r="B19" s="60" t="s">
        <v>16</v>
      </c>
      <c r="C19" s="73"/>
      <c r="D19" s="74"/>
      <c r="E19" s="15"/>
      <c r="F19" s="15"/>
      <c r="G19" s="76"/>
      <c r="H19" s="15"/>
      <c r="I19" s="15"/>
      <c r="J19" s="75"/>
      <c r="K19" s="71"/>
      <c r="M19" s="6" t="s">
        <v>17</v>
      </c>
      <c r="N19" s="4"/>
    </row>
    <row r="20" spans="1:14" ht="15.75" x14ac:dyDescent="0.25">
      <c r="A20" s="101"/>
      <c r="B20" s="66" t="s">
        <v>17</v>
      </c>
      <c r="C20" s="17" t="s">
        <v>6</v>
      </c>
      <c r="D20" s="9">
        <v>20000</v>
      </c>
      <c r="E20" s="9">
        <v>20000</v>
      </c>
      <c r="F20" s="16">
        <v>20000</v>
      </c>
      <c r="G20" s="8">
        <v>22000</v>
      </c>
      <c r="H20" s="16">
        <v>33000</v>
      </c>
      <c r="I20" s="16">
        <v>20000</v>
      </c>
      <c r="J20" s="77" t="s">
        <v>99</v>
      </c>
      <c r="K20" s="67">
        <f t="shared" si="0"/>
        <v>22500</v>
      </c>
      <c r="M20" s="11" t="s">
        <v>18</v>
      </c>
      <c r="N20" s="4"/>
    </row>
    <row r="21" spans="1:14" ht="15.75" x14ac:dyDescent="0.25">
      <c r="A21" s="101">
        <v>5</v>
      </c>
      <c r="B21" s="60" t="s">
        <v>18</v>
      </c>
      <c r="C21" s="73"/>
      <c r="D21" s="74"/>
      <c r="E21" s="17"/>
      <c r="F21" s="15" t="s">
        <v>1</v>
      </c>
      <c r="G21" s="76"/>
      <c r="H21" s="15"/>
      <c r="I21" s="15"/>
      <c r="J21" s="75"/>
      <c r="K21" s="71"/>
      <c r="M21" s="6" t="s">
        <v>19</v>
      </c>
      <c r="N21" s="4"/>
    </row>
    <row r="22" spans="1:14" ht="15.75" x14ac:dyDescent="0.25">
      <c r="A22" s="101"/>
      <c r="B22" s="66" t="s">
        <v>19</v>
      </c>
      <c r="C22" s="17" t="s">
        <v>6</v>
      </c>
      <c r="D22" s="9">
        <v>120000</v>
      </c>
      <c r="E22" s="9">
        <v>120000</v>
      </c>
      <c r="F22" s="9">
        <v>120000</v>
      </c>
      <c r="G22" s="9">
        <v>120000</v>
      </c>
      <c r="H22" s="9">
        <v>120000</v>
      </c>
      <c r="I22" s="8">
        <v>120000</v>
      </c>
      <c r="J22" s="72" t="s">
        <v>99</v>
      </c>
      <c r="K22" s="67">
        <f t="shared" si="0"/>
        <v>120000</v>
      </c>
      <c r="M22" s="6" t="s">
        <v>20</v>
      </c>
      <c r="N22" s="4"/>
    </row>
    <row r="23" spans="1:14" ht="15.75" x14ac:dyDescent="0.25">
      <c r="A23" s="101"/>
      <c r="B23" s="66" t="s">
        <v>20</v>
      </c>
      <c r="C23" s="17" t="s">
        <v>6</v>
      </c>
      <c r="D23" s="9">
        <v>110000</v>
      </c>
      <c r="E23" s="9">
        <v>110000</v>
      </c>
      <c r="F23" s="9">
        <v>110000</v>
      </c>
      <c r="G23" s="9">
        <v>110000</v>
      </c>
      <c r="H23" s="9">
        <v>115000</v>
      </c>
      <c r="I23" s="9">
        <v>110000</v>
      </c>
      <c r="J23" s="72">
        <v>110000</v>
      </c>
      <c r="K23" s="67">
        <f t="shared" si="0"/>
        <v>110714.28571428571</v>
      </c>
      <c r="M23" s="6" t="s">
        <v>21</v>
      </c>
      <c r="N23" s="4"/>
    </row>
    <row r="24" spans="1:14" ht="15.75" x14ac:dyDescent="0.25">
      <c r="A24" s="101"/>
      <c r="B24" s="66" t="s">
        <v>21</v>
      </c>
      <c r="C24" s="17" t="s">
        <v>6</v>
      </c>
      <c r="D24" s="9">
        <v>90000</v>
      </c>
      <c r="E24" s="9">
        <v>90000</v>
      </c>
      <c r="F24" s="9">
        <v>100000</v>
      </c>
      <c r="G24" s="9">
        <v>105000</v>
      </c>
      <c r="H24" s="9">
        <v>110000</v>
      </c>
      <c r="I24" s="8">
        <v>100000</v>
      </c>
      <c r="J24" s="72">
        <v>105000</v>
      </c>
      <c r="K24" s="67">
        <f t="shared" si="0"/>
        <v>100000</v>
      </c>
      <c r="M24" s="6" t="s">
        <v>22</v>
      </c>
      <c r="N24" s="4"/>
    </row>
    <row r="25" spans="1:14" ht="15.75" x14ac:dyDescent="0.25">
      <c r="A25" s="101"/>
      <c r="B25" s="66" t="s">
        <v>22</v>
      </c>
      <c r="C25" s="17" t="s">
        <v>6</v>
      </c>
      <c r="D25" s="9">
        <v>34000</v>
      </c>
      <c r="E25" s="9">
        <v>31000</v>
      </c>
      <c r="F25" s="9">
        <v>34000</v>
      </c>
      <c r="G25" s="9">
        <v>33000</v>
      </c>
      <c r="H25" s="72">
        <v>33000</v>
      </c>
      <c r="I25" s="9">
        <v>33000</v>
      </c>
      <c r="J25" s="72">
        <v>35000</v>
      </c>
      <c r="K25" s="67">
        <f t="shared" si="0"/>
        <v>33285.714285714283</v>
      </c>
      <c r="M25" s="11" t="s">
        <v>23</v>
      </c>
      <c r="N25" s="4"/>
    </row>
    <row r="26" spans="1:14" ht="15.75" x14ac:dyDescent="0.25">
      <c r="A26" s="101">
        <v>6</v>
      </c>
      <c r="B26" s="60" t="s">
        <v>23</v>
      </c>
      <c r="C26" s="73"/>
      <c r="D26" s="74"/>
      <c r="E26" s="17"/>
      <c r="F26" s="76"/>
      <c r="G26" s="15"/>
      <c r="H26" s="75"/>
      <c r="I26" s="15"/>
      <c r="J26" s="75"/>
      <c r="K26" s="71"/>
      <c r="M26" s="6" t="s">
        <v>24</v>
      </c>
      <c r="N26" s="4"/>
    </row>
    <row r="27" spans="1:14" ht="15.75" x14ac:dyDescent="0.25">
      <c r="A27" s="101"/>
      <c r="B27" s="66" t="s">
        <v>24</v>
      </c>
      <c r="C27" s="17" t="s">
        <v>6</v>
      </c>
      <c r="D27" s="9">
        <v>32000</v>
      </c>
      <c r="E27" s="9">
        <v>35000</v>
      </c>
      <c r="F27" s="9" t="s">
        <v>99</v>
      </c>
      <c r="G27" s="9">
        <v>40000</v>
      </c>
      <c r="H27" s="9">
        <v>30000</v>
      </c>
      <c r="I27" s="9" t="s">
        <v>99</v>
      </c>
      <c r="J27" s="72">
        <v>30000</v>
      </c>
      <c r="K27" s="67">
        <f t="shared" si="0"/>
        <v>33400</v>
      </c>
      <c r="L27" t="s">
        <v>100</v>
      </c>
      <c r="M27" s="6" t="s">
        <v>25</v>
      </c>
      <c r="N27" s="4"/>
    </row>
    <row r="28" spans="1:14" ht="15.75" x14ac:dyDescent="0.25">
      <c r="A28" s="101"/>
      <c r="B28" s="66" t="s">
        <v>25</v>
      </c>
      <c r="C28" s="17" t="s">
        <v>6</v>
      </c>
      <c r="D28" s="9">
        <v>30000</v>
      </c>
      <c r="E28" s="9">
        <v>28000</v>
      </c>
      <c r="F28" s="9">
        <v>35000</v>
      </c>
      <c r="G28" s="8">
        <v>30000</v>
      </c>
      <c r="H28" s="9">
        <v>22000</v>
      </c>
      <c r="I28" s="9">
        <v>30000</v>
      </c>
      <c r="J28" s="78">
        <v>30000</v>
      </c>
      <c r="K28" s="67">
        <f t="shared" si="0"/>
        <v>29285.714285714286</v>
      </c>
      <c r="M28" s="6" t="s">
        <v>26</v>
      </c>
      <c r="N28" s="4"/>
    </row>
    <row r="29" spans="1:14" ht="15.75" x14ac:dyDescent="0.25">
      <c r="A29" s="101"/>
      <c r="B29" s="66" t="s">
        <v>26</v>
      </c>
      <c r="C29" s="17" t="s">
        <v>6</v>
      </c>
      <c r="D29" s="9">
        <v>60000</v>
      </c>
      <c r="E29" s="9">
        <v>60000</v>
      </c>
      <c r="F29" s="16">
        <v>60000</v>
      </c>
      <c r="G29" s="8">
        <v>70000</v>
      </c>
      <c r="H29" s="9">
        <v>65000</v>
      </c>
      <c r="I29" s="9">
        <v>60000</v>
      </c>
      <c r="J29" s="79">
        <v>60000</v>
      </c>
      <c r="K29" s="67">
        <f t="shared" si="0"/>
        <v>62142.857142857145</v>
      </c>
      <c r="M29" s="6" t="s">
        <v>27</v>
      </c>
      <c r="N29" s="4"/>
    </row>
    <row r="30" spans="1:14" ht="15.75" x14ac:dyDescent="0.25">
      <c r="A30" s="101"/>
      <c r="B30" s="66" t="s">
        <v>27</v>
      </c>
      <c r="C30" s="17" t="s">
        <v>6</v>
      </c>
      <c r="D30" s="9">
        <v>25000</v>
      </c>
      <c r="E30" s="9" t="s">
        <v>99</v>
      </c>
      <c r="F30" s="10" t="s">
        <v>99</v>
      </c>
      <c r="G30" s="8">
        <v>25000</v>
      </c>
      <c r="H30" s="9">
        <v>23000</v>
      </c>
      <c r="I30" s="9" t="s">
        <v>99</v>
      </c>
      <c r="J30" s="79">
        <v>26000</v>
      </c>
      <c r="K30" s="67">
        <f t="shared" si="0"/>
        <v>24750</v>
      </c>
      <c r="M30" s="6" t="s">
        <v>28</v>
      </c>
      <c r="N30" s="4"/>
    </row>
    <row r="31" spans="1:14" ht="15.75" x14ac:dyDescent="0.25">
      <c r="A31" s="101"/>
      <c r="B31" s="66" t="s">
        <v>28</v>
      </c>
      <c r="C31" s="17" t="s">
        <v>6</v>
      </c>
      <c r="D31" s="9">
        <v>32000</v>
      </c>
      <c r="E31" s="9">
        <v>36000</v>
      </c>
      <c r="F31" s="9">
        <v>40000</v>
      </c>
      <c r="G31" s="9">
        <v>40000</v>
      </c>
      <c r="H31" s="9">
        <v>30000</v>
      </c>
      <c r="I31" s="9">
        <v>40000</v>
      </c>
      <c r="J31" s="72">
        <v>35000</v>
      </c>
      <c r="K31" s="67">
        <f t="shared" si="0"/>
        <v>36142.857142857145</v>
      </c>
      <c r="M31" s="6" t="s">
        <v>29</v>
      </c>
      <c r="N31" s="4"/>
    </row>
    <row r="32" spans="1:14" ht="15.75" x14ac:dyDescent="0.25">
      <c r="A32" s="101"/>
      <c r="B32" s="66" t="s">
        <v>29</v>
      </c>
      <c r="C32" s="17" t="s">
        <v>6</v>
      </c>
      <c r="D32" s="9" t="s">
        <v>99</v>
      </c>
      <c r="E32" s="9">
        <v>100000</v>
      </c>
      <c r="F32" s="9">
        <v>100000</v>
      </c>
      <c r="G32" s="9" t="s">
        <v>99</v>
      </c>
      <c r="H32" s="9">
        <v>80000</v>
      </c>
      <c r="I32" s="9">
        <v>100000</v>
      </c>
      <c r="J32" s="79">
        <v>70000</v>
      </c>
      <c r="K32" s="67">
        <f t="shared" si="0"/>
        <v>90000</v>
      </c>
      <c r="M32" s="11" t="s">
        <v>30</v>
      </c>
      <c r="N32" s="4"/>
    </row>
    <row r="33" spans="1:14" ht="15.75" x14ac:dyDescent="0.25">
      <c r="A33" s="101">
        <v>7</v>
      </c>
      <c r="B33" s="60" t="s">
        <v>30</v>
      </c>
      <c r="C33" s="73"/>
      <c r="D33" s="74"/>
      <c r="E33" s="17"/>
      <c r="F33" s="76"/>
      <c r="G33" s="76"/>
      <c r="H33" s="15"/>
      <c r="I33" s="15"/>
      <c r="J33" s="75"/>
      <c r="K33" s="71"/>
      <c r="M33" s="6" t="s">
        <v>31</v>
      </c>
      <c r="N33" s="4"/>
    </row>
    <row r="34" spans="1:14" ht="15.75" x14ac:dyDescent="0.25">
      <c r="A34" s="101"/>
      <c r="B34" s="66" t="s">
        <v>31</v>
      </c>
      <c r="C34" s="17" t="s">
        <v>6</v>
      </c>
      <c r="D34" s="9">
        <v>27000</v>
      </c>
      <c r="E34" s="9">
        <v>27000</v>
      </c>
      <c r="F34" s="9">
        <v>29000</v>
      </c>
      <c r="G34" s="9">
        <v>26000</v>
      </c>
      <c r="H34" s="9">
        <v>28000</v>
      </c>
      <c r="I34" s="9">
        <v>30000</v>
      </c>
      <c r="J34" s="72">
        <v>29000</v>
      </c>
      <c r="K34" s="67">
        <f t="shared" si="0"/>
        <v>28000</v>
      </c>
      <c r="M34" s="6" t="s">
        <v>32</v>
      </c>
      <c r="N34" s="4"/>
    </row>
    <row r="35" spans="1:14" ht="15.75" x14ac:dyDescent="0.25">
      <c r="A35" s="101"/>
      <c r="B35" s="66" t="s">
        <v>32</v>
      </c>
      <c r="C35" s="17" t="s">
        <v>33</v>
      </c>
      <c r="D35" s="9">
        <v>3000</v>
      </c>
      <c r="E35" s="9">
        <v>2500</v>
      </c>
      <c r="F35" s="9">
        <v>2500</v>
      </c>
      <c r="G35" s="9">
        <v>2800</v>
      </c>
      <c r="H35" s="9">
        <v>2600</v>
      </c>
      <c r="I35" s="9">
        <v>3000</v>
      </c>
      <c r="J35" s="72">
        <v>3000</v>
      </c>
      <c r="K35" s="67">
        <f t="shared" si="0"/>
        <v>2771.4285714285716</v>
      </c>
      <c r="M35" s="14" t="s">
        <v>111</v>
      </c>
      <c r="N35" s="4"/>
    </row>
    <row r="36" spans="1:14" ht="15.75" x14ac:dyDescent="0.25">
      <c r="A36" s="59">
        <v>8</v>
      </c>
      <c r="B36" s="73" t="s">
        <v>117</v>
      </c>
      <c r="C36" s="80"/>
      <c r="D36" s="9"/>
      <c r="E36" s="9"/>
      <c r="F36" s="9"/>
      <c r="G36" s="9"/>
      <c r="H36" s="9"/>
      <c r="I36" s="9"/>
      <c r="J36" s="72"/>
      <c r="K36" s="81"/>
      <c r="M36" s="6" t="s">
        <v>112</v>
      </c>
      <c r="N36" s="4"/>
    </row>
    <row r="37" spans="1:14" ht="15.75" x14ac:dyDescent="0.25">
      <c r="A37" s="59"/>
      <c r="B37" s="66" t="s">
        <v>118</v>
      </c>
      <c r="C37" s="17" t="s">
        <v>6</v>
      </c>
      <c r="D37" s="9">
        <v>10000</v>
      </c>
      <c r="E37" s="9">
        <v>1250</v>
      </c>
      <c r="F37" s="9">
        <v>9000</v>
      </c>
      <c r="G37" s="9">
        <v>9000</v>
      </c>
      <c r="H37" s="9">
        <v>16000</v>
      </c>
      <c r="I37" s="9">
        <v>9000</v>
      </c>
      <c r="J37" s="72">
        <v>3000</v>
      </c>
      <c r="K37" s="67">
        <f t="shared" si="0"/>
        <v>8178.5714285714284</v>
      </c>
      <c r="M37" s="6" t="s">
        <v>113</v>
      </c>
      <c r="N37" s="4"/>
    </row>
    <row r="38" spans="1:14" ht="15.75" x14ac:dyDescent="0.25">
      <c r="A38" s="59"/>
      <c r="B38" s="66" t="s">
        <v>119</v>
      </c>
      <c r="C38" s="17" t="s">
        <v>6</v>
      </c>
      <c r="D38" s="9" t="s">
        <v>99</v>
      </c>
      <c r="E38" s="9">
        <v>10000</v>
      </c>
      <c r="F38" s="9">
        <v>12000</v>
      </c>
      <c r="G38" s="9">
        <v>14000</v>
      </c>
      <c r="H38" s="9" t="s">
        <v>99</v>
      </c>
      <c r="I38" s="9">
        <v>12000</v>
      </c>
      <c r="J38" s="72">
        <v>12000</v>
      </c>
      <c r="K38" s="67">
        <f>AVERAGE(D38:J38)</f>
        <v>12000</v>
      </c>
      <c r="M38" s="11" t="s">
        <v>34</v>
      </c>
      <c r="N38" s="4"/>
    </row>
    <row r="39" spans="1:14" ht="15.75" x14ac:dyDescent="0.25">
      <c r="A39" s="59">
        <v>9</v>
      </c>
      <c r="B39" s="82" t="s">
        <v>120</v>
      </c>
      <c r="C39" s="83"/>
      <c r="D39" s="9"/>
      <c r="E39" s="9"/>
      <c r="F39" s="9"/>
      <c r="G39" s="9"/>
      <c r="H39" s="9"/>
      <c r="I39" s="9"/>
      <c r="J39" s="72"/>
      <c r="K39" s="81"/>
      <c r="M39" s="6" t="s">
        <v>35</v>
      </c>
      <c r="N39" s="4"/>
    </row>
    <row r="40" spans="1:14" ht="15.75" x14ac:dyDescent="0.25">
      <c r="A40" s="59"/>
      <c r="B40" s="66" t="s">
        <v>121</v>
      </c>
      <c r="C40" s="17" t="s">
        <v>6</v>
      </c>
      <c r="D40" s="9" t="s">
        <v>99</v>
      </c>
      <c r="E40" s="9" t="s">
        <v>99</v>
      </c>
      <c r="F40" s="9" t="s">
        <v>99</v>
      </c>
      <c r="G40" s="9">
        <v>16000</v>
      </c>
      <c r="H40" s="9">
        <v>14000</v>
      </c>
      <c r="I40" s="9" t="s">
        <v>99</v>
      </c>
      <c r="J40" s="72">
        <v>15000</v>
      </c>
      <c r="K40" s="67">
        <f t="shared" si="0"/>
        <v>15000</v>
      </c>
      <c r="M40" s="6" t="s">
        <v>37</v>
      </c>
      <c r="N40" s="4"/>
    </row>
    <row r="41" spans="1:14" ht="15.75" x14ac:dyDescent="0.25">
      <c r="A41" s="59"/>
      <c r="B41" s="66" t="s">
        <v>122</v>
      </c>
      <c r="C41" s="17" t="s">
        <v>6</v>
      </c>
      <c r="D41" s="9" t="s">
        <v>99</v>
      </c>
      <c r="E41" s="9" t="s">
        <v>99</v>
      </c>
      <c r="F41" s="9">
        <v>6000</v>
      </c>
      <c r="G41" s="9" t="s">
        <v>99</v>
      </c>
      <c r="H41" s="9" t="s">
        <v>99</v>
      </c>
      <c r="I41" s="9">
        <v>6000</v>
      </c>
      <c r="J41" s="72" t="s">
        <v>99</v>
      </c>
      <c r="K41" s="67">
        <f t="shared" si="0"/>
        <v>6000</v>
      </c>
      <c r="M41" s="11" t="s">
        <v>38</v>
      </c>
      <c r="N41" s="4"/>
    </row>
    <row r="42" spans="1:14" ht="15.75" x14ac:dyDescent="0.25">
      <c r="A42" s="59"/>
      <c r="B42" s="66" t="s">
        <v>123</v>
      </c>
      <c r="C42" s="17" t="s">
        <v>6</v>
      </c>
      <c r="D42" s="9" t="s">
        <v>99</v>
      </c>
      <c r="E42" s="9">
        <v>2500</v>
      </c>
      <c r="F42" s="9" t="s">
        <v>99</v>
      </c>
      <c r="G42" s="9" t="s">
        <v>99</v>
      </c>
      <c r="H42" s="9" t="s">
        <v>99</v>
      </c>
      <c r="I42" s="9" t="s">
        <v>99</v>
      </c>
      <c r="J42" s="72" t="s">
        <v>99</v>
      </c>
      <c r="K42" s="67">
        <f t="shared" si="0"/>
        <v>2500</v>
      </c>
      <c r="M42" s="6" t="s">
        <v>39</v>
      </c>
      <c r="N42" s="4"/>
    </row>
    <row r="43" spans="1:14" ht="15.75" x14ac:dyDescent="0.25">
      <c r="A43" s="101">
        <v>10</v>
      </c>
      <c r="B43" s="60" t="s">
        <v>34</v>
      </c>
      <c r="C43" s="73"/>
      <c r="D43" s="74"/>
      <c r="E43" s="17"/>
      <c r="F43" s="76"/>
      <c r="G43" s="15"/>
      <c r="H43" s="15"/>
      <c r="I43" s="15"/>
      <c r="J43" s="84"/>
      <c r="K43" s="71"/>
      <c r="M43" s="6" t="s">
        <v>41</v>
      </c>
      <c r="N43" s="4"/>
    </row>
    <row r="44" spans="1:14" ht="15.75" x14ac:dyDescent="0.25">
      <c r="A44" s="101"/>
      <c r="B44" s="66" t="s">
        <v>35</v>
      </c>
      <c r="C44" s="17" t="s">
        <v>36</v>
      </c>
      <c r="D44" s="9">
        <v>12000</v>
      </c>
      <c r="E44" s="9">
        <v>12000</v>
      </c>
      <c r="F44" s="9">
        <v>12500</v>
      </c>
      <c r="G44" s="9">
        <v>12500</v>
      </c>
      <c r="H44" s="10" t="s">
        <v>99</v>
      </c>
      <c r="I44" s="16">
        <v>12500</v>
      </c>
      <c r="J44" s="72">
        <v>12500</v>
      </c>
      <c r="K44" s="67">
        <f t="shared" si="0"/>
        <v>12333.333333333334</v>
      </c>
      <c r="M44" s="18" t="s">
        <v>43</v>
      </c>
      <c r="N44" s="4"/>
    </row>
    <row r="45" spans="1:14" ht="15.75" x14ac:dyDescent="0.25">
      <c r="A45" s="101"/>
      <c r="B45" s="66" t="s">
        <v>124</v>
      </c>
      <c r="C45" s="17" t="s">
        <v>36</v>
      </c>
      <c r="D45" s="9">
        <v>12000</v>
      </c>
      <c r="E45" s="9">
        <v>13000</v>
      </c>
      <c r="F45" s="16">
        <v>12500</v>
      </c>
      <c r="G45" s="9">
        <v>12500</v>
      </c>
      <c r="H45" s="10" t="s">
        <v>99</v>
      </c>
      <c r="I45" s="16">
        <v>12500</v>
      </c>
      <c r="J45" s="79">
        <v>12500</v>
      </c>
      <c r="K45" s="67">
        <f>AVERAGE(D45:J45)</f>
        <v>12500</v>
      </c>
      <c r="M45" s="6" t="s">
        <v>44</v>
      </c>
      <c r="N45" s="4"/>
    </row>
    <row r="46" spans="1:14" ht="15.75" x14ac:dyDescent="0.25">
      <c r="A46" s="101">
        <v>11</v>
      </c>
      <c r="B46" s="60" t="s">
        <v>38</v>
      </c>
      <c r="C46" s="73"/>
      <c r="D46" s="74"/>
      <c r="E46" s="17"/>
      <c r="F46" s="15"/>
      <c r="G46" s="76"/>
      <c r="H46" s="15"/>
      <c r="I46" s="15"/>
      <c r="J46" s="75"/>
      <c r="K46" s="71"/>
      <c r="M46" s="6" t="s">
        <v>45</v>
      </c>
      <c r="N46" s="4"/>
    </row>
    <row r="47" spans="1:14" ht="15.75" x14ac:dyDescent="0.25">
      <c r="A47" s="101"/>
      <c r="B47" s="66" t="s">
        <v>39</v>
      </c>
      <c r="C47" s="17" t="s">
        <v>40</v>
      </c>
      <c r="D47" s="9" t="s">
        <v>99</v>
      </c>
      <c r="E47" s="9" t="s">
        <v>99</v>
      </c>
      <c r="F47" s="10" t="s">
        <v>99</v>
      </c>
      <c r="G47" s="8" t="s">
        <v>99</v>
      </c>
      <c r="H47" s="9">
        <v>17500</v>
      </c>
      <c r="I47" s="16" t="s">
        <v>99</v>
      </c>
      <c r="J47" s="79" t="s">
        <v>99</v>
      </c>
      <c r="K47" s="67">
        <f t="shared" si="0"/>
        <v>17500</v>
      </c>
      <c r="M47" s="11" t="s">
        <v>46</v>
      </c>
      <c r="N47" s="4"/>
    </row>
    <row r="48" spans="1:14" ht="15.75" x14ac:dyDescent="0.25">
      <c r="A48" s="101"/>
      <c r="B48" s="66" t="s">
        <v>41</v>
      </c>
      <c r="C48" s="17" t="s">
        <v>42</v>
      </c>
      <c r="D48" s="9" t="s">
        <v>99</v>
      </c>
      <c r="E48" s="9" t="s">
        <v>99</v>
      </c>
      <c r="F48" s="10" t="s">
        <v>99</v>
      </c>
      <c r="G48" s="8" t="s">
        <v>99</v>
      </c>
      <c r="H48" s="9">
        <v>2000</v>
      </c>
      <c r="I48" s="16" t="s">
        <v>99</v>
      </c>
      <c r="J48" s="79" t="s">
        <v>99</v>
      </c>
      <c r="K48" s="67">
        <f t="shared" si="0"/>
        <v>2000</v>
      </c>
      <c r="M48" s="6" t="s">
        <v>47</v>
      </c>
      <c r="N48" s="4"/>
    </row>
    <row r="49" spans="1:14" ht="15.75" x14ac:dyDescent="0.25">
      <c r="A49" s="59">
        <v>12</v>
      </c>
      <c r="B49" s="85" t="s">
        <v>43</v>
      </c>
      <c r="C49" s="80"/>
      <c r="D49" s="19"/>
      <c r="E49" s="10"/>
      <c r="F49" s="10"/>
      <c r="G49" s="22"/>
      <c r="H49" s="10"/>
      <c r="I49" s="10"/>
      <c r="J49" s="77"/>
      <c r="K49" s="71"/>
      <c r="M49" s="11" t="s">
        <v>49</v>
      </c>
      <c r="N49" s="4"/>
    </row>
    <row r="50" spans="1:14" ht="15.75" x14ac:dyDescent="0.25">
      <c r="A50" s="59"/>
      <c r="B50" s="66" t="s">
        <v>44</v>
      </c>
      <c r="C50" s="86" t="s">
        <v>6</v>
      </c>
      <c r="D50" s="9">
        <v>10000</v>
      </c>
      <c r="E50" s="9">
        <v>8000</v>
      </c>
      <c r="F50" s="9">
        <v>10000</v>
      </c>
      <c r="G50" s="9">
        <v>10000</v>
      </c>
      <c r="H50" s="9">
        <v>15000</v>
      </c>
      <c r="I50" s="8">
        <v>15000</v>
      </c>
      <c r="J50" s="72">
        <v>15000</v>
      </c>
      <c r="K50" s="67">
        <f t="shared" si="0"/>
        <v>11857.142857142857</v>
      </c>
      <c r="M50" s="21" t="s">
        <v>50</v>
      </c>
      <c r="N50" s="4"/>
    </row>
    <row r="51" spans="1:14" ht="15.75" x14ac:dyDescent="0.25">
      <c r="A51" s="59"/>
      <c r="B51" s="66" t="s">
        <v>45</v>
      </c>
      <c r="C51" s="86" t="s">
        <v>6</v>
      </c>
      <c r="D51" s="9" t="s">
        <v>99</v>
      </c>
      <c r="E51" s="9">
        <v>10000</v>
      </c>
      <c r="F51" s="8">
        <v>9000</v>
      </c>
      <c r="G51" s="9">
        <v>10000</v>
      </c>
      <c r="H51" s="9">
        <v>12000</v>
      </c>
      <c r="I51" s="9">
        <v>12000</v>
      </c>
      <c r="J51" s="72">
        <v>10000</v>
      </c>
      <c r="K51" s="67">
        <f t="shared" si="0"/>
        <v>10500</v>
      </c>
      <c r="M51" s="11" t="s">
        <v>51</v>
      </c>
      <c r="N51" s="23"/>
    </row>
    <row r="52" spans="1:14" ht="15.75" x14ac:dyDescent="0.25">
      <c r="A52" s="101">
        <v>13</v>
      </c>
      <c r="B52" s="60" t="s">
        <v>46</v>
      </c>
      <c r="C52" s="73"/>
      <c r="D52" s="74"/>
      <c r="E52" s="17"/>
      <c r="F52" s="76"/>
      <c r="G52" s="76"/>
      <c r="H52" s="15"/>
      <c r="I52" s="15"/>
      <c r="J52" s="84"/>
      <c r="K52" s="71"/>
      <c r="M52" s="6" t="s">
        <v>52</v>
      </c>
      <c r="N52" s="4"/>
    </row>
    <row r="53" spans="1:14" ht="15.75" x14ac:dyDescent="0.25">
      <c r="A53" s="101"/>
      <c r="B53" s="66" t="s">
        <v>47</v>
      </c>
      <c r="C53" s="17" t="s">
        <v>125</v>
      </c>
      <c r="D53" s="9">
        <v>3000</v>
      </c>
      <c r="E53" s="9">
        <v>4000</v>
      </c>
      <c r="F53" s="9">
        <v>5000</v>
      </c>
      <c r="G53" s="9">
        <v>5000</v>
      </c>
      <c r="H53" s="9">
        <v>2500</v>
      </c>
      <c r="I53" s="16">
        <v>5000</v>
      </c>
      <c r="J53" s="72">
        <v>2500</v>
      </c>
      <c r="K53" s="67">
        <f t="shared" si="0"/>
        <v>3857.1428571428573</v>
      </c>
      <c r="M53" s="6" t="s">
        <v>53</v>
      </c>
      <c r="N53" s="4"/>
    </row>
    <row r="54" spans="1:14" ht="15.75" x14ac:dyDescent="0.25">
      <c r="A54" s="101">
        <v>14</v>
      </c>
      <c r="B54" s="60" t="s">
        <v>49</v>
      </c>
      <c r="C54" s="80"/>
      <c r="D54" s="62"/>
      <c r="E54" s="17"/>
      <c r="F54" s="20"/>
      <c r="G54" s="20"/>
      <c r="H54" s="17"/>
      <c r="I54" s="17"/>
      <c r="J54" s="87"/>
      <c r="K54" s="71"/>
      <c r="M54" s="6" t="s">
        <v>54</v>
      </c>
      <c r="N54" s="4"/>
    </row>
    <row r="55" spans="1:14" ht="15.75" x14ac:dyDescent="0.25">
      <c r="A55" s="101"/>
      <c r="B55" s="88" t="s">
        <v>50</v>
      </c>
      <c r="C55" s="86" t="s">
        <v>6</v>
      </c>
      <c r="D55" s="9">
        <v>10000</v>
      </c>
      <c r="E55" s="9">
        <v>10500</v>
      </c>
      <c r="F55" s="9">
        <v>10000</v>
      </c>
      <c r="G55" s="9">
        <v>11000</v>
      </c>
      <c r="H55" s="9">
        <v>12000</v>
      </c>
      <c r="I55" s="9">
        <v>10000</v>
      </c>
      <c r="J55" s="72">
        <v>10000</v>
      </c>
      <c r="K55" s="67">
        <f t="shared" si="0"/>
        <v>10500</v>
      </c>
      <c r="M55" s="6" t="s">
        <v>55</v>
      </c>
      <c r="N55" s="4"/>
    </row>
    <row r="56" spans="1:14" ht="15.75" x14ac:dyDescent="0.25">
      <c r="A56" s="101">
        <v>15</v>
      </c>
      <c r="B56" s="60" t="s">
        <v>51</v>
      </c>
      <c r="C56" s="73"/>
      <c r="D56" s="74"/>
      <c r="E56" s="17"/>
      <c r="F56" s="76"/>
      <c r="G56" s="15"/>
      <c r="H56" s="15"/>
      <c r="I56" s="15"/>
      <c r="J56" s="84"/>
      <c r="K56" s="71"/>
      <c r="M56" s="11" t="s">
        <v>56</v>
      </c>
      <c r="N56" s="4"/>
    </row>
    <row r="57" spans="1:14" ht="15.75" x14ac:dyDescent="0.25">
      <c r="A57" s="101"/>
      <c r="B57" s="66" t="s">
        <v>52</v>
      </c>
      <c r="C57" s="17" t="s">
        <v>6</v>
      </c>
      <c r="D57" s="9">
        <v>16000</v>
      </c>
      <c r="E57" s="9">
        <v>13000</v>
      </c>
      <c r="F57" s="9">
        <v>14000</v>
      </c>
      <c r="G57" s="9">
        <v>14000</v>
      </c>
      <c r="H57" s="9">
        <v>11500</v>
      </c>
      <c r="I57" s="9">
        <v>17000</v>
      </c>
      <c r="J57" s="72" t="s">
        <v>99</v>
      </c>
      <c r="K57" s="67">
        <f t="shared" si="0"/>
        <v>14250</v>
      </c>
      <c r="M57" s="6" t="s">
        <v>57</v>
      </c>
      <c r="N57" s="4"/>
    </row>
    <row r="58" spans="1:14" ht="15.75" x14ac:dyDescent="0.25">
      <c r="A58" s="101"/>
      <c r="B58" s="66" t="s">
        <v>53</v>
      </c>
      <c r="C58" s="17" t="s">
        <v>6</v>
      </c>
      <c r="D58" s="9" t="s">
        <v>99</v>
      </c>
      <c r="E58" s="9" t="s">
        <v>99</v>
      </c>
      <c r="F58" s="16">
        <v>15000</v>
      </c>
      <c r="G58" s="22" t="s">
        <v>99</v>
      </c>
      <c r="H58" s="9">
        <v>13000</v>
      </c>
      <c r="I58" s="8">
        <v>15000</v>
      </c>
      <c r="J58" s="72">
        <v>14000</v>
      </c>
      <c r="K58" s="67">
        <f t="shared" si="0"/>
        <v>14250</v>
      </c>
      <c r="M58" s="11" t="s">
        <v>59</v>
      </c>
      <c r="N58" s="4"/>
    </row>
    <row r="59" spans="1:14" ht="15.75" x14ac:dyDescent="0.25">
      <c r="A59" s="101"/>
      <c r="B59" s="66" t="s">
        <v>54</v>
      </c>
      <c r="C59" s="17" t="s">
        <v>6</v>
      </c>
      <c r="D59" s="9">
        <v>22000</v>
      </c>
      <c r="E59" s="9">
        <v>23000</v>
      </c>
      <c r="F59" s="9">
        <v>23000</v>
      </c>
      <c r="G59" s="9">
        <v>23000</v>
      </c>
      <c r="H59" s="9">
        <v>20000</v>
      </c>
      <c r="I59" s="9">
        <v>23000</v>
      </c>
      <c r="J59" s="72">
        <v>24000</v>
      </c>
      <c r="K59" s="67">
        <f t="shared" si="0"/>
        <v>22571.428571428572</v>
      </c>
      <c r="M59" s="6" t="s">
        <v>60</v>
      </c>
      <c r="N59" s="4"/>
    </row>
    <row r="60" spans="1:14" ht="15.75" x14ac:dyDescent="0.25">
      <c r="A60" s="101"/>
      <c r="B60" s="66" t="s">
        <v>55</v>
      </c>
      <c r="C60" s="17" t="s">
        <v>6</v>
      </c>
      <c r="D60" s="9">
        <v>26000</v>
      </c>
      <c r="E60" s="9">
        <v>30000</v>
      </c>
      <c r="F60" s="9">
        <v>28000</v>
      </c>
      <c r="G60" s="9">
        <v>30000</v>
      </c>
      <c r="H60" s="9">
        <v>27000</v>
      </c>
      <c r="I60" s="9">
        <v>28000</v>
      </c>
      <c r="J60" s="72">
        <v>28000</v>
      </c>
      <c r="K60" s="67">
        <f t="shared" si="0"/>
        <v>28142.857142857141</v>
      </c>
      <c r="M60" s="6" t="s">
        <v>61</v>
      </c>
      <c r="N60" s="4"/>
    </row>
    <row r="61" spans="1:14" ht="15.75" x14ac:dyDescent="0.25">
      <c r="A61" s="17">
        <v>16</v>
      </c>
      <c r="B61" s="60" t="s">
        <v>56</v>
      </c>
      <c r="C61" s="80"/>
      <c r="D61" s="89"/>
      <c r="E61" s="10"/>
      <c r="F61" s="22"/>
      <c r="G61" s="10"/>
      <c r="H61" s="10"/>
      <c r="I61" s="10"/>
      <c r="J61" s="90"/>
      <c r="K61" s="71"/>
      <c r="M61" s="6" t="s">
        <v>62</v>
      </c>
      <c r="N61" s="4"/>
    </row>
    <row r="62" spans="1:14" ht="15.75" x14ac:dyDescent="0.25">
      <c r="A62" s="17"/>
      <c r="B62" s="66" t="s">
        <v>57</v>
      </c>
      <c r="C62" s="86" t="s">
        <v>58</v>
      </c>
      <c r="D62" s="9">
        <v>3000</v>
      </c>
      <c r="E62" s="9">
        <v>3200</v>
      </c>
      <c r="F62" s="9">
        <v>3000</v>
      </c>
      <c r="G62" s="9">
        <v>3000</v>
      </c>
      <c r="H62" s="10" t="s">
        <v>99</v>
      </c>
      <c r="I62" s="16">
        <v>3000</v>
      </c>
      <c r="J62" s="72">
        <v>3500</v>
      </c>
      <c r="K62" s="67">
        <f t="shared" si="0"/>
        <v>3116.6666666666665</v>
      </c>
      <c r="M62" s="11" t="s">
        <v>63</v>
      </c>
      <c r="N62" s="4"/>
    </row>
    <row r="63" spans="1:14" ht="15.75" x14ac:dyDescent="0.25">
      <c r="A63" s="101">
        <v>17</v>
      </c>
      <c r="B63" s="60" t="s">
        <v>59</v>
      </c>
      <c r="C63" s="73"/>
      <c r="D63" s="74"/>
      <c r="E63" s="17"/>
      <c r="F63" s="76"/>
      <c r="G63" s="76"/>
      <c r="H63" s="15"/>
      <c r="I63" s="15"/>
      <c r="J63" s="84"/>
      <c r="K63" s="71"/>
      <c r="M63" s="6" t="s">
        <v>64</v>
      </c>
      <c r="N63" s="4"/>
    </row>
    <row r="64" spans="1:14" ht="15.75" x14ac:dyDescent="0.25">
      <c r="A64" s="101"/>
      <c r="B64" s="66" t="s">
        <v>60</v>
      </c>
      <c r="C64" s="17" t="s">
        <v>6</v>
      </c>
      <c r="D64" s="9">
        <v>75000</v>
      </c>
      <c r="E64" s="9">
        <v>70000</v>
      </c>
      <c r="F64" s="9">
        <v>75000</v>
      </c>
      <c r="G64" s="9">
        <v>70000</v>
      </c>
      <c r="H64" s="9">
        <v>80000</v>
      </c>
      <c r="I64" s="9">
        <v>90000</v>
      </c>
      <c r="J64" s="72">
        <v>80000</v>
      </c>
      <c r="K64" s="67">
        <f t="shared" si="0"/>
        <v>77142.857142857145</v>
      </c>
      <c r="M64" s="11" t="s">
        <v>66</v>
      </c>
      <c r="N64" s="4"/>
    </row>
    <row r="65" spans="1:14" ht="15.75" x14ac:dyDescent="0.25">
      <c r="A65" s="101"/>
      <c r="B65" s="66" t="s">
        <v>61</v>
      </c>
      <c r="C65" s="17" t="s">
        <v>6</v>
      </c>
      <c r="D65" s="9">
        <v>80000</v>
      </c>
      <c r="E65" s="9">
        <v>70000</v>
      </c>
      <c r="F65" s="9">
        <v>75000</v>
      </c>
      <c r="G65" s="9">
        <v>60000</v>
      </c>
      <c r="H65" s="9">
        <v>75000</v>
      </c>
      <c r="I65" s="8">
        <v>65000</v>
      </c>
      <c r="J65" s="72">
        <v>65000</v>
      </c>
      <c r="K65" s="67">
        <f t="shared" si="0"/>
        <v>70000</v>
      </c>
      <c r="M65" s="6" t="s">
        <v>67</v>
      </c>
      <c r="N65" s="4"/>
    </row>
    <row r="66" spans="1:14" ht="15.75" x14ac:dyDescent="0.25">
      <c r="A66" s="101"/>
      <c r="B66" s="66" t="s">
        <v>62</v>
      </c>
      <c r="C66" s="17" t="s">
        <v>6</v>
      </c>
      <c r="D66" s="9">
        <v>60000</v>
      </c>
      <c r="E66" s="9">
        <v>60000</v>
      </c>
      <c r="F66" s="9">
        <v>62000</v>
      </c>
      <c r="G66" s="9">
        <v>60000</v>
      </c>
      <c r="H66" s="9">
        <v>70000</v>
      </c>
      <c r="I66" s="9">
        <v>75000</v>
      </c>
      <c r="J66" s="72">
        <v>70000</v>
      </c>
      <c r="K66" s="67">
        <f t="shared" si="0"/>
        <v>65285.714285714283</v>
      </c>
      <c r="M66" s="6" t="s">
        <v>68</v>
      </c>
      <c r="N66" s="4"/>
    </row>
    <row r="67" spans="1:14" ht="15.75" x14ac:dyDescent="0.25">
      <c r="A67" s="17">
        <v>18</v>
      </c>
      <c r="B67" s="60" t="s">
        <v>63</v>
      </c>
      <c r="C67" s="80"/>
      <c r="D67" s="24"/>
      <c r="E67" s="10"/>
      <c r="F67" s="22"/>
      <c r="G67" s="10"/>
      <c r="H67" s="10" t="s">
        <v>1</v>
      </c>
      <c r="I67" s="10"/>
      <c r="J67" s="77"/>
      <c r="K67" s="71"/>
      <c r="M67" s="6" t="s">
        <v>69</v>
      </c>
      <c r="N67" s="4"/>
    </row>
    <row r="68" spans="1:14" ht="15.75" x14ac:dyDescent="0.25">
      <c r="A68" s="17"/>
      <c r="B68" s="66" t="s">
        <v>64</v>
      </c>
      <c r="C68" s="17" t="s">
        <v>65</v>
      </c>
      <c r="D68" s="9">
        <v>20000</v>
      </c>
      <c r="E68" s="9">
        <v>18000</v>
      </c>
      <c r="F68" s="9">
        <v>18000</v>
      </c>
      <c r="G68" s="9">
        <v>18000</v>
      </c>
      <c r="H68" s="10" t="s">
        <v>99</v>
      </c>
      <c r="I68" s="9">
        <v>18000</v>
      </c>
      <c r="J68" s="79">
        <v>18000</v>
      </c>
      <c r="K68" s="67">
        <f t="shared" si="0"/>
        <v>18333.333333333332</v>
      </c>
      <c r="M68" s="6" t="s">
        <v>70</v>
      </c>
      <c r="N68" s="4"/>
    </row>
    <row r="69" spans="1:14" ht="15.75" x14ac:dyDescent="0.25">
      <c r="A69" s="101">
        <v>19</v>
      </c>
      <c r="B69" s="60" t="s">
        <v>66</v>
      </c>
      <c r="C69" s="60"/>
      <c r="D69" s="74"/>
      <c r="E69" s="17"/>
      <c r="F69" s="15"/>
      <c r="G69" s="15"/>
      <c r="H69" s="15"/>
      <c r="I69" s="15"/>
      <c r="J69" s="75"/>
      <c r="K69" s="71"/>
      <c r="M69" s="11" t="s">
        <v>71</v>
      </c>
      <c r="N69" s="4"/>
    </row>
    <row r="70" spans="1:14" ht="15.75" x14ac:dyDescent="0.25">
      <c r="A70" s="101"/>
      <c r="B70" s="66" t="s">
        <v>67</v>
      </c>
      <c r="C70" s="17" t="s">
        <v>6</v>
      </c>
      <c r="D70" s="9">
        <v>38000</v>
      </c>
      <c r="E70" s="9">
        <v>35000</v>
      </c>
      <c r="F70" s="9">
        <v>36000</v>
      </c>
      <c r="G70" s="9">
        <v>35000</v>
      </c>
      <c r="H70" s="9">
        <v>37000</v>
      </c>
      <c r="I70" s="9">
        <v>38000</v>
      </c>
      <c r="J70" s="72">
        <v>40000</v>
      </c>
      <c r="K70" s="67">
        <f t="shared" si="0"/>
        <v>37000</v>
      </c>
      <c r="M70" s="6" t="s">
        <v>72</v>
      </c>
      <c r="N70" s="4"/>
    </row>
    <row r="71" spans="1:14" ht="15.75" x14ac:dyDescent="0.25">
      <c r="A71" s="101"/>
      <c r="B71" s="66" t="s">
        <v>68</v>
      </c>
      <c r="C71" s="17" t="s">
        <v>6</v>
      </c>
      <c r="D71" s="9">
        <v>34000</v>
      </c>
      <c r="E71" s="9">
        <v>32000</v>
      </c>
      <c r="F71" s="9">
        <v>33000</v>
      </c>
      <c r="G71" s="9">
        <v>32000</v>
      </c>
      <c r="H71" s="9">
        <v>32000</v>
      </c>
      <c r="I71" s="9">
        <v>32000</v>
      </c>
      <c r="J71" s="72">
        <v>33000</v>
      </c>
      <c r="K71" s="67">
        <f t="shared" si="0"/>
        <v>32571.428571428572</v>
      </c>
      <c r="M71" s="6" t="s">
        <v>73</v>
      </c>
      <c r="N71" s="4"/>
    </row>
    <row r="72" spans="1:14" ht="15.75" x14ac:dyDescent="0.25">
      <c r="A72" s="101"/>
      <c r="B72" s="66" t="s">
        <v>69</v>
      </c>
      <c r="C72" s="17" t="s">
        <v>6</v>
      </c>
      <c r="D72" s="9">
        <v>28000</v>
      </c>
      <c r="E72" s="9">
        <v>28000</v>
      </c>
      <c r="F72" s="9">
        <v>24000</v>
      </c>
      <c r="G72" s="9">
        <v>24000</v>
      </c>
      <c r="H72" s="9">
        <v>23000</v>
      </c>
      <c r="I72" s="9">
        <v>30000</v>
      </c>
      <c r="J72" s="72">
        <v>20000</v>
      </c>
      <c r="K72" s="67">
        <f t="shared" si="0"/>
        <v>25285.714285714286</v>
      </c>
      <c r="M72" s="11" t="s">
        <v>74</v>
      </c>
      <c r="N72" s="4"/>
    </row>
    <row r="73" spans="1:14" ht="15.75" x14ac:dyDescent="0.25">
      <c r="A73" s="101"/>
      <c r="B73" s="66" t="s">
        <v>70</v>
      </c>
      <c r="C73" s="17" t="s">
        <v>6</v>
      </c>
      <c r="D73" s="9">
        <v>28000</v>
      </c>
      <c r="E73" s="9">
        <v>25000</v>
      </c>
      <c r="F73" s="16">
        <v>28000</v>
      </c>
      <c r="G73" s="8">
        <v>30000</v>
      </c>
      <c r="H73" s="9">
        <v>25000</v>
      </c>
      <c r="I73" s="9">
        <v>28000</v>
      </c>
      <c r="J73" s="72">
        <v>30000</v>
      </c>
      <c r="K73" s="67">
        <f t="shared" si="0"/>
        <v>27714.285714285714</v>
      </c>
      <c r="M73" s="6" t="s">
        <v>75</v>
      </c>
      <c r="N73" s="4"/>
    </row>
    <row r="74" spans="1:14" ht="15.75" x14ac:dyDescent="0.25">
      <c r="A74" s="17">
        <v>20</v>
      </c>
      <c r="B74" s="60" t="s">
        <v>71</v>
      </c>
      <c r="C74" s="91"/>
      <c r="D74" s="24"/>
      <c r="E74" s="10"/>
      <c r="F74" s="10"/>
      <c r="G74" s="89"/>
      <c r="H74" s="10"/>
      <c r="I74" s="10"/>
      <c r="J74" s="90"/>
      <c r="K74" s="71"/>
      <c r="M74" s="6" t="s">
        <v>76</v>
      </c>
      <c r="N74" s="4"/>
    </row>
    <row r="75" spans="1:14" ht="15.75" x14ac:dyDescent="0.25">
      <c r="A75" s="17"/>
      <c r="B75" s="66" t="s">
        <v>72</v>
      </c>
      <c r="C75" s="86" t="s">
        <v>6</v>
      </c>
      <c r="D75" s="9">
        <v>7000</v>
      </c>
      <c r="E75" s="9">
        <v>7000</v>
      </c>
      <c r="F75" s="9">
        <v>5000</v>
      </c>
      <c r="G75" s="9">
        <v>6000</v>
      </c>
      <c r="H75" s="9">
        <v>5000</v>
      </c>
      <c r="I75" s="9">
        <v>5000</v>
      </c>
      <c r="J75" s="72">
        <v>5000</v>
      </c>
      <c r="K75" s="67">
        <f t="shared" si="0"/>
        <v>5714.2857142857147</v>
      </c>
      <c r="M75" s="6" t="s">
        <v>77</v>
      </c>
      <c r="N75" s="4"/>
    </row>
    <row r="76" spans="1:14" ht="15.75" x14ac:dyDescent="0.25">
      <c r="A76" s="17"/>
      <c r="B76" s="66" t="s">
        <v>73</v>
      </c>
      <c r="C76" s="86" t="s">
        <v>6</v>
      </c>
      <c r="D76" s="9">
        <v>7000</v>
      </c>
      <c r="E76" s="9">
        <v>6000</v>
      </c>
      <c r="F76" s="16">
        <v>6000</v>
      </c>
      <c r="G76" s="8">
        <v>6000</v>
      </c>
      <c r="H76" s="9">
        <v>5000</v>
      </c>
      <c r="I76" s="9">
        <v>6000</v>
      </c>
      <c r="J76" s="79">
        <v>6000</v>
      </c>
      <c r="K76" s="67">
        <f t="shared" si="0"/>
        <v>6000</v>
      </c>
      <c r="M76" s="6" t="s">
        <v>78</v>
      </c>
      <c r="N76" s="4"/>
    </row>
    <row r="77" spans="1:14" ht="15.75" x14ac:dyDescent="0.25">
      <c r="A77" s="17">
        <v>21</v>
      </c>
      <c r="B77" s="60" t="s">
        <v>74</v>
      </c>
      <c r="C77" s="91"/>
      <c r="D77" s="19"/>
      <c r="E77" s="10"/>
      <c r="F77" s="10"/>
      <c r="G77" s="22"/>
      <c r="H77" s="10"/>
      <c r="I77" s="10"/>
      <c r="J77" s="77"/>
      <c r="K77" s="71"/>
      <c r="M77" s="6" t="s">
        <v>79</v>
      </c>
      <c r="N77" s="4"/>
    </row>
    <row r="78" spans="1:14" ht="15.75" x14ac:dyDescent="0.25">
      <c r="A78" s="17"/>
      <c r="B78" s="66" t="s">
        <v>75</v>
      </c>
      <c r="C78" s="86" t="s">
        <v>6</v>
      </c>
      <c r="D78" s="9">
        <v>6000</v>
      </c>
      <c r="E78" s="9">
        <v>8000</v>
      </c>
      <c r="F78" s="9">
        <v>10000</v>
      </c>
      <c r="G78" s="9">
        <v>8000</v>
      </c>
      <c r="H78" s="9">
        <v>6000</v>
      </c>
      <c r="I78" s="16">
        <v>9000</v>
      </c>
      <c r="J78" s="72" t="s">
        <v>99</v>
      </c>
      <c r="K78" s="67">
        <f t="shared" si="0"/>
        <v>7833.333333333333</v>
      </c>
      <c r="M78" s="6" t="s">
        <v>80</v>
      </c>
      <c r="N78" s="4"/>
    </row>
    <row r="79" spans="1:14" ht="15.75" x14ac:dyDescent="0.25">
      <c r="A79" s="17"/>
      <c r="B79" s="66" t="s">
        <v>76</v>
      </c>
      <c r="C79" s="86" t="s">
        <v>6</v>
      </c>
      <c r="D79" s="9">
        <v>8000</v>
      </c>
      <c r="E79" s="9">
        <v>10000</v>
      </c>
      <c r="F79" s="9">
        <v>20000</v>
      </c>
      <c r="G79" s="9">
        <v>12000</v>
      </c>
      <c r="H79" s="9">
        <v>6000</v>
      </c>
      <c r="I79" s="16">
        <v>8000</v>
      </c>
      <c r="J79" s="72">
        <v>15000</v>
      </c>
      <c r="K79" s="67">
        <f t="shared" si="0"/>
        <v>11285.714285714286</v>
      </c>
      <c r="M79" s="6" t="s">
        <v>81</v>
      </c>
      <c r="N79" s="4"/>
    </row>
    <row r="80" spans="1:14" ht="15.75" x14ac:dyDescent="0.25">
      <c r="A80" s="17"/>
      <c r="B80" s="66" t="s">
        <v>77</v>
      </c>
      <c r="C80" s="86" t="s">
        <v>6</v>
      </c>
      <c r="D80" s="9">
        <v>17000</v>
      </c>
      <c r="E80" s="9">
        <v>16000</v>
      </c>
      <c r="F80" s="9">
        <v>17000</v>
      </c>
      <c r="G80" s="9">
        <v>17000</v>
      </c>
      <c r="H80" s="9">
        <v>15000</v>
      </c>
      <c r="I80" s="9">
        <v>18000</v>
      </c>
      <c r="J80" s="72">
        <v>18000</v>
      </c>
      <c r="K80" s="67">
        <f t="shared" si="0"/>
        <v>16857.142857142859</v>
      </c>
      <c r="M80" s="6" t="s">
        <v>83</v>
      </c>
      <c r="N80" s="4"/>
    </row>
    <row r="81" spans="1:14" ht="15.75" x14ac:dyDescent="0.25">
      <c r="A81" s="17"/>
      <c r="B81" s="66" t="s">
        <v>78</v>
      </c>
      <c r="C81" s="86" t="s">
        <v>6</v>
      </c>
      <c r="D81" s="9">
        <v>18000</v>
      </c>
      <c r="E81" s="9">
        <v>15000</v>
      </c>
      <c r="F81" s="9">
        <v>10000</v>
      </c>
      <c r="G81" s="9">
        <v>20000</v>
      </c>
      <c r="H81" s="9">
        <v>20000</v>
      </c>
      <c r="I81" s="8">
        <v>20000</v>
      </c>
      <c r="J81" s="72">
        <v>20000</v>
      </c>
      <c r="K81" s="67">
        <f t="shared" ref="K81:K88" si="1">AVERAGE(D81:J81)</f>
        <v>17571.428571428572</v>
      </c>
      <c r="M81" s="6" t="s">
        <v>84</v>
      </c>
      <c r="N81" s="4"/>
    </row>
    <row r="82" spans="1:14" ht="15.75" x14ac:dyDescent="0.25">
      <c r="A82" s="17"/>
      <c r="B82" s="66" t="s">
        <v>79</v>
      </c>
      <c r="C82" s="86" t="s">
        <v>6</v>
      </c>
      <c r="D82" s="9">
        <v>14000</v>
      </c>
      <c r="E82" s="9">
        <v>12000</v>
      </c>
      <c r="F82" s="9">
        <v>14000</v>
      </c>
      <c r="G82" s="9">
        <v>12000</v>
      </c>
      <c r="H82" s="9">
        <v>10000</v>
      </c>
      <c r="I82" s="9">
        <v>16000</v>
      </c>
      <c r="J82" s="72">
        <v>15000</v>
      </c>
      <c r="K82" s="67">
        <f t="shared" si="1"/>
        <v>13285.714285714286</v>
      </c>
      <c r="M82" s="11" t="s">
        <v>85</v>
      </c>
      <c r="N82" s="4"/>
    </row>
    <row r="83" spans="1:14" ht="15.75" x14ac:dyDescent="0.25">
      <c r="A83" s="17"/>
      <c r="B83" s="66" t="s">
        <v>80</v>
      </c>
      <c r="C83" s="86" t="s">
        <v>6</v>
      </c>
      <c r="D83" s="9">
        <v>9000</v>
      </c>
      <c r="E83" s="9">
        <v>8000</v>
      </c>
      <c r="F83" s="16">
        <v>9000</v>
      </c>
      <c r="G83" s="8">
        <v>8000</v>
      </c>
      <c r="H83" s="9">
        <v>7000</v>
      </c>
      <c r="I83" s="16">
        <v>9000</v>
      </c>
      <c r="J83" s="72">
        <v>8000</v>
      </c>
      <c r="K83" s="67">
        <f t="shared" si="1"/>
        <v>8285.7142857142862</v>
      </c>
      <c r="M83" s="6" t="s">
        <v>86</v>
      </c>
      <c r="N83" s="4"/>
    </row>
    <row r="84" spans="1:14" ht="15.75" x14ac:dyDescent="0.25">
      <c r="A84" s="17"/>
      <c r="B84" s="66" t="s">
        <v>81</v>
      </c>
      <c r="C84" s="86" t="s">
        <v>82</v>
      </c>
      <c r="D84" s="9">
        <v>2000</v>
      </c>
      <c r="E84" s="9">
        <v>1500</v>
      </c>
      <c r="F84" s="9">
        <v>2000</v>
      </c>
      <c r="G84" s="8">
        <v>2000</v>
      </c>
      <c r="H84" s="9">
        <v>1500</v>
      </c>
      <c r="I84" s="9">
        <v>2000</v>
      </c>
      <c r="J84" s="79">
        <v>1500</v>
      </c>
      <c r="K84" s="67">
        <f t="shared" si="1"/>
        <v>1785.7142857142858</v>
      </c>
      <c r="L84" s="4"/>
      <c r="M84" s="4"/>
      <c r="N84" s="4"/>
    </row>
    <row r="85" spans="1:14" x14ac:dyDescent="0.25">
      <c r="A85" s="17"/>
      <c r="B85" s="66" t="s">
        <v>83</v>
      </c>
      <c r="C85" s="86" t="s">
        <v>82</v>
      </c>
      <c r="D85" s="9">
        <v>1500</v>
      </c>
      <c r="E85" s="9">
        <v>1500</v>
      </c>
      <c r="F85" s="9">
        <v>1500</v>
      </c>
      <c r="G85" s="8">
        <v>2000</v>
      </c>
      <c r="H85" s="9">
        <v>1500</v>
      </c>
      <c r="I85" s="9">
        <v>1500</v>
      </c>
      <c r="J85" s="79">
        <v>1000</v>
      </c>
      <c r="K85" s="67">
        <f t="shared" si="1"/>
        <v>1500</v>
      </c>
    </row>
    <row r="86" spans="1:14" x14ac:dyDescent="0.25">
      <c r="A86" s="17"/>
      <c r="B86" s="66" t="s">
        <v>84</v>
      </c>
      <c r="C86" s="86" t="s">
        <v>82</v>
      </c>
      <c r="D86" s="9" t="s">
        <v>99</v>
      </c>
      <c r="E86" s="9">
        <v>2000</v>
      </c>
      <c r="F86" s="9" t="s">
        <v>99</v>
      </c>
      <c r="G86" s="8" t="s">
        <v>99</v>
      </c>
      <c r="H86" s="9">
        <v>2500</v>
      </c>
      <c r="I86" s="9" t="s">
        <v>99</v>
      </c>
      <c r="J86" s="79">
        <v>2000</v>
      </c>
      <c r="K86" s="67">
        <f t="shared" si="1"/>
        <v>2166.6666666666665</v>
      </c>
    </row>
    <row r="87" spans="1:14" x14ac:dyDescent="0.25">
      <c r="A87" s="17">
        <v>22</v>
      </c>
      <c r="B87" s="60" t="s">
        <v>85</v>
      </c>
      <c r="C87" s="91"/>
      <c r="D87" s="22"/>
      <c r="E87" s="10"/>
      <c r="F87" s="10" t="s">
        <v>102</v>
      </c>
      <c r="G87" s="22"/>
      <c r="H87" s="10"/>
      <c r="I87" s="10"/>
      <c r="J87" s="77"/>
      <c r="K87" s="71"/>
    </row>
    <row r="88" spans="1:14" x14ac:dyDescent="0.25">
      <c r="A88" s="17"/>
      <c r="B88" s="66" t="s">
        <v>86</v>
      </c>
      <c r="C88" s="86" t="s">
        <v>87</v>
      </c>
      <c r="D88" s="9" t="s">
        <v>99</v>
      </c>
      <c r="E88" s="9" t="s">
        <v>99</v>
      </c>
      <c r="F88" s="9">
        <v>18000</v>
      </c>
      <c r="G88" s="8">
        <v>17000</v>
      </c>
      <c r="H88" s="10" t="s">
        <v>99</v>
      </c>
      <c r="I88" s="16">
        <v>18000</v>
      </c>
      <c r="J88" s="79">
        <v>18000</v>
      </c>
      <c r="K88" s="67">
        <f t="shared" si="1"/>
        <v>17750</v>
      </c>
    </row>
  </sheetData>
  <mergeCells count="28"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D4:D6"/>
    <mergeCell ref="E4:E6"/>
    <mergeCell ref="F4:F6"/>
    <mergeCell ref="A63:A66"/>
    <mergeCell ref="A69:A73"/>
    <mergeCell ref="J4:J6"/>
    <mergeCell ref="H4:H6"/>
    <mergeCell ref="A7:A12"/>
    <mergeCell ref="A13:A15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</mergeCells>
  <pageMargins left="0.7" right="0.7" top="0.75" bottom="0.75" header="0.3" footer="0.3"/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06BBC-068A-4C2E-ADF8-90679D367E6B}">
  <dimension ref="A1:N88"/>
  <sheetViews>
    <sheetView zoomScale="70" zoomScaleNormal="70" workbookViewId="0">
      <selection activeCell="K11" sqref="K11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02" t="s">
        <v>88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M1" s="4"/>
      <c r="N1" s="4"/>
    </row>
    <row r="2" spans="1:14" ht="27.75" customHeight="1" x14ac:dyDescent="0.25">
      <c r="A2" s="103" t="s">
        <v>89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M2" s="4"/>
      <c r="N2" s="4"/>
    </row>
    <row r="3" spans="1:14" ht="27.75" customHeight="1" thickBot="1" x14ac:dyDescent="0.3">
      <c r="A3" s="104" t="s">
        <v>147</v>
      </c>
      <c r="B3" s="104"/>
      <c r="C3" s="104"/>
      <c r="D3" s="104"/>
      <c r="E3" s="104"/>
      <c r="F3" s="104"/>
      <c r="G3" s="104"/>
      <c r="H3" s="104"/>
      <c r="I3" s="104"/>
      <c r="J3" s="104"/>
      <c r="K3" s="105"/>
      <c r="M3" s="4"/>
      <c r="N3" s="4"/>
    </row>
    <row r="4" spans="1:14" ht="25.5" customHeight="1" x14ac:dyDescent="0.25">
      <c r="A4" s="96" t="s">
        <v>1</v>
      </c>
      <c r="B4" s="99" t="s">
        <v>2</v>
      </c>
      <c r="C4" s="96" t="s">
        <v>90</v>
      </c>
      <c r="D4" s="110" t="s">
        <v>91</v>
      </c>
      <c r="E4" s="113" t="s">
        <v>92</v>
      </c>
      <c r="F4" s="125" t="s">
        <v>93</v>
      </c>
      <c r="G4" s="128" t="s">
        <v>94</v>
      </c>
      <c r="H4" s="147" t="s">
        <v>95</v>
      </c>
      <c r="I4" s="119" t="s">
        <v>96</v>
      </c>
      <c r="J4" s="106" t="s">
        <v>97</v>
      </c>
      <c r="K4" s="122" t="s">
        <v>98</v>
      </c>
      <c r="M4" s="4"/>
      <c r="N4" s="4"/>
    </row>
    <row r="5" spans="1:14" ht="15" customHeight="1" x14ac:dyDescent="0.25">
      <c r="A5" s="97"/>
      <c r="B5" s="100"/>
      <c r="C5" s="97"/>
      <c r="D5" s="111"/>
      <c r="E5" s="114"/>
      <c r="F5" s="126"/>
      <c r="G5" s="129"/>
      <c r="H5" s="148"/>
      <c r="I5" s="120"/>
      <c r="J5" s="107"/>
      <c r="K5" s="123"/>
      <c r="M5" s="4"/>
      <c r="N5" s="4"/>
    </row>
    <row r="6" spans="1:14" ht="16.5" thickBot="1" x14ac:dyDescent="0.3">
      <c r="A6" s="98"/>
      <c r="B6" s="109"/>
      <c r="C6" s="98"/>
      <c r="D6" s="112"/>
      <c r="E6" s="115"/>
      <c r="F6" s="127"/>
      <c r="G6" s="130"/>
      <c r="H6" s="149"/>
      <c r="I6" s="121"/>
      <c r="J6" s="108"/>
      <c r="K6" s="124"/>
      <c r="M6" s="4"/>
      <c r="N6" s="4"/>
    </row>
    <row r="7" spans="1:14" ht="15.75" x14ac:dyDescent="0.25">
      <c r="A7" s="101">
        <v>1</v>
      </c>
      <c r="B7" s="60" t="s">
        <v>4</v>
      </c>
      <c r="C7" s="61"/>
      <c r="D7" s="62"/>
      <c r="E7" s="17" t="s">
        <v>102</v>
      </c>
      <c r="F7" s="17"/>
      <c r="G7" s="63"/>
      <c r="H7" s="63" t="s">
        <v>1</v>
      </c>
      <c r="I7" s="64"/>
      <c r="J7" s="63"/>
      <c r="K7" s="65"/>
      <c r="M7" s="4"/>
      <c r="N7" s="4"/>
    </row>
    <row r="8" spans="1:14" ht="15.75" x14ac:dyDescent="0.25">
      <c r="A8" s="101"/>
      <c r="B8" s="66" t="s">
        <v>107</v>
      </c>
      <c r="C8" s="17" t="s">
        <v>6</v>
      </c>
      <c r="D8" s="9">
        <v>15500</v>
      </c>
      <c r="E8" s="9">
        <v>15500</v>
      </c>
      <c r="F8" s="9">
        <v>15500</v>
      </c>
      <c r="G8" s="9">
        <v>15500</v>
      </c>
      <c r="H8" s="9">
        <v>17000</v>
      </c>
      <c r="I8" s="9">
        <v>17000</v>
      </c>
      <c r="J8" s="16">
        <v>17000</v>
      </c>
      <c r="K8" s="67">
        <f>AVERAGE(D8:J8)</f>
        <v>16142.857142857143</v>
      </c>
      <c r="L8" s="1"/>
      <c r="M8" s="7"/>
      <c r="N8" s="4"/>
    </row>
    <row r="9" spans="1:14" ht="15.75" x14ac:dyDescent="0.25">
      <c r="A9" s="101"/>
      <c r="B9" s="66" t="s">
        <v>115</v>
      </c>
      <c r="C9" s="17" t="s">
        <v>6</v>
      </c>
      <c r="D9" s="9">
        <v>10900</v>
      </c>
      <c r="E9" s="9">
        <v>10900</v>
      </c>
      <c r="F9" s="9">
        <v>10900</v>
      </c>
      <c r="G9" s="8">
        <v>10900</v>
      </c>
      <c r="H9" s="9">
        <v>13000</v>
      </c>
      <c r="I9" s="9">
        <v>15000</v>
      </c>
      <c r="J9" s="16" t="s">
        <v>99</v>
      </c>
      <c r="K9" s="67">
        <f t="shared" ref="K9:K80" si="0">AVERAGE(D9:J9)</f>
        <v>11933.333333333334</v>
      </c>
      <c r="M9" s="4"/>
      <c r="N9" s="4"/>
    </row>
    <row r="10" spans="1:14" ht="15.75" x14ac:dyDescent="0.25">
      <c r="A10" s="101"/>
      <c r="B10" s="66" t="s">
        <v>108</v>
      </c>
      <c r="C10" s="17" t="s">
        <v>6</v>
      </c>
      <c r="D10" s="9" t="s">
        <v>99</v>
      </c>
      <c r="E10" s="9" t="s">
        <v>99</v>
      </c>
      <c r="F10" s="9" t="s">
        <v>99</v>
      </c>
      <c r="G10" s="8" t="s">
        <v>99</v>
      </c>
      <c r="H10" s="9" t="s">
        <v>99</v>
      </c>
      <c r="I10" s="9" t="s">
        <v>99</v>
      </c>
      <c r="J10" s="16" t="s">
        <v>99</v>
      </c>
      <c r="K10" s="67">
        <v>0</v>
      </c>
      <c r="M10" s="4"/>
      <c r="N10" s="4"/>
    </row>
    <row r="11" spans="1:14" ht="15.75" x14ac:dyDescent="0.25">
      <c r="A11" s="101"/>
      <c r="B11" s="66" t="s">
        <v>9</v>
      </c>
      <c r="C11" s="17" t="s">
        <v>6</v>
      </c>
      <c r="D11" s="9" t="s">
        <v>99</v>
      </c>
      <c r="E11" s="9">
        <v>10000</v>
      </c>
      <c r="F11" s="16">
        <v>12000</v>
      </c>
      <c r="G11" s="8">
        <v>10000</v>
      </c>
      <c r="H11" s="9">
        <v>10000</v>
      </c>
      <c r="I11" s="16">
        <v>12000</v>
      </c>
      <c r="J11" s="16">
        <v>10000</v>
      </c>
      <c r="K11" s="67">
        <f>AVERAGE(D11:J11)</f>
        <v>10666.666666666666</v>
      </c>
      <c r="M11" s="4"/>
      <c r="N11" s="4"/>
    </row>
    <row r="12" spans="1:14" ht="15.75" x14ac:dyDescent="0.25">
      <c r="A12" s="101"/>
      <c r="B12" s="66" t="s">
        <v>10</v>
      </c>
      <c r="C12" s="17" t="s">
        <v>6</v>
      </c>
      <c r="D12" s="9" t="s">
        <v>99</v>
      </c>
      <c r="E12" s="9">
        <v>21000</v>
      </c>
      <c r="F12" s="16">
        <v>16000</v>
      </c>
      <c r="G12" s="8">
        <v>18000</v>
      </c>
      <c r="H12" s="9">
        <v>25000</v>
      </c>
      <c r="I12" s="16">
        <v>17000</v>
      </c>
      <c r="J12" s="16">
        <v>17000</v>
      </c>
      <c r="K12" s="67">
        <f t="shared" si="0"/>
        <v>19000</v>
      </c>
      <c r="M12" s="4"/>
      <c r="N12" s="12"/>
    </row>
    <row r="13" spans="1:14" ht="15.75" x14ac:dyDescent="0.25">
      <c r="A13" s="101">
        <v>2</v>
      </c>
      <c r="B13" s="60" t="s">
        <v>11</v>
      </c>
      <c r="C13" s="68"/>
      <c r="D13" s="62"/>
      <c r="E13" s="92"/>
      <c r="F13" s="17"/>
      <c r="G13" s="70"/>
      <c r="H13" s="70"/>
      <c r="I13" s="70"/>
      <c r="J13" s="70"/>
      <c r="K13" s="71"/>
      <c r="M13" s="4"/>
      <c r="N13" s="4"/>
    </row>
    <row r="14" spans="1:14" ht="15.75" x14ac:dyDescent="0.25">
      <c r="A14" s="101"/>
      <c r="B14" s="66" t="s">
        <v>116</v>
      </c>
      <c r="C14" s="17" t="s">
        <v>6</v>
      </c>
      <c r="D14" s="9">
        <v>16000</v>
      </c>
      <c r="E14" s="9">
        <v>16500</v>
      </c>
      <c r="F14" s="9">
        <v>17000</v>
      </c>
      <c r="G14" s="16">
        <v>16000</v>
      </c>
      <c r="H14" s="9">
        <v>16500</v>
      </c>
      <c r="I14" s="9">
        <v>16500</v>
      </c>
      <c r="J14" s="72">
        <v>16500</v>
      </c>
      <c r="K14" s="67">
        <f t="shared" si="0"/>
        <v>16428.571428571428</v>
      </c>
      <c r="M14" s="4"/>
      <c r="N14" s="4"/>
    </row>
    <row r="15" spans="1:14" ht="15.75" x14ac:dyDescent="0.25">
      <c r="A15" s="101"/>
      <c r="B15" s="66" t="s">
        <v>13</v>
      </c>
      <c r="C15" s="17" t="s">
        <v>6</v>
      </c>
      <c r="D15" s="9">
        <v>17000</v>
      </c>
      <c r="E15" s="9">
        <v>16000</v>
      </c>
      <c r="F15" s="16">
        <v>16000</v>
      </c>
      <c r="G15" s="8">
        <v>16000</v>
      </c>
      <c r="H15" s="9">
        <v>17000</v>
      </c>
      <c r="I15" s="9">
        <v>18000</v>
      </c>
      <c r="J15" s="72">
        <v>18000</v>
      </c>
      <c r="K15" s="67">
        <f>AVERAGE(D15:J15)</f>
        <v>16857.142857142859</v>
      </c>
      <c r="M15" s="4"/>
      <c r="N15" s="4"/>
    </row>
    <row r="16" spans="1:14" ht="15.75" x14ac:dyDescent="0.25">
      <c r="A16" s="101">
        <v>3</v>
      </c>
      <c r="B16" s="60" t="s">
        <v>14</v>
      </c>
      <c r="C16" s="73"/>
      <c r="D16" s="74"/>
      <c r="E16" s="15"/>
      <c r="F16" s="15"/>
      <c r="G16" s="15"/>
      <c r="H16" s="15"/>
      <c r="I16" s="15" t="s">
        <v>130</v>
      </c>
      <c r="J16" s="75"/>
      <c r="K16" s="71"/>
      <c r="M16" s="4"/>
      <c r="N16" s="4"/>
    </row>
    <row r="17" spans="1:14" ht="15.75" x14ac:dyDescent="0.25">
      <c r="A17" s="101"/>
      <c r="B17" s="66" t="s">
        <v>15</v>
      </c>
      <c r="C17" s="17" t="s">
        <v>6</v>
      </c>
      <c r="D17" s="9">
        <v>15000</v>
      </c>
      <c r="E17" s="9">
        <v>15000</v>
      </c>
      <c r="F17" s="9">
        <v>16000</v>
      </c>
      <c r="G17" s="9">
        <v>15000</v>
      </c>
      <c r="H17" s="9">
        <v>16000</v>
      </c>
      <c r="I17" s="9">
        <v>16000</v>
      </c>
      <c r="J17" s="72">
        <v>16000</v>
      </c>
      <c r="K17" s="67">
        <f t="shared" si="0"/>
        <v>15571.428571428571</v>
      </c>
      <c r="M17" s="4"/>
      <c r="N17" s="4"/>
    </row>
    <row r="18" spans="1:14" ht="15.75" x14ac:dyDescent="0.25">
      <c r="A18" s="59"/>
      <c r="B18" s="66" t="s">
        <v>109</v>
      </c>
      <c r="C18" s="17" t="s">
        <v>110</v>
      </c>
      <c r="D18" s="9">
        <v>14000</v>
      </c>
      <c r="E18" s="9">
        <v>14000</v>
      </c>
      <c r="F18" s="9">
        <v>14000</v>
      </c>
      <c r="G18" s="9">
        <v>14000</v>
      </c>
      <c r="H18" s="9" t="s">
        <v>99</v>
      </c>
      <c r="I18" s="9">
        <v>14000</v>
      </c>
      <c r="J18" s="72">
        <v>14000</v>
      </c>
      <c r="K18" s="67">
        <f t="shared" si="0"/>
        <v>14000</v>
      </c>
      <c r="M18" s="4"/>
      <c r="N18" s="4"/>
    </row>
    <row r="19" spans="1:14" ht="17.25" customHeight="1" x14ac:dyDescent="0.25">
      <c r="A19" s="101">
        <v>4</v>
      </c>
      <c r="B19" s="60" t="s">
        <v>16</v>
      </c>
      <c r="C19" s="73"/>
      <c r="D19" s="74"/>
      <c r="E19" s="15"/>
      <c r="F19" s="15"/>
      <c r="G19" s="76"/>
      <c r="H19" s="15"/>
      <c r="I19" s="15"/>
      <c r="J19" s="75"/>
      <c r="K19" s="71"/>
      <c r="M19" s="4"/>
      <c r="N19" s="4"/>
    </row>
    <row r="20" spans="1:14" ht="15.75" x14ac:dyDescent="0.25">
      <c r="A20" s="101"/>
      <c r="B20" s="66" t="s">
        <v>17</v>
      </c>
      <c r="C20" s="17" t="s">
        <v>6</v>
      </c>
      <c r="D20" s="9">
        <v>20000</v>
      </c>
      <c r="E20" s="9">
        <v>20000</v>
      </c>
      <c r="F20" s="16">
        <v>20000</v>
      </c>
      <c r="G20" s="8">
        <v>22000</v>
      </c>
      <c r="H20" s="16">
        <v>33000</v>
      </c>
      <c r="I20" s="16">
        <v>20000</v>
      </c>
      <c r="J20" s="77" t="s">
        <v>99</v>
      </c>
      <c r="K20" s="67">
        <f t="shared" si="0"/>
        <v>22500</v>
      </c>
      <c r="M20" s="4"/>
      <c r="N20" s="4"/>
    </row>
    <row r="21" spans="1:14" ht="15.75" x14ac:dyDescent="0.25">
      <c r="A21" s="101">
        <v>5</v>
      </c>
      <c r="B21" s="60" t="s">
        <v>18</v>
      </c>
      <c r="C21" s="73"/>
      <c r="D21" s="74"/>
      <c r="E21" s="17"/>
      <c r="F21" s="15" t="s">
        <v>1</v>
      </c>
      <c r="G21" s="76"/>
      <c r="H21" s="15"/>
      <c r="I21" s="15"/>
      <c r="J21" s="75"/>
      <c r="K21" s="71"/>
      <c r="M21" s="4"/>
      <c r="N21" s="4"/>
    </row>
    <row r="22" spans="1:14" ht="15.75" x14ac:dyDescent="0.25">
      <c r="A22" s="101"/>
      <c r="B22" s="66" t="s">
        <v>19</v>
      </c>
      <c r="C22" s="17" t="s">
        <v>6</v>
      </c>
      <c r="D22" s="9">
        <v>120000</v>
      </c>
      <c r="E22" s="9">
        <v>120000</v>
      </c>
      <c r="F22" s="9">
        <v>120000</v>
      </c>
      <c r="G22" s="9">
        <v>120000</v>
      </c>
      <c r="H22" s="9">
        <v>120000</v>
      </c>
      <c r="I22" s="8">
        <v>120000</v>
      </c>
      <c r="J22" s="72" t="s">
        <v>99</v>
      </c>
      <c r="K22" s="67">
        <f t="shared" si="0"/>
        <v>120000</v>
      </c>
      <c r="M22" s="4"/>
      <c r="N22" s="4"/>
    </row>
    <row r="23" spans="1:14" ht="15.75" x14ac:dyDescent="0.25">
      <c r="A23" s="101"/>
      <c r="B23" s="66" t="s">
        <v>20</v>
      </c>
      <c r="C23" s="17" t="s">
        <v>6</v>
      </c>
      <c r="D23" s="9">
        <v>110000</v>
      </c>
      <c r="E23" s="9">
        <v>110000</v>
      </c>
      <c r="F23" s="9">
        <v>110000</v>
      </c>
      <c r="G23" s="9">
        <v>110000</v>
      </c>
      <c r="H23" s="9">
        <v>115000</v>
      </c>
      <c r="I23" s="9">
        <v>110000</v>
      </c>
      <c r="J23" s="72">
        <v>110000</v>
      </c>
      <c r="K23" s="67">
        <f t="shared" si="0"/>
        <v>110714.28571428571</v>
      </c>
      <c r="M23" s="4"/>
      <c r="N23" s="4"/>
    </row>
    <row r="24" spans="1:14" ht="15.75" x14ac:dyDescent="0.25">
      <c r="A24" s="101"/>
      <c r="B24" s="66" t="s">
        <v>21</v>
      </c>
      <c r="C24" s="17" t="s">
        <v>6</v>
      </c>
      <c r="D24" s="9">
        <v>90000</v>
      </c>
      <c r="E24" s="9">
        <v>90000</v>
      </c>
      <c r="F24" s="9">
        <v>100000</v>
      </c>
      <c r="G24" s="9">
        <v>105000</v>
      </c>
      <c r="H24" s="9">
        <v>110000</v>
      </c>
      <c r="I24" s="8">
        <v>100000</v>
      </c>
      <c r="J24" s="72">
        <v>105000</v>
      </c>
      <c r="K24" s="67">
        <f t="shared" si="0"/>
        <v>100000</v>
      </c>
      <c r="M24" s="4"/>
      <c r="N24" s="4"/>
    </row>
    <row r="25" spans="1:14" ht="15.75" x14ac:dyDescent="0.25">
      <c r="A25" s="101"/>
      <c r="B25" s="66" t="s">
        <v>22</v>
      </c>
      <c r="C25" s="17" t="s">
        <v>6</v>
      </c>
      <c r="D25" s="9">
        <v>34000</v>
      </c>
      <c r="E25" s="9">
        <v>31000</v>
      </c>
      <c r="F25" s="9">
        <v>33000</v>
      </c>
      <c r="G25" s="9">
        <v>32000</v>
      </c>
      <c r="H25" s="72">
        <v>33000</v>
      </c>
      <c r="I25" s="9">
        <v>32000</v>
      </c>
      <c r="J25" s="72">
        <v>35000</v>
      </c>
      <c r="K25" s="67">
        <f t="shared" si="0"/>
        <v>32857.142857142855</v>
      </c>
      <c r="M25" s="4"/>
      <c r="N25" s="4"/>
    </row>
    <row r="26" spans="1:14" ht="15.75" x14ac:dyDescent="0.25">
      <c r="A26" s="101">
        <v>6</v>
      </c>
      <c r="B26" s="60" t="s">
        <v>23</v>
      </c>
      <c r="C26" s="73"/>
      <c r="D26" s="74"/>
      <c r="E26" s="17"/>
      <c r="F26" s="76"/>
      <c r="G26" s="15"/>
      <c r="H26" s="75"/>
      <c r="I26" s="15"/>
      <c r="J26" s="75"/>
      <c r="K26" s="71"/>
      <c r="M26" s="4"/>
      <c r="N26" s="4"/>
    </row>
    <row r="27" spans="1:14" ht="15.75" x14ac:dyDescent="0.25">
      <c r="A27" s="101"/>
      <c r="B27" s="66" t="s">
        <v>24</v>
      </c>
      <c r="C27" s="17" t="s">
        <v>6</v>
      </c>
      <c r="D27" s="9">
        <v>32000</v>
      </c>
      <c r="E27" s="9">
        <v>35000</v>
      </c>
      <c r="F27" s="9" t="s">
        <v>99</v>
      </c>
      <c r="G27" s="9">
        <v>40000</v>
      </c>
      <c r="H27" s="9">
        <v>30000</v>
      </c>
      <c r="I27" s="9" t="s">
        <v>99</v>
      </c>
      <c r="J27" s="72">
        <v>30000</v>
      </c>
      <c r="K27" s="67">
        <f t="shared" si="0"/>
        <v>33400</v>
      </c>
      <c r="L27" t="s">
        <v>100</v>
      </c>
      <c r="M27" s="4"/>
      <c r="N27" s="4"/>
    </row>
    <row r="28" spans="1:14" ht="15.75" x14ac:dyDescent="0.25">
      <c r="A28" s="101"/>
      <c r="B28" s="66" t="s">
        <v>25</v>
      </c>
      <c r="C28" s="17" t="s">
        <v>6</v>
      </c>
      <c r="D28" s="9">
        <v>30000</v>
      </c>
      <c r="E28" s="9">
        <v>28000</v>
      </c>
      <c r="F28" s="9">
        <v>35000</v>
      </c>
      <c r="G28" s="8">
        <v>30000</v>
      </c>
      <c r="H28" s="9">
        <v>22000</v>
      </c>
      <c r="I28" s="9">
        <v>30000</v>
      </c>
      <c r="J28" s="78">
        <v>30000</v>
      </c>
      <c r="K28" s="67">
        <f t="shared" si="0"/>
        <v>29285.714285714286</v>
      </c>
      <c r="M28" s="4"/>
      <c r="N28" s="4"/>
    </row>
    <row r="29" spans="1:14" ht="15.75" x14ac:dyDescent="0.25">
      <c r="A29" s="101"/>
      <c r="B29" s="66" t="s">
        <v>26</v>
      </c>
      <c r="C29" s="17" t="s">
        <v>6</v>
      </c>
      <c r="D29" s="9">
        <v>60000</v>
      </c>
      <c r="E29" s="9">
        <v>60000</v>
      </c>
      <c r="F29" s="16">
        <v>60000</v>
      </c>
      <c r="G29" s="8">
        <v>70000</v>
      </c>
      <c r="H29" s="9">
        <v>65000</v>
      </c>
      <c r="I29" s="9">
        <v>60000</v>
      </c>
      <c r="J29" s="79">
        <v>60000</v>
      </c>
      <c r="K29" s="67">
        <f t="shared" si="0"/>
        <v>62142.857142857145</v>
      </c>
      <c r="M29" s="4"/>
      <c r="N29" s="4"/>
    </row>
    <row r="30" spans="1:14" ht="15.75" x14ac:dyDescent="0.25">
      <c r="A30" s="101"/>
      <c r="B30" s="66" t="s">
        <v>27</v>
      </c>
      <c r="C30" s="17" t="s">
        <v>6</v>
      </c>
      <c r="D30" s="9">
        <v>25000</v>
      </c>
      <c r="E30" s="9" t="s">
        <v>99</v>
      </c>
      <c r="F30" s="10" t="s">
        <v>99</v>
      </c>
      <c r="G30" s="8">
        <v>25000</v>
      </c>
      <c r="H30" s="9">
        <v>23000</v>
      </c>
      <c r="I30" s="9" t="s">
        <v>99</v>
      </c>
      <c r="J30" s="79">
        <v>26000</v>
      </c>
      <c r="K30" s="67">
        <f t="shared" si="0"/>
        <v>24750</v>
      </c>
      <c r="M30" s="4"/>
      <c r="N30" s="4"/>
    </row>
    <row r="31" spans="1:14" ht="15.75" x14ac:dyDescent="0.25">
      <c r="A31" s="101"/>
      <c r="B31" s="66" t="s">
        <v>28</v>
      </c>
      <c r="C31" s="17" t="s">
        <v>6</v>
      </c>
      <c r="D31" s="9">
        <v>32000</v>
      </c>
      <c r="E31" s="9">
        <v>36000</v>
      </c>
      <c r="F31" s="9">
        <v>40000</v>
      </c>
      <c r="G31" s="9">
        <v>40000</v>
      </c>
      <c r="H31" s="9">
        <v>30000</v>
      </c>
      <c r="I31" s="9">
        <v>40000</v>
      </c>
      <c r="J31" s="72">
        <v>35000</v>
      </c>
      <c r="K31" s="67">
        <f t="shared" si="0"/>
        <v>36142.857142857145</v>
      </c>
      <c r="M31" s="4"/>
      <c r="N31" s="4"/>
    </row>
    <row r="32" spans="1:14" ht="15.75" x14ac:dyDescent="0.25">
      <c r="A32" s="101"/>
      <c r="B32" s="66" t="s">
        <v>29</v>
      </c>
      <c r="C32" s="17" t="s">
        <v>6</v>
      </c>
      <c r="D32" s="9" t="s">
        <v>99</v>
      </c>
      <c r="E32" s="9">
        <v>100000</v>
      </c>
      <c r="F32" s="9">
        <v>100000</v>
      </c>
      <c r="G32" s="9" t="s">
        <v>99</v>
      </c>
      <c r="H32" s="9">
        <v>80000</v>
      </c>
      <c r="I32" s="9">
        <v>100000</v>
      </c>
      <c r="J32" s="79">
        <v>70000</v>
      </c>
      <c r="K32" s="67">
        <f t="shared" si="0"/>
        <v>90000</v>
      </c>
      <c r="M32" s="4"/>
      <c r="N32" s="4"/>
    </row>
    <row r="33" spans="1:14" ht="15.75" x14ac:dyDescent="0.25">
      <c r="A33" s="101">
        <v>7</v>
      </c>
      <c r="B33" s="60" t="s">
        <v>30</v>
      </c>
      <c r="C33" s="73"/>
      <c r="D33" s="74"/>
      <c r="E33" s="17"/>
      <c r="F33" s="76"/>
      <c r="G33" s="76"/>
      <c r="H33" s="15"/>
      <c r="I33" s="15"/>
      <c r="J33" s="75"/>
      <c r="K33" s="71"/>
      <c r="M33" s="4"/>
      <c r="N33" s="4"/>
    </row>
    <row r="34" spans="1:14" ht="15.75" x14ac:dyDescent="0.25">
      <c r="A34" s="101"/>
      <c r="B34" s="66" t="s">
        <v>31</v>
      </c>
      <c r="C34" s="17" t="s">
        <v>6</v>
      </c>
      <c r="D34" s="9">
        <v>28000</v>
      </c>
      <c r="E34" s="9">
        <v>27000</v>
      </c>
      <c r="F34" s="9">
        <v>27000</v>
      </c>
      <c r="G34" s="9">
        <v>27000</v>
      </c>
      <c r="H34" s="9">
        <v>28000</v>
      </c>
      <c r="I34" s="9">
        <v>28000</v>
      </c>
      <c r="J34" s="72">
        <v>29000</v>
      </c>
      <c r="K34" s="67">
        <f t="shared" si="0"/>
        <v>27714.285714285714</v>
      </c>
      <c r="M34" s="4"/>
      <c r="N34" s="4"/>
    </row>
    <row r="35" spans="1:14" ht="15.75" x14ac:dyDescent="0.25">
      <c r="A35" s="101"/>
      <c r="B35" s="66" t="s">
        <v>32</v>
      </c>
      <c r="C35" s="17" t="s">
        <v>33</v>
      </c>
      <c r="D35" s="9">
        <v>3000</v>
      </c>
      <c r="E35" s="9">
        <v>2500</v>
      </c>
      <c r="F35" s="9">
        <v>2500</v>
      </c>
      <c r="G35" s="9">
        <v>2800</v>
      </c>
      <c r="H35" s="9">
        <v>2600</v>
      </c>
      <c r="I35" s="9">
        <v>3000</v>
      </c>
      <c r="J35" s="72">
        <v>3000</v>
      </c>
      <c r="K35" s="67">
        <f t="shared" si="0"/>
        <v>2771.4285714285716</v>
      </c>
      <c r="M35" s="4"/>
      <c r="N35" s="4"/>
    </row>
    <row r="36" spans="1:14" ht="15.75" x14ac:dyDescent="0.25">
      <c r="A36" s="59">
        <v>8</v>
      </c>
      <c r="B36" s="73" t="s">
        <v>117</v>
      </c>
      <c r="C36" s="80"/>
      <c r="D36" s="9"/>
      <c r="E36" s="9"/>
      <c r="F36" s="9"/>
      <c r="G36" s="9"/>
      <c r="H36" s="9"/>
      <c r="I36" s="9"/>
      <c r="J36" s="72"/>
      <c r="K36" s="81"/>
      <c r="M36" s="4"/>
      <c r="N36" s="4"/>
    </row>
    <row r="37" spans="1:14" ht="15.75" x14ac:dyDescent="0.25">
      <c r="A37" s="59"/>
      <c r="B37" s="66" t="s">
        <v>118</v>
      </c>
      <c r="C37" s="17" t="s">
        <v>6</v>
      </c>
      <c r="D37" s="9">
        <v>10000</v>
      </c>
      <c r="E37" s="9">
        <v>1250</v>
      </c>
      <c r="F37" s="9">
        <v>9000</v>
      </c>
      <c r="G37" s="9">
        <v>9000</v>
      </c>
      <c r="H37" s="9">
        <v>16000</v>
      </c>
      <c r="I37" s="9">
        <v>9000</v>
      </c>
      <c r="J37" s="72">
        <v>3000</v>
      </c>
      <c r="K37" s="67">
        <f t="shared" si="0"/>
        <v>8178.5714285714284</v>
      </c>
      <c r="M37" s="4"/>
      <c r="N37" s="4"/>
    </row>
    <row r="38" spans="1:14" ht="15.75" x14ac:dyDescent="0.25">
      <c r="A38" s="59"/>
      <c r="B38" s="66" t="s">
        <v>119</v>
      </c>
      <c r="C38" s="17" t="s">
        <v>6</v>
      </c>
      <c r="D38" s="9" t="s">
        <v>99</v>
      </c>
      <c r="E38" s="9">
        <v>10000</v>
      </c>
      <c r="F38" s="9">
        <v>12000</v>
      </c>
      <c r="G38" s="9">
        <v>14000</v>
      </c>
      <c r="H38" s="9" t="s">
        <v>99</v>
      </c>
      <c r="I38" s="9">
        <v>12000</v>
      </c>
      <c r="J38" s="72">
        <v>12000</v>
      </c>
      <c r="K38" s="67">
        <f>AVERAGE(D38:J38)</f>
        <v>12000</v>
      </c>
      <c r="M38" s="4"/>
      <c r="N38" s="4"/>
    </row>
    <row r="39" spans="1:14" ht="15.75" x14ac:dyDescent="0.25">
      <c r="A39" s="59">
        <v>9</v>
      </c>
      <c r="B39" s="82" t="s">
        <v>120</v>
      </c>
      <c r="C39" s="83"/>
      <c r="D39" s="9"/>
      <c r="E39" s="9"/>
      <c r="F39" s="9"/>
      <c r="G39" s="9"/>
      <c r="H39" s="9"/>
      <c r="I39" s="9"/>
      <c r="J39" s="72"/>
      <c r="K39" s="81"/>
      <c r="M39" s="4"/>
      <c r="N39" s="4"/>
    </row>
    <row r="40" spans="1:14" ht="15.75" x14ac:dyDescent="0.25">
      <c r="A40" s="59"/>
      <c r="B40" s="66" t="s">
        <v>121</v>
      </c>
      <c r="C40" s="17" t="s">
        <v>6</v>
      </c>
      <c r="D40" s="9" t="s">
        <v>99</v>
      </c>
      <c r="E40" s="9" t="s">
        <v>99</v>
      </c>
      <c r="F40" s="9" t="s">
        <v>99</v>
      </c>
      <c r="G40" s="9">
        <v>16000</v>
      </c>
      <c r="H40" s="9">
        <v>14000</v>
      </c>
      <c r="I40" s="9" t="s">
        <v>99</v>
      </c>
      <c r="J40" s="72">
        <v>15000</v>
      </c>
      <c r="K40" s="67">
        <f t="shared" si="0"/>
        <v>15000</v>
      </c>
      <c r="M40" s="4"/>
      <c r="N40" s="4"/>
    </row>
    <row r="41" spans="1:14" ht="15.75" x14ac:dyDescent="0.25">
      <c r="A41" s="59"/>
      <c r="B41" s="66" t="s">
        <v>122</v>
      </c>
      <c r="C41" s="17" t="s">
        <v>6</v>
      </c>
      <c r="D41" s="9" t="s">
        <v>99</v>
      </c>
      <c r="E41" s="9" t="s">
        <v>99</v>
      </c>
      <c r="F41" s="9">
        <v>6000</v>
      </c>
      <c r="G41" s="9" t="s">
        <v>99</v>
      </c>
      <c r="H41" s="9" t="s">
        <v>99</v>
      </c>
      <c r="I41" s="9">
        <v>6000</v>
      </c>
      <c r="J41" s="72" t="s">
        <v>99</v>
      </c>
      <c r="K41" s="67">
        <f t="shared" si="0"/>
        <v>6000</v>
      </c>
      <c r="M41" s="4"/>
      <c r="N41" s="4"/>
    </row>
    <row r="42" spans="1:14" ht="15.75" x14ac:dyDescent="0.25">
      <c r="A42" s="59"/>
      <c r="B42" s="66" t="s">
        <v>123</v>
      </c>
      <c r="C42" s="17" t="s">
        <v>6</v>
      </c>
      <c r="D42" s="9" t="s">
        <v>99</v>
      </c>
      <c r="E42" s="9">
        <v>2500</v>
      </c>
      <c r="F42" s="9" t="s">
        <v>99</v>
      </c>
      <c r="G42" s="9" t="s">
        <v>99</v>
      </c>
      <c r="H42" s="9" t="s">
        <v>99</v>
      </c>
      <c r="I42" s="9" t="s">
        <v>99</v>
      </c>
      <c r="J42" s="72" t="s">
        <v>99</v>
      </c>
      <c r="K42" s="67">
        <f t="shared" si="0"/>
        <v>2500</v>
      </c>
      <c r="M42" s="4"/>
      <c r="N42" s="4"/>
    </row>
    <row r="43" spans="1:14" ht="15.75" x14ac:dyDescent="0.25">
      <c r="A43" s="101">
        <v>10</v>
      </c>
      <c r="B43" s="60" t="s">
        <v>34</v>
      </c>
      <c r="C43" s="73"/>
      <c r="D43" s="74"/>
      <c r="E43" s="17"/>
      <c r="F43" s="76"/>
      <c r="G43" s="15"/>
      <c r="H43" s="15"/>
      <c r="I43" s="15"/>
      <c r="J43" s="84"/>
      <c r="K43" s="71"/>
      <c r="M43" s="4"/>
      <c r="N43" s="4"/>
    </row>
    <row r="44" spans="1:14" ht="15.75" x14ac:dyDescent="0.25">
      <c r="A44" s="101"/>
      <c r="B44" s="66" t="s">
        <v>35</v>
      </c>
      <c r="C44" s="17" t="s">
        <v>36</v>
      </c>
      <c r="D44" s="9">
        <v>12000</v>
      </c>
      <c r="E44" s="9">
        <v>12000</v>
      </c>
      <c r="F44" s="9">
        <v>12500</v>
      </c>
      <c r="G44" s="9">
        <v>12500</v>
      </c>
      <c r="H44" s="10" t="s">
        <v>99</v>
      </c>
      <c r="I44" s="16">
        <v>12500</v>
      </c>
      <c r="J44" s="72">
        <v>12500</v>
      </c>
      <c r="K44" s="67">
        <f t="shared" si="0"/>
        <v>12333.333333333334</v>
      </c>
      <c r="M44" s="4"/>
      <c r="N44" s="4"/>
    </row>
    <row r="45" spans="1:14" ht="15.75" x14ac:dyDescent="0.25">
      <c r="A45" s="101"/>
      <c r="B45" s="66" t="s">
        <v>124</v>
      </c>
      <c r="C45" s="17" t="s">
        <v>36</v>
      </c>
      <c r="D45" s="9">
        <v>12000</v>
      </c>
      <c r="E45" s="9">
        <v>13000</v>
      </c>
      <c r="F45" s="16">
        <v>12500</v>
      </c>
      <c r="G45" s="9">
        <v>12500</v>
      </c>
      <c r="H45" s="10" t="s">
        <v>99</v>
      </c>
      <c r="I45" s="16">
        <v>12500</v>
      </c>
      <c r="J45" s="79">
        <v>12500</v>
      </c>
      <c r="K45" s="67">
        <f>AVERAGE(D45:J45)</f>
        <v>12500</v>
      </c>
      <c r="M45" s="4"/>
      <c r="N45" s="4"/>
    </row>
    <row r="46" spans="1:14" ht="15.75" x14ac:dyDescent="0.25">
      <c r="A46" s="101">
        <v>11</v>
      </c>
      <c r="B46" s="60" t="s">
        <v>38</v>
      </c>
      <c r="C46" s="73"/>
      <c r="D46" s="74"/>
      <c r="E46" s="17"/>
      <c r="F46" s="15"/>
      <c r="G46" s="76"/>
      <c r="H46" s="15"/>
      <c r="I46" s="15"/>
      <c r="J46" s="75"/>
      <c r="K46" s="71"/>
      <c r="M46" s="4"/>
      <c r="N46" s="4"/>
    </row>
    <row r="47" spans="1:14" ht="15.75" x14ac:dyDescent="0.25">
      <c r="A47" s="101"/>
      <c r="B47" s="66" t="s">
        <v>39</v>
      </c>
      <c r="C47" s="17" t="s">
        <v>40</v>
      </c>
      <c r="D47" s="9" t="s">
        <v>99</v>
      </c>
      <c r="E47" s="9" t="s">
        <v>99</v>
      </c>
      <c r="F47" s="10" t="s">
        <v>99</v>
      </c>
      <c r="G47" s="8" t="s">
        <v>99</v>
      </c>
      <c r="H47" s="9">
        <v>17500</v>
      </c>
      <c r="I47" s="16" t="s">
        <v>99</v>
      </c>
      <c r="J47" s="79" t="s">
        <v>99</v>
      </c>
      <c r="K47" s="67">
        <f t="shared" si="0"/>
        <v>17500</v>
      </c>
      <c r="M47" s="4"/>
      <c r="N47" s="4"/>
    </row>
    <row r="48" spans="1:14" ht="15.75" x14ac:dyDescent="0.25">
      <c r="A48" s="101"/>
      <c r="B48" s="66" t="s">
        <v>41</v>
      </c>
      <c r="C48" s="17" t="s">
        <v>42</v>
      </c>
      <c r="D48" s="9" t="s">
        <v>99</v>
      </c>
      <c r="E48" s="9" t="s">
        <v>99</v>
      </c>
      <c r="F48" s="10" t="s">
        <v>99</v>
      </c>
      <c r="G48" s="8" t="s">
        <v>99</v>
      </c>
      <c r="H48" s="9">
        <v>2000</v>
      </c>
      <c r="I48" s="16" t="s">
        <v>99</v>
      </c>
      <c r="J48" s="79" t="s">
        <v>99</v>
      </c>
      <c r="K48" s="67">
        <f t="shared" si="0"/>
        <v>2000</v>
      </c>
      <c r="M48" s="4"/>
      <c r="N48" s="4"/>
    </row>
    <row r="49" spans="1:14" ht="15.75" x14ac:dyDescent="0.25">
      <c r="A49" s="59">
        <v>12</v>
      </c>
      <c r="B49" s="85" t="s">
        <v>43</v>
      </c>
      <c r="C49" s="80"/>
      <c r="D49" s="19"/>
      <c r="E49" s="10"/>
      <c r="F49" s="10"/>
      <c r="G49" s="22"/>
      <c r="H49" s="10"/>
      <c r="I49" s="10"/>
      <c r="J49" s="77"/>
      <c r="K49" s="71"/>
      <c r="M49" s="4"/>
      <c r="N49" s="4"/>
    </row>
    <row r="50" spans="1:14" ht="15.75" x14ac:dyDescent="0.25">
      <c r="A50" s="59"/>
      <c r="B50" s="66" t="s">
        <v>44</v>
      </c>
      <c r="C50" s="86" t="s">
        <v>6</v>
      </c>
      <c r="D50" s="9">
        <v>10000</v>
      </c>
      <c r="E50" s="9">
        <v>8000</v>
      </c>
      <c r="F50" s="9">
        <v>10000</v>
      </c>
      <c r="G50" s="9">
        <v>10000</v>
      </c>
      <c r="H50" s="9">
        <v>15000</v>
      </c>
      <c r="I50" s="8">
        <v>15000</v>
      </c>
      <c r="J50" s="72">
        <v>15000</v>
      </c>
      <c r="K50" s="67">
        <f t="shared" si="0"/>
        <v>11857.142857142857</v>
      </c>
      <c r="M50" s="4"/>
      <c r="N50" s="4"/>
    </row>
    <row r="51" spans="1:14" ht="15.75" x14ac:dyDescent="0.25">
      <c r="A51" s="59"/>
      <c r="B51" s="66" t="s">
        <v>45</v>
      </c>
      <c r="C51" s="86" t="s">
        <v>6</v>
      </c>
      <c r="D51" s="9" t="s">
        <v>99</v>
      </c>
      <c r="E51" s="9">
        <v>10000</v>
      </c>
      <c r="F51" s="8">
        <v>9000</v>
      </c>
      <c r="G51" s="9">
        <v>10000</v>
      </c>
      <c r="H51" s="9">
        <v>12000</v>
      </c>
      <c r="I51" s="9">
        <v>12000</v>
      </c>
      <c r="J51" s="72">
        <v>10000</v>
      </c>
      <c r="K51" s="67">
        <f t="shared" si="0"/>
        <v>10500</v>
      </c>
      <c r="M51" s="4"/>
      <c r="N51" s="4"/>
    </row>
    <row r="52" spans="1:14" ht="15.75" x14ac:dyDescent="0.25">
      <c r="A52" s="101">
        <v>13</v>
      </c>
      <c r="B52" s="60" t="s">
        <v>46</v>
      </c>
      <c r="C52" s="73"/>
      <c r="D52" s="74"/>
      <c r="E52" s="17"/>
      <c r="F52" s="76"/>
      <c r="G52" s="76"/>
      <c r="H52" s="15"/>
      <c r="I52" s="15"/>
      <c r="J52" s="84"/>
      <c r="K52" s="71"/>
      <c r="M52" s="4"/>
      <c r="N52" s="4"/>
    </row>
    <row r="53" spans="1:14" ht="15.75" x14ac:dyDescent="0.25">
      <c r="A53" s="101"/>
      <c r="B53" s="66" t="s">
        <v>47</v>
      </c>
      <c r="C53" s="17" t="s">
        <v>125</v>
      </c>
      <c r="D53" s="9">
        <v>3000</v>
      </c>
      <c r="E53" s="9">
        <v>4000</v>
      </c>
      <c r="F53" s="9">
        <v>5000</v>
      </c>
      <c r="G53" s="9">
        <v>5000</v>
      </c>
      <c r="H53" s="9">
        <v>2500</v>
      </c>
      <c r="I53" s="16">
        <v>5000</v>
      </c>
      <c r="J53" s="72">
        <v>2500</v>
      </c>
      <c r="K53" s="67">
        <f t="shared" si="0"/>
        <v>3857.1428571428573</v>
      </c>
      <c r="M53" s="4" t="s">
        <v>101</v>
      </c>
      <c r="N53" s="4"/>
    </row>
    <row r="54" spans="1:14" ht="15.75" x14ac:dyDescent="0.25">
      <c r="A54" s="101">
        <v>14</v>
      </c>
      <c r="B54" s="60" t="s">
        <v>49</v>
      </c>
      <c r="C54" s="80"/>
      <c r="D54" s="62"/>
      <c r="E54" s="17"/>
      <c r="F54" s="20"/>
      <c r="G54" s="20"/>
      <c r="H54" s="17"/>
      <c r="I54" s="17"/>
      <c r="J54" s="87"/>
      <c r="K54" s="71"/>
      <c r="M54" s="4"/>
      <c r="N54" s="23"/>
    </row>
    <row r="55" spans="1:14" ht="15.75" x14ac:dyDescent="0.25">
      <c r="A55" s="101"/>
      <c r="B55" s="88" t="s">
        <v>50</v>
      </c>
      <c r="C55" s="86" t="s">
        <v>6</v>
      </c>
      <c r="D55" s="9">
        <v>10000</v>
      </c>
      <c r="E55" s="9">
        <v>10500</v>
      </c>
      <c r="F55" s="9">
        <v>10000</v>
      </c>
      <c r="G55" s="9">
        <v>11000</v>
      </c>
      <c r="H55" s="9">
        <v>12000</v>
      </c>
      <c r="I55" s="9">
        <v>10000</v>
      </c>
      <c r="J55" s="72">
        <v>10000</v>
      </c>
      <c r="K55" s="67">
        <f t="shared" si="0"/>
        <v>10500</v>
      </c>
      <c r="M55" s="4"/>
      <c r="N55" s="4"/>
    </row>
    <row r="56" spans="1:14" ht="15.75" x14ac:dyDescent="0.25">
      <c r="A56" s="101">
        <v>15</v>
      </c>
      <c r="B56" s="60" t="s">
        <v>51</v>
      </c>
      <c r="C56" s="73"/>
      <c r="D56" s="74"/>
      <c r="E56" s="17"/>
      <c r="F56" s="76"/>
      <c r="G56" s="15"/>
      <c r="H56" s="15"/>
      <c r="I56" s="15"/>
      <c r="J56" s="84"/>
      <c r="K56" s="71"/>
      <c r="M56" s="4"/>
      <c r="N56" s="4"/>
    </row>
    <row r="57" spans="1:14" ht="15.75" x14ac:dyDescent="0.25">
      <c r="A57" s="101"/>
      <c r="B57" s="66" t="s">
        <v>52</v>
      </c>
      <c r="C57" s="17" t="s">
        <v>6</v>
      </c>
      <c r="D57" s="9">
        <v>16000</v>
      </c>
      <c r="E57" s="9">
        <v>13000</v>
      </c>
      <c r="F57" s="9">
        <v>14000</v>
      </c>
      <c r="G57" s="9">
        <v>14000</v>
      </c>
      <c r="H57" s="9">
        <v>11500</v>
      </c>
      <c r="I57" s="9">
        <v>17000</v>
      </c>
      <c r="J57" s="72" t="s">
        <v>99</v>
      </c>
      <c r="K57" s="67">
        <f t="shared" si="0"/>
        <v>14250</v>
      </c>
      <c r="M57" s="4"/>
      <c r="N57" s="4"/>
    </row>
    <row r="58" spans="1:14" ht="15.75" x14ac:dyDescent="0.25">
      <c r="A58" s="101"/>
      <c r="B58" s="66" t="s">
        <v>53</v>
      </c>
      <c r="C58" s="17" t="s">
        <v>6</v>
      </c>
      <c r="D58" s="9" t="s">
        <v>99</v>
      </c>
      <c r="E58" s="9" t="s">
        <v>99</v>
      </c>
      <c r="F58" s="16">
        <v>15000</v>
      </c>
      <c r="G58" s="22" t="s">
        <v>99</v>
      </c>
      <c r="H58" s="9">
        <v>13000</v>
      </c>
      <c r="I58" s="8">
        <v>15000</v>
      </c>
      <c r="J58" s="72">
        <v>14000</v>
      </c>
      <c r="K58" s="67">
        <f t="shared" si="0"/>
        <v>14250</v>
      </c>
      <c r="M58" s="4"/>
      <c r="N58" s="4"/>
    </row>
    <row r="59" spans="1:14" ht="15.75" x14ac:dyDescent="0.25">
      <c r="A59" s="101"/>
      <c r="B59" s="66" t="s">
        <v>54</v>
      </c>
      <c r="C59" s="17" t="s">
        <v>6</v>
      </c>
      <c r="D59" s="9">
        <v>22000</v>
      </c>
      <c r="E59" s="9">
        <v>23000</v>
      </c>
      <c r="F59" s="9">
        <v>23000</v>
      </c>
      <c r="G59" s="9">
        <v>23000</v>
      </c>
      <c r="H59" s="9">
        <v>20000</v>
      </c>
      <c r="I59" s="9">
        <v>23000</v>
      </c>
      <c r="J59" s="72">
        <v>24000</v>
      </c>
      <c r="K59" s="67">
        <f t="shared" si="0"/>
        <v>22571.428571428572</v>
      </c>
      <c r="M59" s="4"/>
      <c r="N59" s="4"/>
    </row>
    <row r="60" spans="1:14" ht="15.75" x14ac:dyDescent="0.25">
      <c r="A60" s="101"/>
      <c r="B60" s="66" t="s">
        <v>55</v>
      </c>
      <c r="C60" s="17" t="s">
        <v>6</v>
      </c>
      <c r="D60" s="9">
        <v>26000</v>
      </c>
      <c r="E60" s="9">
        <v>30000</v>
      </c>
      <c r="F60" s="9">
        <v>28000</v>
      </c>
      <c r="G60" s="9">
        <v>30000</v>
      </c>
      <c r="H60" s="9">
        <v>27000</v>
      </c>
      <c r="I60" s="9">
        <v>28000</v>
      </c>
      <c r="J60" s="72">
        <v>28000</v>
      </c>
      <c r="K60" s="67">
        <f t="shared" si="0"/>
        <v>28142.857142857141</v>
      </c>
      <c r="M60" s="4"/>
      <c r="N60" s="4"/>
    </row>
    <row r="61" spans="1:14" ht="15.75" x14ac:dyDescent="0.25">
      <c r="A61" s="17">
        <v>16</v>
      </c>
      <c r="B61" s="60" t="s">
        <v>56</v>
      </c>
      <c r="C61" s="80"/>
      <c r="D61" s="89"/>
      <c r="E61" s="10"/>
      <c r="F61" s="22"/>
      <c r="G61" s="10"/>
      <c r="H61" s="10"/>
      <c r="I61" s="10"/>
      <c r="J61" s="90"/>
      <c r="K61" s="71"/>
      <c r="M61" s="4"/>
      <c r="N61" s="4"/>
    </row>
    <row r="62" spans="1:14" ht="15.75" x14ac:dyDescent="0.25">
      <c r="A62" s="17"/>
      <c r="B62" s="66" t="s">
        <v>57</v>
      </c>
      <c r="C62" s="86" t="s">
        <v>58</v>
      </c>
      <c r="D62" s="9">
        <v>3000</v>
      </c>
      <c r="E62" s="9">
        <v>3200</v>
      </c>
      <c r="F62" s="9">
        <v>3000</v>
      </c>
      <c r="G62" s="9">
        <v>3000</v>
      </c>
      <c r="H62" s="10" t="s">
        <v>99</v>
      </c>
      <c r="I62" s="16">
        <v>3000</v>
      </c>
      <c r="J62" s="72">
        <v>3500</v>
      </c>
      <c r="K62" s="67">
        <f t="shared" si="0"/>
        <v>3116.6666666666665</v>
      </c>
      <c r="M62" s="4"/>
      <c r="N62" s="4"/>
    </row>
    <row r="63" spans="1:14" ht="15.75" x14ac:dyDescent="0.25">
      <c r="A63" s="101">
        <v>17</v>
      </c>
      <c r="B63" s="60" t="s">
        <v>59</v>
      </c>
      <c r="C63" s="73"/>
      <c r="D63" s="74"/>
      <c r="E63" s="17"/>
      <c r="F63" s="76"/>
      <c r="G63" s="76"/>
      <c r="H63" s="15"/>
      <c r="I63" s="15"/>
      <c r="J63" s="84"/>
      <c r="K63" s="71"/>
      <c r="M63" s="4"/>
      <c r="N63" s="4"/>
    </row>
    <row r="64" spans="1:14" ht="15.75" x14ac:dyDescent="0.25">
      <c r="A64" s="101"/>
      <c r="B64" s="66" t="s">
        <v>60</v>
      </c>
      <c r="C64" s="17" t="s">
        <v>6</v>
      </c>
      <c r="D64" s="9">
        <v>80000</v>
      </c>
      <c r="E64" s="9">
        <v>70000</v>
      </c>
      <c r="F64" s="9">
        <v>85000</v>
      </c>
      <c r="G64" s="9">
        <v>70000</v>
      </c>
      <c r="H64" s="9">
        <v>90000</v>
      </c>
      <c r="I64" s="9">
        <v>90000</v>
      </c>
      <c r="J64" s="72">
        <v>90000</v>
      </c>
      <c r="K64" s="67">
        <f t="shared" si="0"/>
        <v>82142.857142857145</v>
      </c>
      <c r="M64" s="4"/>
      <c r="N64" s="4"/>
    </row>
    <row r="65" spans="1:14" ht="15.75" x14ac:dyDescent="0.25">
      <c r="A65" s="101"/>
      <c r="B65" s="66" t="s">
        <v>61</v>
      </c>
      <c r="C65" s="17" t="s">
        <v>6</v>
      </c>
      <c r="D65" s="9">
        <v>90000</v>
      </c>
      <c r="E65" s="9">
        <v>70000</v>
      </c>
      <c r="F65" s="9">
        <v>80000</v>
      </c>
      <c r="G65" s="9">
        <v>65000</v>
      </c>
      <c r="H65" s="9">
        <v>80000</v>
      </c>
      <c r="I65" s="8">
        <v>65000</v>
      </c>
      <c r="J65" s="72">
        <v>65000</v>
      </c>
      <c r="K65" s="67">
        <f t="shared" si="0"/>
        <v>73571.428571428565</v>
      </c>
      <c r="M65" s="4"/>
      <c r="N65" s="4"/>
    </row>
    <row r="66" spans="1:14" ht="15.75" x14ac:dyDescent="0.25">
      <c r="A66" s="101"/>
      <c r="B66" s="66" t="s">
        <v>62</v>
      </c>
      <c r="C66" s="17" t="s">
        <v>6</v>
      </c>
      <c r="D66" s="9">
        <v>70000</v>
      </c>
      <c r="E66" s="9">
        <v>60000</v>
      </c>
      <c r="F66" s="9">
        <v>67000</v>
      </c>
      <c r="G66" s="9">
        <v>60000</v>
      </c>
      <c r="H66" s="9">
        <v>70000</v>
      </c>
      <c r="I66" s="9">
        <v>85000</v>
      </c>
      <c r="J66" s="72">
        <v>70000</v>
      </c>
      <c r="K66" s="67">
        <f t="shared" si="0"/>
        <v>68857.142857142855</v>
      </c>
      <c r="M66" s="4"/>
      <c r="N66" s="4"/>
    </row>
    <row r="67" spans="1:14" ht="15.75" x14ac:dyDescent="0.25">
      <c r="A67" s="17">
        <v>18</v>
      </c>
      <c r="B67" s="60" t="s">
        <v>63</v>
      </c>
      <c r="C67" s="80"/>
      <c r="D67" s="24"/>
      <c r="E67" s="10"/>
      <c r="F67" s="22"/>
      <c r="G67" s="10"/>
      <c r="H67" s="10" t="s">
        <v>1</v>
      </c>
      <c r="I67" s="10"/>
      <c r="J67" s="77"/>
      <c r="K67" s="71"/>
      <c r="M67" s="4"/>
      <c r="N67" s="4"/>
    </row>
    <row r="68" spans="1:14" ht="15.75" x14ac:dyDescent="0.25">
      <c r="A68" s="17"/>
      <c r="B68" s="66" t="s">
        <v>64</v>
      </c>
      <c r="C68" s="17" t="s">
        <v>65</v>
      </c>
      <c r="D68" s="9">
        <v>20000</v>
      </c>
      <c r="E68" s="9">
        <v>18000</v>
      </c>
      <c r="F68" s="9">
        <v>18000</v>
      </c>
      <c r="G68" s="9">
        <v>18000</v>
      </c>
      <c r="H68" s="10" t="s">
        <v>99</v>
      </c>
      <c r="I68" s="9">
        <v>18000</v>
      </c>
      <c r="J68" s="79">
        <v>18000</v>
      </c>
      <c r="K68" s="67">
        <f t="shared" si="0"/>
        <v>18333.333333333332</v>
      </c>
      <c r="M68" s="4"/>
      <c r="N68" s="4"/>
    </row>
    <row r="69" spans="1:14" ht="15.75" x14ac:dyDescent="0.25">
      <c r="A69" s="101">
        <v>19</v>
      </c>
      <c r="B69" s="60" t="s">
        <v>66</v>
      </c>
      <c r="C69" s="60"/>
      <c r="D69" s="74"/>
      <c r="E69" s="17"/>
      <c r="F69" s="15"/>
      <c r="G69" s="15"/>
      <c r="H69" s="15"/>
      <c r="I69" s="15"/>
      <c r="J69" s="75"/>
      <c r="K69" s="71"/>
      <c r="M69" s="4"/>
      <c r="N69" s="4"/>
    </row>
    <row r="70" spans="1:14" ht="15.75" x14ac:dyDescent="0.25">
      <c r="A70" s="101"/>
      <c r="B70" s="66" t="s">
        <v>67</v>
      </c>
      <c r="C70" s="17" t="s">
        <v>6</v>
      </c>
      <c r="D70" s="9">
        <v>38000</v>
      </c>
      <c r="E70" s="9">
        <v>35000</v>
      </c>
      <c r="F70" s="9">
        <v>36000</v>
      </c>
      <c r="G70" s="9">
        <v>36000</v>
      </c>
      <c r="H70" s="9">
        <v>37000</v>
      </c>
      <c r="I70" s="9">
        <v>38000</v>
      </c>
      <c r="J70" s="72">
        <v>40000</v>
      </c>
      <c r="K70" s="67">
        <f t="shared" si="0"/>
        <v>37142.857142857145</v>
      </c>
      <c r="M70" s="4"/>
      <c r="N70" s="4"/>
    </row>
    <row r="71" spans="1:14" ht="15.75" x14ac:dyDescent="0.25">
      <c r="A71" s="101"/>
      <c r="B71" s="66" t="s">
        <v>68</v>
      </c>
      <c r="C71" s="17" t="s">
        <v>6</v>
      </c>
      <c r="D71" s="9">
        <v>34000</v>
      </c>
      <c r="E71" s="9">
        <v>32000</v>
      </c>
      <c r="F71" s="9">
        <v>33000</v>
      </c>
      <c r="G71" s="9">
        <v>32000</v>
      </c>
      <c r="H71" s="9">
        <v>32000</v>
      </c>
      <c r="I71" s="9">
        <v>32000</v>
      </c>
      <c r="J71" s="72">
        <v>33000</v>
      </c>
      <c r="K71" s="67">
        <f t="shared" si="0"/>
        <v>32571.428571428572</v>
      </c>
      <c r="M71" s="4"/>
      <c r="N71" s="4"/>
    </row>
    <row r="72" spans="1:14" ht="15.75" x14ac:dyDescent="0.25">
      <c r="A72" s="101"/>
      <c r="B72" s="66" t="s">
        <v>69</v>
      </c>
      <c r="C72" s="17" t="s">
        <v>6</v>
      </c>
      <c r="D72" s="9">
        <v>28000</v>
      </c>
      <c r="E72" s="9">
        <v>28000</v>
      </c>
      <c r="F72" s="9">
        <v>24000</v>
      </c>
      <c r="G72" s="9">
        <v>28000</v>
      </c>
      <c r="H72" s="9">
        <v>23000</v>
      </c>
      <c r="I72" s="9">
        <v>30000</v>
      </c>
      <c r="J72" s="72">
        <v>20000</v>
      </c>
      <c r="K72" s="67">
        <f t="shared" si="0"/>
        <v>25857.142857142859</v>
      </c>
      <c r="M72" s="4"/>
      <c r="N72" s="4"/>
    </row>
    <row r="73" spans="1:14" ht="15.75" x14ac:dyDescent="0.25">
      <c r="A73" s="101"/>
      <c r="B73" s="66" t="s">
        <v>70</v>
      </c>
      <c r="C73" s="17" t="s">
        <v>6</v>
      </c>
      <c r="D73" s="9">
        <v>28000</v>
      </c>
      <c r="E73" s="9">
        <v>25000</v>
      </c>
      <c r="F73" s="16">
        <v>28000</v>
      </c>
      <c r="G73" s="8">
        <v>30000</v>
      </c>
      <c r="H73" s="9">
        <v>25000</v>
      </c>
      <c r="I73" s="9">
        <v>28000</v>
      </c>
      <c r="J73" s="72">
        <v>30000</v>
      </c>
      <c r="K73" s="67">
        <f t="shared" si="0"/>
        <v>27714.285714285714</v>
      </c>
      <c r="M73" s="4"/>
      <c r="N73" s="4"/>
    </row>
    <row r="74" spans="1:14" ht="15.75" x14ac:dyDescent="0.25">
      <c r="A74" s="17">
        <v>20</v>
      </c>
      <c r="B74" s="60" t="s">
        <v>71</v>
      </c>
      <c r="C74" s="91"/>
      <c r="D74" s="24"/>
      <c r="E74" s="10"/>
      <c r="F74" s="10"/>
      <c r="G74" s="89"/>
      <c r="H74" s="10"/>
      <c r="I74" s="10"/>
      <c r="J74" s="90"/>
      <c r="K74" s="71"/>
      <c r="M74" s="4"/>
      <c r="N74" s="4"/>
    </row>
    <row r="75" spans="1:14" ht="15.75" x14ac:dyDescent="0.25">
      <c r="A75" s="17"/>
      <c r="B75" s="66" t="s">
        <v>72</v>
      </c>
      <c r="C75" s="86" t="s">
        <v>6</v>
      </c>
      <c r="D75" s="9">
        <v>7000</v>
      </c>
      <c r="E75" s="9">
        <v>7000</v>
      </c>
      <c r="F75" s="9">
        <v>5000</v>
      </c>
      <c r="G75" s="9">
        <v>6000</v>
      </c>
      <c r="H75" s="9">
        <v>5000</v>
      </c>
      <c r="I75" s="9">
        <v>5000</v>
      </c>
      <c r="J75" s="72">
        <v>5000</v>
      </c>
      <c r="K75" s="67">
        <f t="shared" si="0"/>
        <v>5714.2857142857147</v>
      </c>
      <c r="M75" s="4"/>
      <c r="N75" s="4"/>
    </row>
    <row r="76" spans="1:14" ht="15.75" x14ac:dyDescent="0.25">
      <c r="A76" s="17"/>
      <c r="B76" s="66" t="s">
        <v>73</v>
      </c>
      <c r="C76" s="86" t="s">
        <v>6</v>
      </c>
      <c r="D76" s="9">
        <v>7000</v>
      </c>
      <c r="E76" s="9">
        <v>6000</v>
      </c>
      <c r="F76" s="16">
        <v>6000</v>
      </c>
      <c r="G76" s="8">
        <v>6000</v>
      </c>
      <c r="H76" s="9">
        <v>5000</v>
      </c>
      <c r="I76" s="9">
        <v>6000</v>
      </c>
      <c r="J76" s="79">
        <v>6000</v>
      </c>
      <c r="K76" s="67">
        <f t="shared" si="0"/>
        <v>6000</v>
      </c>
      <c r="M76" s="4"/>
      <c r="N76" s="4"/>
    </row>
    <row r="77" spans="1:14" ht="15.75" x14ac:dyDescent="0.25">
      <c r="A77" s="17">
        <v>21</v>
      </c>
      <c r="B77" s="60" t="s">
        <v>74</v>
      </c>
      <c r="C77" s="91"/>
      <c r="D77" s="19"/>
      <c r="E77" s="10"/>
      <c r="F77" s="10"/>
      <c r="G77" s="22"/>
      <c r="H77" s="10"/>
      <c r="I77" s="10"/>
      <c r="J77" s="77"/>
      <c r="K77" s="71"/>
      <c r="M77" s="4"/>
      <c r="N77" s="4"/>
    </row>
    <row r="78" spans="1:14" ht="15.75" x14ac:dyDescent="0.25">
      <c r="A78" s="17"/>
      <c r="B78" s="66" t="s">
        <v>75</v>
      </c>
      <c r="C78" s="86" t="s">
        <v>6</v>
      </c>
      <c r="D78" s="9">
        <v>6000</v>
      </c>
      <c r="E78" s="9">
        <v>8000</v>
      </c>
      <c r="F78" s="9">
        <v>10000</v>
      </c>
      <c r="G78" s="9">
        <v>8000</v>
      </c>
      <c r="H78" s="9">
        <v>6000</v>
      </c>
      <c r="I78" s="16">
        <v>9000</v>
      </c>
      <c r="J78" s="72" t="s">
        <v>99</v>
      </c>
      <c r="K78" s="67">
        <f t="shared" si="0"/>
        <v>7833.333333333333</v>
      </c>
      <c r="M78" s="4"/>
      <c r="N78" s="4"/>
    </row>
    <row r="79" spans="1:14" ht="15.75" x14ac:dyDescent="0.25">
      <c r="A79" s="17"/>
      <c r="B79" s="66" t="s">
        <v>76</v>
      </c>
      <c r="C79" s="86" t="s">
        <v>6</v>
      </c>
      <c r="D79" s="9">
        <v>8000</v>
      </c>
      <c r="E79" s="9">
        <v>10000</v>
      </c>
      <c r="F79" s="9">
        <v>20000</v>
      </c>
      <c r="G79" s="9">
        <v>12000</v>
      </c>
      <c r="H79" s="9">
        <v>6000</v>
      </c>
      <c r="I79" s="16">
        <v>8000</v>
      </c>
      <c r="J79" s="72">
        <v>15000</v>
      </c>
      <c r="K79" s="67">
        <f t="shared" si="0"/>
        <v>11285.714285714286</v>
      </c>
      <c r="M79" s="4"/>
      <c r="N79" s="4"/>
    </row>
    <row r="80" spans="1:14" ht="15.75" x14ac:dyDescent="0.25">
      <c r="A80" s="17"/>
      <c r="B80" s="66" t="s">
        <v>77</v>
      </c>
      <c r="C80" s="86" t="s">
        <v>6</v>
      </c>
      <c r="D80" s="9">
        <v>17000</v>
      </c>
      <c r="E80" s="9">
        <v>16000</v>
      </c>
      <c r="F80" s="9">
        <v>17000</v>
      </c>
      <c r="G80" s="9">
        <v>17000</v>
      </c>
      <c r="H80" s="9">
        <v>15000</v>
      </c>
      <c r="I80" s="9">
        <v>18000</v>
      </c>
      <c r="J80" s="72">
        <v>18000</v>
      </c>
      <c r="K80" s="67">
        <f t="shared" si="0"/>
        <v>16857.142857142859</v>
      </c>
      <c r="M80" s="4"/>
      <c r="N80" s="4"/>
    </row>
    <row r="81" spans="1:14" ht="15.75" x14ac:dyDescent="0.25">
      <c r="A81" s="17"/>
      <c r="B81" s="66" t="s">
        <v>78</v>
      </c>
      <c r="C81" s="86" t="s">
        <v>6</v>
      </c>
      <c r="D81" s="9">
        <v>18000</v>
      </c>
      <c r="E81" s="9">
        <v>15000</v>
      </c>
      <c r="F81" s="9">
        <v>10000</v>
      </c>
      <c r="G81" s="9">
        <v>20000</v>
      </c>
      <c r="H81" s="9">
        <v>20000</v>
      </c>
      <c r="I81" s="8">
        <v>20000</v>
      </c>
      <c r="J81" s="72">
        <v>20000</v>
      </c>
      <c r="K81" s="67">
        <f t="shared" ref="K81:K88" si="1">AVERAGE(D81:J81)</f>
        <v>17571.428571428572</v>
      </c>
      <c r="M81" s="4"/>
      <c r="N81" s="4"/>
    </row>
    <row r="82" spans="1:14" ht="15.75" x14ac:dyDescent="0.25">
      <c r="A82" s="17"/>
      <c r="B82" s="66" t="s">
        <v>79</v>
      </c>
      <c r="C82" s="86" t="s">
        <v>6</v>
      </c>
      <c r="D82" s="9">
        <v>14000</v>
      </c>
      <c r="E82" s="9">
        <v>12000</v>
      </c>
      <c r="F82" s="9">
        <v>14000</v>
      </c>
      <c r="G82" s="9">
        <v>12000</v>
      </c>
      <c r="H82" s="9">
        <v>10000</v>
      </c>
      <c r="I82" s="9">
        <v>16000</v>
      </c>
      <c r="J82" s="72">
        <v>15000</v>
      </c>
      <c r="K82" s="67">
        <f t="shared" si="1"/>
        <v>13285.714285714286</v>
      </c>
      <c r="M82" s="4"/>
      <c r="N82" s="4"/>
    </row>
    <row r="83" spans="1:14" ht="15.75" x14ac:dyDescent="0.25">
      <c r="A83" s="17"/>
      <c r="B83" s="66" t="s">
        <v>80</v>
      </c>
      <c r="C83" s="86" t="s">
        <v>6</v>
      </c>
      <c r="D83" s="9">
        <v>9000</v>
      </c>
      <c r="E83" s="9">
        <v>8000</v>
      </c>
      <c r="F83" s="16">
        <v>9000</v>
      </c>
      <c r="G83" s="8">
        <v>8000</v>
      </c>
      <c r="H83" s="9">
        <v>7000</v>
      </c>
      <c r="I83" s="16">
        <v>9000</v>
      </c>
      <c r="J83" s="72">
        <v>8000</v>
      </c>
      <c r="K83" s="67">
        <f t="shared" si="1"/>
        <v>8285.7142857142862</v>
      </c>
      <c r="M83" s="4"/>
      <c r="N83" s="4"/>
    </row>
    <row r="84" spans="1:14" ht="15.75" x14ac:dyDescent="0.25">
      <c r="A84" s="17"/>
      <c r="B84" s="66" t="s">
        <v>81</v>
      </c>
      <c r="C84" s="86" t="s">
        <v>82</v>
      </c>
      <c r="D84" s="9">
        <v>2000</v>
      </c>
      <c r="E84" s="9">
        <v>1500</v>
      </c>
      <c r="F84" s="9">
        <v>2000</v>
      </c>
      <c r="G84" s="8">
        <v>2000</v>
      </c>
      <c r="H84" s="9">
        <v>1500</v>
      </c>
      <c r="I84" s="9">
        <v>2000</v>
      </c>
      <c r="J84" s="79">
        <v>1500</v>
      </c>
      <c r="K84" s="67">
        <f t="shared" si="1"/>
        <v>1785.7142857142858</v>
      </c>
      <c r="M84" s="4"/>
      <c r="N84" s="4"/>
    </row>
    <row r="85" spans="1:14" ht="15.75" x14ac:dyDescent="0.25">
      <c r="A85" s="17"/>
      <c r="B85" s="66" t="s">
        <v>83</v>
      </c>
      <c r="C85" s="86" t="s">
        <v>82</v>
      </c>
      <c r="D85" s="9">
        <v>1500</v>
      </c>
      <c r="E85" s="9">
        <v>1500</v>
      </c>
      <c r="F85" s="9">
        <v>1500</v>
      </c>
      <c r="G85" s="8">
        <v>2000</v>
      </c>
      <c r="H85" s="9">
        <v>1500</v>
      </c>
      <c r="I85" s="9">
        <v>1500</v>
      </c>
      <c r="J85" s="79">
        <v>1000</v>
      </c>
      <c r="K85" s="67">
        <f t="shared" si="1"/>
        <v>1500</v>
      </c>
      <c r="M85" s="4"/>
      <c r="N85" s="4"/>
    </row>
    <row r="86" spans="1:14" ht="15.75" x14ac:dyDescent="0.25">
      <c r="A86" s="17"/>
      <c r="B86" s="66" t="s">
        <v>84</v>
      </c>
      <c r="C86" s="86" t="s">
        <v>82</v>
      </c>
      <c r="D86" s="9" t="s">
        <v>99</v>
      </c>
      <c r="E86" s="9">
        <v>2000</v>
      </c>
      <c r="F86" s="9" t="s">
        <v>99</v>
      </c>
      <c r="G86" s="8" t="s">
        <v>99</v>
      </c>
      <c r="H86" s="9">
        <v>2500</v>
      </c>
      <c r="I86" s="9" t="s">
        <v>99</v>
      </c>
      <c r="J86" s="79">
        <v>2000</v>
      </c>
      <c r="K86" s="67">
        <f t="shared" si="1"/>
        <v>2166.6666666666665</v>
      </c>
      <c r="M86" s="4"/>
      <c r="N86" s="4"/>
    </row>
    <row r="87" spans="1:14" ht="15.75" x14ac:dyDescent="0.25">
      <c r="A87" s="17">
        <v>22</v>
      </c>
      <c r="B87" s="60" t="s">
        <v>85</v>
      </c>
      <c r="C87" s="91"/>
      <c r="D87" s="22"/>
      <c r="E87" s="10"/>
      <c r="F87" s="10" t="s">
        <v>102</v>
      </c>
      <c r="G87" s="22"/>
      <c r="H87" s="10"/>
      <c r="I87" s="10"/>
      <c r="J87" s="77"/>
      <c r="K87" s="71"/>
      <c r="L87" s="4"/>
      <c r="M87" s="4"/>
      <c r="N87" s="4"/>
    </row>
    <row r="88" spans="1:14" x14ac:dyDescent="0.25">
      <c r="A88" s="17"/>
      <c r="B88" s="66" t="s">
        <v>86</v>
      </c>
      <c r="C88" s="86" t="s">
        <v>87</v>
      </c>
      <c r="D88" s="9" t="s">
        <v>99</v>
      </c>
      <c r="E88" s="9" t="s">
        <v>99</v>
      </c>
      <c r="F88" s="9">
        <v>18000</v>
      </c>
      <c r="G88" s="8">
        <v>17000</v>
      </c>
      <c r="H88" s="10" t="s">
        <v>99</v>
      </c>
      <c r="I88" s="16">
        <v>18000</v>
      </c>
      <c r="J88" s="79">
        <v>18000</v>
      </c>
      <c r="K88" s="67">
        <f t="shared" si="1"/>
        <v>17750</v>
      </c>
    </row>
  </sheetData>
  <mergeCells count="28">
    <mergeCell ref="A69:A73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  <mergeCell ref="A7:A12"/>
    <mergeCell ref="A13:A15"/>
    <mergeCell ref="A16:A17"/>
    <mergeCell ref="A19:A20"/>
    <mergeCell ref="J4:J6"/>
    <mergeCell ref="H4:H6"/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D4:D6"/>
    <mergeCell ref="E4:E6"/>
    <mergeCell ref="F4:F6"/>
  </mergeCells>
  <pageMargins left="0.7" right="0.7" top="0.75" bottom="0.75" header="0.3" footer="0.3"/>
  <drawing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66B58-B040-400A-9A24-012A43C64B65}">
  <dimension ref="A1:N88"/>
  <sheetViews>
    <sheetView workbookViewId="0">
      <selection activeCell="A7" sqref="A7:K88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02" t="s">
        <v>88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M1" s="4"/>
      <c r="N1" s="4"/>
    </row>
    <row r="2" spans="1:14" ht="27.75" customHeight="1" x14ac:dyDescent="0.25">
      <c r="A2" s="103" t="s">
        <v>89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M2" s="4"/>
      <c r="N2" s="4"/>
    </row>
    <row r="3" spans="1:14" ht="27.75" customHeight="1" thickBot="1" x14ac:dyDescent="0.3">
      <c r="A3" s="104" t="s">
        <v>148</v>
      </c>
      <c r="B3" s="104"/>
      <c r="C3" s="104"/>
      <c r="D3" s="104"/>
      <c r="E3" s="104"/>
      <c r="F3" s="104"/>
      <c r="G3" s="104"/>
      <c r="H3" s="104"/>
      <c r="I3" s="104"/>
      <c r="J3" s="104"/>
      <c r="K3" s="105"/>
      <c r="M3" s="4"/>
      <c r="N3" s="4"/>
    </row>
    <row r="4" spans="1:14" ht="25.5" customHeight="1" x14ac:dyDescent="0.25">
      <c r="A4" s="96" t="s">
        <v>1</v>
      </c>
      <c r="B4" s="99" t="s">
        <v>2</v>
      </c>
      <c r="C4" s="96" t="s">
        <v>90</v>
      </c>
      <c r="D4" s="110" t="s">
        <v>91</v>
      </c>
      <c r="E4" s="113" t="s">
        <v>92</v>
      </c>
      <c r="F4" s="125" t="s">
        <v>93</v>
      </c>
      <c r="G4" s="128" t="s">
        <v>94</v>
      </c>
      <c r="H4" s="147" t="s">
        <v>95</v>
      </c>
      <c r="I4" s="119" t="s">
        <v>96</v>
      </c>
      <c r="J4" s="106" t="s">
        <v>97</v>
      </c>
      <c r="K4" s="122" t="s">
        <v>98</v>
      </c>
      <c r="M4" s="4"/>
      <c r="N4" s="4"/>
    </row>
    <row r="5" spans="1:14" ht="15" customHeight="1" x14ac:dyDescent="0.25">
      <c r="A5" s="97"/>
      <c r="B5" s="100"/>
      <c r="C5" s="97"/>
      <c r="D5" s="111"/>
      <c r="E5" s="114"/>
      <c r="F5" s="126"/>
      <c r="G5" s="129"/>
      <c r="H5" s="148"/>
      <c r="I5" s="120"/>
      <c r="J5" s="107"/>
      <c r="K5" s="123"/>
      <c r="M5" s="4"/>
      <c r="N5" s="4"/>
    </row>
    <row r="6" spans="1:14" ht="16.5" thickBot="1" x14ac:dyDescent="0.3">
      <c r="A6" s="98"/>
      <c r="B6" s="109"/>
      <c r="C6" s="98"/>
      <c r="D6" s="112"/>
      <c r="E6" s="115"/>
      <c r="F6" s="127"/>
      <c r="G6" s="130"/>
      <c r="H6" s="149"/>
      <c r="I6" s="121"/>
      <c r="J6" s="108"/>
      <c r="K6" s="124"/>
      <c r="M6" s="4"/>
      <c r="N6" s="4"/>
    </row>
    <row r="7" spans="1:14" ht="15.75" x14ac:dyDescent="0.25">
      <c r="A7" s="101">
        <v>1</v>
      </c>
      <c r="B7" s="60" t="s">
        <v>4</v>
      </c>
      <c r="C7" s="61"/>
      <c r="D7" s="62"/>
      <c r="E7" s="17" t="s">
        <v>102</v>
      </c>
      <c r="F7" s="17"/>
      <c r="G7" s="63"/>
      <c r="H7" s="63" t="s">
        <v>1</v>
      </c>
      <c r="I7" s="64"/>
      <c r="J7" s="63"/>
      <c r="K7" s="65"/>
      <c r="M7" s="4"/>
      <c r="N7" s="4"/>
    </row>
    <row r="8" spans="1:14" ht="15.75" x14ac:dyDescent="0.25">
      <c r="A8" s="101"/>
      <c r="B8" s="66" t="s">
        <v>107</v>
      </c>
      <c r="C8" s="17" t="s">
        <v>6</v>
      </c>
      <c r="D8" s="9">
        <v>15500</v>
      </c>
      <c r="E8" s="9">
        <v>15500</v>
      </c>
      <c r="F8" s="9">
        <v>15500</v>
      </c>
      <c r="G8" s="9">
        <v>15500</v>
      </c>
      <c r="H8" s="9">
        <v>17000</v>
      </c>
      <c r="I8" s="9">
        <v>17000</v>
      </c>
      <c r="J8" s="16">
        <v>17000</v>
      </c>
      <c r="K8" s="67">
        <f>AVERAGE(D8:J8)</f>
        <v>16142.857142857143</v>
      </c>
      <c r="L8" s="1"/>
      <c r="M8" s="7"/>
      <c r="N8" s="4"/>
    </row>
    <row r="9" spans="1:14" ht="15.75" x14ac:dyDescent="0.25">
      <c r="A9" s="101"/>
      <c r="B9" s="66" t="s">
        <v>115</v>
      </c>
      <c r="C9" s="17" t="s">
        <v>6</v>
      </c>
      <c r="D9" s="9">
        <v>10900</v>
      </c>
      <c r="E9" s="9">
        <v>10900</v>
      </c>
      <c r="F9" s="9">
        <v>10900</v>
      </c>
      <c r="G9" s="8">
        <v>10900</v>
      </c>
      <c r="H9" s="9" t="s">
        <v>99</v>
      </c>
      <c r="I9" s="9" t="s">
        <v>99</v>
      </c>
      <c r="J9" s="16" t="s">
        <v>99</v>
      </c>
      <c r="K9" s="67">
        <f t="shared" ref="K9:K80" si="0">AVERAGE(D9:J9)</f>
        <v>10900</v>
      </c>
      <c r="M9" s="4"/>
      <c r="N9" s="4"/>
    </row>
    <row r="10" spans="1:14" ht="15.75" x14ac:dyDescent="0.25">
      <c r="A10" s="101"/>
      <c r="B10" s="66" t="s">
        <v>108</v>
      </c>
      <c r="C10" s="17" t="s">
        <v>6</v>
      </c>
      <c r="D10" s="9" t="s">
        <v>99</v>
      </c>
      <c r="E10" s="9" t="s">
        <v>99</v>
      </c>
      <c r="F10" s="9" t="s">
        <v>99</v>
      </c>
      <c r="G10" s="8" t="s">
        <v>99</v>
      </c>
      <c r="H10" s="9">
        <v>13000</v>
      </c>
      <c r="I10" s="9">
        <v>15000</v>
      </c>
      <c r="J10" s="16" t="s">
        <v>99</v>
      </c>
      <c r="K10" s="67">
        <f t="shared" si="0"/>
        <v>14000</v>
      </c>
      <c r="M10" s="4"/>
      <c r="N10" s="4"/>
    </row>
    <row r="11" spans="1:14" ht="15.75" x14ac:dyDescent="0.25">
      <c r="A11" s="101"/>
      <c r="B11" s="66" t="s">
        <v>9</v>
      </c>
      <c r="C11" s="17" t="s">
        <v>6</v>
      </c>
      <c r="D11" s="9" t="s">
        <v>99</v>
      </c>
      <c r="E11" s="9">
        <v>10000</v>
      </c>
      <c r="F11" s="16">
        <v>12000</v>
      </c>
      <c r="G11" s="8">
        <v>10000</v>
      </c>
      <c r="H11" s="9">
        <v>10000</v>
      </c>
      <c r="I11" s="16">
        <v>12000</v>
      </c>
      <c r="J11" s="16">
        <v>10000</v>
      </c>
      <c r="K11" s="67">
        <f>AVERAGE(D11:J11)</f>
        <v>10666.666666666666</v>
      </c>
      <c r="M11" s="4"/>
      <c r="N11" s="4"/>
    </row>
    <row r="12" spans="1:14" ht="15.75" x14ac:dyDescent="0.25">
      <c r="A12" s="101"/>
      <c r="B12" s="66" t="s">
        <v>10</v>
      </c>
      <c r="C12" s="17" t="s">
        <v>6</v>
      </c>
      <c r="D12" s="9" t="s">
        <v>99</v>
      </c>
      <c r="E12" s="9">
        <v>21000</v>
      </c>
      <c r="F12" s="16">
        <v>16000</v>
      </c>
      <c r="G12" s="8">
        <v>18000</v>
      </c>
      <c r="H12" s="9">
        <v>25000</v>
      </c>
      <c r="I12" s="16">
        <v>17000</v>
      </c>
      <c r="J12" s="16">
        <v>17000</v>
      </c>
      <c r="K12" s="67">
        <f t="shared" si="0"/>
        <v>19000</v>
      </c>
      <c r="M12" s="4"/>
      <c r="N12" s="12"/>
    </row>
    <row r="13" spans="1:14" ht="15.75" x14ac:dyDescent="0.25">
      <c r="A13" s="101">
        <v>2</v>
      </c>
      <c r="B13" s="60" t="s">
        <v>11</v>
      </c>
      <c r="C13" s="68"/>
      <c r="D13" s="62"/>
      <c r="E13" s="92"/>
      <c r="F13" s="17"/>
      <c r="G13" s="70"/>
      <c r="H13" s="70"/>
      <c r="I13" s="70"/>
      <c r="J13" s="70"/>
      <c r="K13" s="71"/>
      <c r="M13" s="4"/>
      <c r="N13" s="4"/>
    </row>
    <row r="14" spans="1:14" ht="15.75" x14ac:dyDescent="0.25">
      <c r="A14" s="101"/>
      <c r="B14" s="66" t="s">
        <v>116</v>
      </c>
      <c r="C14" s="17" t="s">
        <v>6</v>
      </c>
      <c r="D14" s="9">
        <v>16000</v>
      </c>
      <c r="E14" s="9">
        <v>16500</v>
      </c>
      <c r="F14" s="9">
        <v>17000</v>
      </c>
      <c r="G14" s="16">
        <v>16000</v>
      </c>
      <c r="H14" s="9">
        <v>16500</v>
      </c>
      <c r="I14" s="9">
        <v>16500</v>
      </c>
      <c r="J14" s="72">
        <v>17000</v>
      </c>
      <c r="K14" s="67">
        <f t="shared" si="0"/>
        <v>16500</v>
      </c>
      <c r="M14" s="4"/>
      <c r="N14" s="4"/>
    </row>
    <row r="15" spans="1:14" ht="15.75" x14ac:dyDescent="0.25">
      <c r="A15" s="101"/>
      <c r="B15" s="66" t="s">
        <v>13</v>
      </c>
      <c r="C15" s="17" t="s">
        <v>6</v>
      </c>
      <c r="D15" s="9">
        <v>17000</v>
      </c>
      <c r="E15" s="9">
        <v>16000</v>
      </c>
      <c r="F15" s="16">
        <v>16000</v>
      </c>
      <c r="G15" s="8">
        <v>16000</v>
      </c>
      <c r="H15" s="9">
        <v>17000</v>
      </c>
      <c r="I15" s="9">
        <v>18000</v>
      </c>
      <c r="J15" s="72">
        <v>18000</v>
      </c>
      <c r="K15" s="67">
        <f>AVERAGE(D15:J15)</f>
        <v>16857.142857142859</v>
      </c>
      <c r="M15" s="4"/>
      <c r="N15" s="4"/>
    </row>
    <row r="16" spans="1:14" ht="15.75" x14ac:dyDescent="0.25">
      <c r="A16" s="101">
        <v>3</v>
      </c>
      <c r="B16" s="60" t="s">
        <v>14</v>
      </c>
      <c r="C16" s="73"/>
      <c r="D16" s="74"/>
      <c r="E16" s="15"/>
      <c r="F16" s="15"/>
      <c r="G16" s="15"/>
      <c r="H16" s="15"/>
      <c r="I16" s="15" t="s">
        <v>130</v>
      </c>
      <c r="J16" s="75"/>
      <c r="K16" s="71"/>
      <c r="M16" s="4"/>
      <c r="N16" s="4"/>
    </row>
    <row r="17" spans="1:14" ht="15.75" x14ac:dyDescent="0.25">
      <c r="A17" s="101"/>
      <c r="B17" s="66" t="s">
        <v>15</v>
      </c>
      <c r="C17" s="17" t="s">
        <v>6</v>
      </c>
      <c r="D17" s="9">
        <v>15000</v>
      </c>
      <c r="E17" s="9">
        <v>15000</v>
      </c>
      <c r="F17" s="9">
        <v>16000</v>
      </c>
      <c r="G17" s="9">
        <v>15000</v>
      </c>
      <c r="H17" s="9">
        <v>16000</v>
      </c>
      <c r="I17" s="9">
        <v>16000</v>
      </c>
      <c r="J17" s="72">
        <v>16500</v>
      </c>
      <c r="K17" s="67">
        <f t="shared" si="0"/>
        <v>15642.857142857143</v>
      </c>
      <c r="M17" s="4"/>
      <c r="N17" s="4"/>
    </row>
    <row r="18" spans="1:14" ht="15.75" x14ac:dyDescent="0.25">
      <c r="A18" s="59"/>
      <c r="B18" s="66" t="s">
        <v>109</v>
      </c>
      <c r="C18" s="17" t="s">
        <v>110</v>
      </c>
      <c r="D18" s="9">
        <v>14000</v>
      </c>
      <c r="E18" s="9">
        <v>14000</v>
      </c>
      <c r="F18" s="9">
        <v>14000</v>
      </c>
      <c r="G18" s="9">
        <v>14000</v>
      </c>
      <c r="H18" s="9" t="s">
        <v>99</v>
      </c>
      <c r="I18" s="9">
        <v>14000</v>
      </c>
      <c r="J18" s="72">
        <v>14000</v>
      </c>
      <c r="K18" s="67">
        <f t="shared" si="0"/>
        <v>14000</v>
      </c>
      <c r="M18" s="4"/>
      <c r="N18" s="4"/>
    </row>
    <row r="19" spans="1:14" ht="17.25" customHeight="1" x14ac:dyDescent="0.25">
      <c r="A19" s="101">
        <v>4</v>
      </c>
      <c r="B19" s="60" t="s">
        <v>16</v>
      </c>
      <c r="C19" s="73"/>
      <c r="D19" s="74"/>
      <c r="E19" s="15"/>
      <c r="F19" s="15"/>
      <c r="G19" s="76"/>
      <c r="H19" s="15"/>
      <c r="I19" s="15"/>
      <c r="J19" s="75"/>
      <c r="K19" s="71"/>
      <c r="M19" s="4"/>
      <c r="N19" s="4"/>
    </row>
    <row r="20" spans="1:14" ht="15.75" x14ac:dyDescent="0.25">
      <c r="A20" s="101"/>
      <c r="B20" s="66" t="s">
        <v>17</v>
      </c>
      <c r="C20" s="17" t="s">
        <v>6</v>
      </c>
      <c r="D20" s="9">
        <v>20000</v>
      </c>
      <c r="E20" s="9">
        <v>20000</v>
      </c>
      <c r="F20" s="16">
        <v>20000</v>
      </c>
      <c r="G20" s="8">
        <v>22000</v>
      </c>
      <c r="H20" s="16">
        <v>33000</v>
      </c>
      <c r="I20" s="16">
        <v>20000</v>
      </c>
      <c r="J20" s="77" t="s">
        <v>99</v>
      </c>
      <c r="K20" s="67">
        <f t="shared" si="0"/>
        <v>22500</v>
      </c>
      <c r="M20" s="4"/>
      <c r="N20" s="4"/>
    </row>
    <row r="21" spans="1:14" ht="15.75" x14ac:dyDescent="0.25">
      <c r="A21" s="101">
        <v>5</v>
      </c>
      <c r="B21" s="60" t="s">
        <v>18</v>
      </c>
      <c r="C21" s="73"/>
      <c r="D21" s="74"/>
      <c r="E21" s="17"/>
      <c r="F21" s="15" t="s">
        <v>1</v>
      </c>
      <c r="G21" s="76"/>
      <c r="H21" s="15"/>
      <c r="I21" s="15"/>
      <c r="J21" s="75"/>
      <c r="K21" s="71"/>
      <c r="M21" s="4"/>
      <c r="N21" s="4"/>
    </row>
    <row r="22" spans="1:14" ht="15.75" x14ac:dyDescent="0.25">
      <c r="A22" s="101"/>
      <c r="B22" s="66" t="s">
        <v>19</v>
      </c>
      <c r="C22" s="17" t="s">
        <v>6</v>
      </c>
      <c r="D22" s="9">
        <v>120000</v>
      </c>
      <c r="E22" s="9">
        <v>120000</v>
      </c>
      <c r="F22" s="9">
        <v>120000</v>
      </c>
      <c r="G22" s="9">
        <v>120000</v>
      </c>
      <c r="H22" s="9">
        <v>120000</v>
      </c>
      <c r="I22" s="8">
        <v>120000</v>
      </c>
      <c r="J22" s="72" t="s">
        <v>99</v>
      </c>
      <c r="K22" s="67">
        <f t="shared" si="0"/>
        <v>120000</v>
      </c>
      <c r="M22" s="4"/>
      <c r="N22" s="4"/>
    </row>
    <row r="23" spans="1:14" ht="15.75" x14ac:dyDescent="0.25">
      <c r="A23" s="101"/>
      <c r="B23" s="66" t="s">
        <v>20</v>
      </c>
      <c r="C23" s="17" t="s">
        <v>6</v>
      </c>
      <c r="D23" s="9">
        <v>110000</v>
      </c>
      <c r="E23" s="9">
        <v>110000</v>
      </c>
      <c r="F23" s="9">
        <v>110000</v>
      </c>
      <c r="G23" s="9">
        <v>110000</v>
      </c>
      <c r="H23" s="9">
        <v>115000</v>
      </c>
      <c r="I23" s="9">
        <v>110000</v>
      </c>
      <c r="J23" s="72">
        <v>110000</v>
      </c>
      <c r="K23" s="67">
        <f t="shared" si="0"/>
        <v>110714.28571428571</v>
      </c>
      <c r="M23" s="4"/>
      <c r="N23" s="4"/>
    </row>
    <row r="24" spans="1:14" ht="15.75" x14ac:dyDescent="0.25">
      <c r="A24" s="101"/>
      <c r="B24" s="66" t="s">
        <v>21</v>
      </c>
      <c r="C24" s="17" t="s">
        <v>6</v>
      </c>
      <c r="D24" s="9">
        <v>90000</v>
      </c>
      <c r="E24" s="9">
        <v>90000</v>
      </c>
      <c r="F24" s="9">
        <v>100000</v>
      </c>
      <c r="G24" s="9">
        <v>105000</v>
      </c>
      <c r="H24" s="9">
        <v>110000</v>
      </c>
      <c r="I24" s="8">
        <v>100000</v>
      </c>
      <c r="J24" s="72">
        <v>105000</v>
      </c>
      <c r="K24" s="67">
        <f t="shared" si="0"/>
        <v>100000</v>
      </c>
      <c r="M24" s="4"/>
      <c r="N24" s="4"/>
    </row>
    <row r="25" spans="1:14" ht="15.75" x14ac:dyDescent="0.25">
      <c r="A25" s="101"/>
      <c r="B25" s="66" t="s">
        <v>22</v>
      </c>
      <c r="C25" s="17" t="s">
        <v>6</v>
      </c>
      <c r="D25" s="9">
        <v>34000</v>
      </c>
      <c r="E25" s="9">
        <v>31000</v>
      </c>
      <c r="F25" s="9">
        <v>33000</v>
      </c>
      <c r="G25" s="9">
        <v>32000</v>
      </c>
      <c r="H25" s="72">
        <v>33000</v>
      </c>
      <c r="I25" s="9">
        <v>34000</v>
      </c>
      <c r="J25" s="72">
        <v>34000</v>
      </c>
      <c r="K25" s="67">
        <f t="shared" si="0"/>
        <v>33000</v>
      </c>
      <c r="M25" s="4"/>
      <c r="N25" s="4"/>
    </row>
    <row r="26" spans="1:14" ht="15.75" x14ac:dyDescent="0.25">
      <c r="A26" s="101">
        <v>6</v>
      </c>
      <c r="B26" s="60" t="s">
        <v>23</v>
      </c>
      <c r="C26" s="73"/>
      <c r="D26" s="74"/>
      <c r="E26" s="17"/>
      <c r="F26" s="76"/>
      <c r="G26" s="15"/>
      <c r="H26" s="75"/>
      <c r="I26" s="15"/>
      <c r="J26" s="75"/>
      <c r="K26" s="71"/>
      <c r="M26" s="4"/>
      <c r="N26" s="4"/>
    </row>
    <row r="27" spans="1:14" ht="15.75" x14ac:dyDescent="0.25">
      <c r="A27" s="101"/>
      <c r="B27" s="66" t="s">
        <v>24</v>
      </c>
      <c r="C27" s="17" t="s">
        <v>6</v>
      </c>
      <c r="D27" s="9">
        <v>32000</v>
      </c>
      <c r="E27" s="9">
        <v>35000</v>
      </c>
      <c r="F27" s="9" t="s">
        <v>99</v>
      </c>
      <c r="G27" s="9">
        <v>40000</v>
      </c>
      <c r="H27" s="9">
        <v>30000</v>
      </c>
      <c r="I27" s="9" t="s">
        <v>99</v>
      </c>
      <c r="J27" s="72">
        <v>30000</v>
      </c>
      <c r="K27" s="67">
        <f t="shared" si="0"/>
        <v>33400</v>
      </c>
      <c r="L27" t="s">
        <v>100</v>
      </c>
      <c r="M27" s="4"/>
      <c r="N27" s="4"/>
    </row>
    <row r="28" spans="1:14" ht="15.75" x14ac:dyDescent="0.25">
      <c r="A28" s="101"/>
      <c r="B28" s="66" t="s">
        <v>25</v>
      </c>
      <c r="C28" s="17" t="s">
        <v>6</v>
      </c>
      <c r="D28" s="9">
        <v>30000</v>
      </c>
      <c r="E28" s="9">
        <v>28000</v>
      </c>
      <c r="F28" s="9">
        <v>35000</v>
      </c>
      <c r="G28" s="8">
        <v>30000</v>
      </c>
      <c r="H28" s="9">
        <v>22000</v>
      </c>
      <c r="I28" s="9">
        <v>26000</v>
      </c>
      <c r="J28" s="78">
        <v>30000</v>
      </c>
      <c r="K28" s="67">
        <f t="shared" si="0"/>
        <v>28714.285714285714</v>
      </c>
      <c r="M28" s="4"/>
      <c r="N28" s="4"/>
    </row>
    <row r="29" spans="1:14" ht="15.75" x14ac:dyDescent="0.25">
      <c r="A29" s="101"/>
      <c r="B29" s="66" t="s">
        <v>26</v>
      </c>
      <c r="C29" s="17" t="s">
        <v>6</v>
      </c>
      <c r="D29" s="9">
        <v>60000</v>
      </c>
      <c r="E29" s="9">
        <v>60000</v>
      </c>
      <c r="F29" s="16">
        <v>60000</v>
      </c>
      <c r="G29" s="8">
        <v>70000</v>
      </c>
      <c r="H29" s="9">
        <v>65000</v>
      </c>
      <c r="I29" s="9">
        <v>60000</v>
      </c>
      <c r="J29" s="79">
        <v>60000</v>
      </c>
      <c r="K29" s="67">
        <f t="shared" si="0"/>
        <v>62142.857142857145</v>
      </c>
      <c r="M29" s="4"/>
      <c r="N29" s="4"/>
    </row>
    <row r="30" spans="1:14" ht="15.75" x14ac:dyDescent="0.25">
      <c r="A30" s="101"/>
      <c r="B30" s="66" t="s">
        <v>27</v>
      </c>
      <c r="C30" s="17" t="s">
        <v>6</v>
      </c>
      <c r="D30" s="9">
        <v>25000</v>
      </c>
      <c r="E30" s="9" t="s">
        <v>99</v>
      </c>
      <c r="F30" s="10" t="s">
        <v>99</v>
      </c>
      <c r="G30" s="8">
        <v>25000</v>
      </c>
      <c r="H30" s="9">
        <v>23000</v>
      </c>
      <c r="I30" s="9" t="s">
        <v>99</v>
      </c>
      <c r="J30" s="79">
        <v>26000</v>
      </c>
      <c r="K30" s="67">
        <f t="shared" si="0"/>
        <v>24750</v>
      </c>
      <c r="M30" s="4"/>
      <c r="N30" s="4"/>
    </row>
    <row r="31" spans="1:14" ht="15.75" x14ac:dyDescent="0.25">
      <c r="A31" s="101"/>
      <c r="B31" s="66" t="s">
        <v>28</v>
      </c>
      <c r="C31" s="17" t="s">
        <v>6</v>
      </c>
      <c r="D31" s="9">
        <v>32000</v>
      </c>
      <c r="E31" s="9">
        <v>36000</v>
      </c>
      <c r="F31" s="9">
        <v>40000</v>
      </c>
      <c r="G31" s="9">
        <v>40000</v>
      </c>
      <c r="H31" s="9">
        <v>30000</v>
      </c>
      <c r="I31" s="9">
        <v>40000</v>
      </c>
      <c r="J31" s="72">
        <v>35000</v>
      </c>
      <c r="K31" s="67">
        <f t="shared" si="0"/>
        <v>36142.857142857145</v>
      </c>
      <c r="M31" s="4"/>
      <c r="N31" s="4"/>
    </row>
    <row r="32" spans="1:14" ht="15.75" x14ac:dyDescent="0.25">
      <c r="A32" s="101"/>
      <c r="B32" s="66" t="s">
        <v>29</v>
      </c>
      <c r="C32" s="17" t="s">
        <v>6</v>
      </c>
      <c r="D32" s="9" t="s">
        <v>99</v>
      </c>
      <c r="E32" s="9">
        <v>100000</v>
      </c>
      <c r="F32" s="9">
        <v>100000</v>
      </c>
      <c r="G32" s="9" t="s">
        <v>99</v>
      </c>
      <c r="H32" s="9">
        <v>80000</v>
      </c>
      <c r="I32" s="9">
        <v>100000</v>
      </c>
      <c r="J32" s="79">
        <v>70000</v>
      </c>
      <c r="K32" s="67">
        <f t="shared" si="0"/>
        <v>90000</v>
      </c>
      <c r="M32" s="4"/>
      <c r="N32" s="4"/>
    </row>
    <row r="33" spans="1:14" ht="15.75" x14ac:dyDescent="0.25">
      <c r="A33" s="101">
        <v>7</v>
      </c>
      <c r="B33" s="60" t="s">
        <v>30</v>
      </c>
      <c r="C33" s="73"/>
      <c r="D33" s="74"/>
      <c r="E33" s="17"/>
      <c r="F33" s="76"/>
      <c r="G33" s="76"/>
      <c r="H33" s="15"/>
      <c r="I33" s="15"/>
      <c r="J33" s="75"/>
      <c r="K33" s="71"/>
      <c r="M33" s="4"/>
      <c r="N33" s="4"/>
    </row>
    <row r="34" spans="1:14" ht="15.75" x14ac:dyDescent="0.25">
      <c r="A34" s="101"/>
      <c r="B34" s="66" t="s">
        <v>31</v>
      </c>
      <c r="C34" s="17" t="s">
        <v>6</v>
      </c>
      <c r="D34" s="9">
        <v>28000</v>
      </c>
      <c r="E34" s="9">
        <v>27000</v>
      </c>
      <c r="F34" s="9">
        <v>26000</v>
      </c>
      <c r="G34" s="9">
        <v>27000</v>
      </c>
      <c r="H34" s="9">
        <v>28000</v>
      </c>
      <c r="I34" s="9">
        <v>27000</v>
      </c>
      <c r="J34" s="72">
        <v>29500</v>
      </c>
      <c r="K34" s="67">
        <f t="shared" si="0"/>
        <v>27500</v>
      </c>
      <c r="M34" s="4"/>
      <c r="N34" s="4"/>
    </row>
    <row r="35" spans="1:14" ht="15.75" x14ac:dyDescent="0.25">
      <c r="A35" s="101"/>
      <c r="B35" s="66" t="s">
        <v>32</v>
      </c>
      <c r="C35" s="17" t="s">
        <v>33</v>
      </c>
      <c r="D35" s="9">
        <v>3000</v>
      </c>
      <c r="E35" s="9">
        <v>2500</v>
      </c>
      <c r="F35" s="9">
        <v>2500</v>
      </c>
      <c r="G35" s="9">
        <v>2800</v>
      </c>
      <c r="H35" s="9">
        <v>2600</v>
      </c>
      <c r="I35" s="9">
        <v>3000</v>
      </c>
      <c r="J35" s="72">
        <v>3000</v>
      </c>
      <c r="K35" s="67">
        <f t="shared" si="0"/>
        <v>2771.4285714285716</v>
      </c>
      <c r="M35" s="4"/>
      <c r="N35" s="4"/>
    </row>
    <row r="36" spans="1:14" ht="15.75" x14ac:dyDescent="0.25">
      <c r="A36" s="59">
        <v>8</v>
      </c>
      <c r="B36" s="73" t="s">
        <v>117</v>
      </c>
      <c r="C36" s="80"/>
      <c r="D36" s="9"/>
      <c r="E36" s="9"/>
      <c r="F36" s="9"/>
      <c r="G36" s="9"/>
      <c r="H36" s="9"/>
      <c r="I36" s="9"/>
      <c r="J36" s="72"/>
      <c r="K36" s="81"/>
      <c r="M36" s="4"/>
      <c r="N36" s="4"/>
    </row>
    <row r="37" spans="1:14" ht="15.75" x14ac:dyDescent="0.25">
      <c r="A37" s="59"/>
      <c r="B37" s="66" t="s">
        <v>118</v>
      </c>
      <c r="C37" s="17" t="s">
        <v>6</v>
      </c>
      <c r="D37" s="9">
        <v>10000</v>
      </c>
      <c r="E37" s="9">
        <v>1250</v>
      </c>
      <c r="F37" s="9">
        <v>9000</v>
      </c>
      <c r="G37" s="9">
        <v>9000</v>
      </c>
      <c r="H37" s="9">
        <v>16000</v>
      </c>
      <c r="I37" s="9">
        <v>9000</v>
      </c>
      <c r="J37" s="72">
        <v>3000</v>
      </c>
      <c r="K37" s="67">
        <f t="shared" si="0"/>
        <v>8178.5714285714284</v>
      </c>
      <c r="M37" s="4"/>
      <c r="N37" s="4"/>
    </row>
    <row r="38" spans="1:14" ht="15.75" x14ac:dyDescent="0.25">
      <c r="A38" s="59"/>
      <c r="B38" s="66" t="s">
        <v>119</v>
      </c>
      <c r="C38" s="17" t="s">
        <v>6</v>
      </c>
      <c r="D38" s="9" t="s">
        <v>99</v>
      </c>
      <c r="E38" s="9">
        <v>10000</v>
      </c>
      <c r="F38" s="9">
        <v>12000</v>
      </c>
      <c r="G38" s="9">
        <v>14000</v>
      </c>
      <c r="H38" s="9" t="s">
        <v>99</v>
      </c>
      <c r="I38" s="9">
        <v>12000</v>
      </c>
      <c r="J38" s="72">
        <v>12000</v>
      </c>
      <c r="K38" s="67">
        <f>AVERAGE(D38:J38)</f>
        <v>12000</v>
      </c>
      <c r="M38" s="4"/>
      <c r="N38" s="4"/>
    </row>
    <row r="39" spans="1:14" ht="15.75" x14ac:dyDescent="0.25">
      <c r="A39" s="59">
        <v>9</v>
      </c>
      <c r="B39" s="82" t="s">
        <v>120</v>
      </c>
      <c r="C39" s="83"/>
      <c r="D39" s="9"/>
      <c r="E39" s="9"/>
      <c r="F39" s="9"/>
      <c r="G39" s="9"/>
      <c r="H39" s="9"/>
      <c r="I39" s="9"/>
      <c r="J39" s="72"/>
      <c r="K39" s="81"/>
      <c r="M39" s="4"/>
      <c r="N39" s="4"/>
    </row>
    <row r="40" spans="1:14" ht="15.75" x14ac:dyDescent="0.25">
      <c r="A40" s="59"/>
      <c r="B40" s="66" t="s">
        <v>121</v>
      </c>
      <c r="C40" s="17" t="s">
        <v>6</v>
      </c>
      <c r="D40" s="9" t="s">
        <v>99</v>
      </c>
      <c r="E40" s="9" t="s">
        <v>99</v>
      </c>
      <c r="F40" s="9" t="s">
        <v>99</v>
      </c>
      <c r="G40" s="9">
        <v>16000</v>
      </c>
      <c r="H40" s="9">
        <v>14000</v>
      </c>
      <c r="I40" s="9" t="s">
        <v>99</v>
      </c>
      <c r="J40" s="72">
        <v>15000</v>
      </c>
      <c r="K40" s="67">
        <f t="shared" si="0"/>
        <v>15000</v>
      </c>
      <c r="M40" s="4"/>
      <c r="N40" s="4"/>
    </row>
    <row r="41" spans="1:14" ht="15.75" x14ac:dyDescent="0.25">
      <c r="A41" s="59"/>
      <c r="B41" s="66" t="s">
        <v>122</v>
      </c>
      <c r="C41" s="17" t="s">
        <v>6</v>
      </c>
      <c r="D41" s="9" t="s">
        <v>99</v>
      </c>
      <c r="E41" s="9" t="s">
        <v>99</v>
      </c>
      <c r="F41" s="9">
        <v>6000</v>
      </c>
      <c r="G41" s="9" t="s">
        <v>99</v>
      </c>
      <c r="H41" s="9" t="s">
        <v>99</v>
      </c>
      <c r="I41" s="9">
        <v>6000</v>
      </c>
      <c r="J41" s="72" t="s">
        <v>99</v>
      </c>
      <c r="K41" s="67">
        <f t="shared" si="0"/>
        <v>6000</v>
      </c>
      <c r="M41" s="4"/>
      <c r="N41" s="4"/>
    </row>
    <row r="42" spans="1:14" ht="15.75" x14ac:dyDescent="0.25">
      <c r="A42" s="59"/>
      <c r="B42" s="66" t="s">
        <v>123</v>
      </c>
      <c r="C42" s="17" t="s">
        <v>6</v>
      </c>
      <c r="D42" s="9" t="s">
        <v>99</v>
      </c>
      <c r="E42" s="9">
        <v>2500</v>
      </c>
      <c r="F42" s="9" t="s">
        <v>99</v>
      </c>
      <c r="G42" s="9" t="s">
        <v>99</v>
      </c>
      <c r="H42" s="9" t="s">
        <v>99</v>
      </c>
      <c r="I42" s="9" t="s">
        <v>99</v>
      </c>
      <c r="J42" s="72" t="s">
        <v>99</v>
      </c>
      <c r="K42" s="67">
        <f t="shared" si="0"/>
        <v>2500</v>
      </c>
      <c r="M42" s="4"/>
      <c r="N42" s="4"/>
    </row>
    <row r="43" spans="1:14" ht="15.75" x14ac:dyDescent="0.25">
      <c r="A43" s="101">
        <v>10</v>
      </c>
      <c r="B43" s="60" t="s">
        <v>34</v>
      </c>
      <c r="C43" s="73"/>
      <c r="D43" s="74"/>
      <c r="E43" s="17"/>
      <c r="F43" s="76"/>
      <c r="G43" s="15"/>
      <c r="H43" s="15"/>
      <c r="I43" s="15"/>
      <c r="J43" s="84"/>
      <c r="K43" s="71"/>
      <c r="M43" s="4"/>
      <c r="N43" s="4"/>
    </row>
    <row r="44" spans="1:14" ht="15.75" x14ac:dyDescent="0.25">
      <c r="A44" s="101"/>
      <c r="B44" s="66" t="s">
        <v>35</v>
      </c>
      <c r="C44" s="17" t="s">
        <v>36</v>
      </c>
      <c r="D44" s="9">
        <v>12000</v>
      </c>
      <c r="E44" s="9">
        <v>12000</v>
      </c>
      <c r="F44" s="9">
        <v>12500</v>
      </c>
      <c r="G44" s="9">
        <v>12500</v>
      </c>
      <c r="H44" s="10" t="s">
        <v>99</v>
      </c>
      <c r="I44" s="16">
        <v>12500</v>
      </c>
      <c r="J44" s="72">
        <v>12500</v>
      </c>
      <c r="K44" s="67">
        <f t="shared" si="0"/>
        <v>12333.333333333334</v>
      </c>
      <c r="M44" s="4"/>
      <c r="N44" s="4"/>
    </row>
    <row r="45" spans="1:14" ht="15.75" x14ac:dyDescent="0.25">
      <c r="A45" s="101"/>
      <c r="B45" s="66" t="s">
        <v>124</v>
      </c>
      <c r="C45" s="17" t="s">
        <v>36</v>
      </c>
      <c r="D45" s="9">
        <v>12000</v>
      </c>
      <c r="E45" s="9">
        <v>13000</v>
      </c>
      <c r="F45" s="16">
        <v>12500</v>
      </c>
      <c r="G45" s="9">
        <v>12500</v>
      </c>
      <c r="H45" s="10" t="s">
        <v>99</v>
      </c>
      <c r="I45" s="16">
        <v>12500</v>
      </c>
      <c r="J45" s="79">
        <v>12500</v>
      </c>
      <c r="K45" s="67">
        <f>AVERAGE(D45:J45)</f>
        <v>12500</v>
      </c>
      <c r="M45" s="4"/>
      <c r="N45" s="4"/>
    </row>
    <row r="46" spans="1:14" ht="15.75" x14ac:dyDescent="0.25">
      <c r="A46" s="101">
        <v>11</v>
      </c>
      <c r="B46" s="60" t="s">
        <v>38</v>
      </c>
      <c r="C46" s="73"/>
      <c r="D46" s="74"/>
      <c r="E46" s="17"/>
      <c r="F46" s="15"/>
      <c r="G46" s="76"/>
      <c r="H46" s="15"/>
      <c r="I46" s="15"/>
      <c r="J46" s="75"/>
      <c r="K46" s="71"/>
      <c r="M46" s="4"/>
      <c r="N46" s="4"/>
    </row>
    <row r="47" spans="1:14" ht="15.75" x14ac:dyDescent="0.25">
      <c r="A47" s="101"/>
      <c r="B47" s="66" t="s">
        <v>39</v>
      </c>
      <c r="C47" s="17" t="s">
        <v>40</v>
      </c>
      <c r="D47" s="9" t="s">
        <v>99</v>
      </c>
      <c r="E47" s="9" t="s">
        <v>99</v>
      </c>
      <c r="F47" s="10" t="s">
        <v>99</v>
      </c>
      <c r="G47" s="8" t="s">
        <v>99</v>
      </c>
      <c r="H47" s="9">
        <v>17500</v>
      </c>
      <c r="I47" s="16" t="s">
        <v>99</v>
      </c>
      <c r="J47" s="79" t="s">
        <v>99</v>
      </c>
      <c r="K47" s="67">
        <f t="shared" si="0"/>
        <v>17500</v>
      </c>
      <c r="M47" s="4"/>
      <c r="N47" s="4"/>
    </row>
    <row r="48" spans="1:14" ht="15.75" x14ac:dyDescent="0.25">
      <c r="A48" s="101"/>
      <c r="B48" s="66" t="s">
        <v>41</v>
      </c>
      <c r="C48" s="17" t="s">
        <v>42</v>
      </c>
      <c r="D48" s="9" t="s">
        <v>99</v>
      </c>
      <c r="E48" s="9" t="s">
        <v>99</v>
      </c>
      <c r="F48" s="10" t="s">
        <v>99</v>
      </c>
      <c r="G48" s="8" t="s">
        <v>99</v>
      </c>
      <c r="H48" s="9">
        <v>2000</v>
      </c>
      <c r="I48" s="16" t="s">
        <v>99</v>
      </c>
      <c r="J48" s="79" t="s">
        <v>99</v>
      </c>
      <c r="K48" s="67">
        <f t="shared" si="0"/>
        <v>2000</v>
      </c>
      <c r="M48" s="4"/>
      <c r="N48" s="4"/>
    </row>
    <row r="49" spans="1:14" ht="15.75" x14ac:dyDescent="0.25">
      <c r="A49" s="59">
        <v>12</v>
      </c>
      <c r="B49" s="85" t="s">
        <v>43</v>
      </c>
      <c r="C49" s="80"/>
      <c r="D49" s="19"/>
      <c r="E49" s="10"/>
      <c r="F49" s="10"/>
      <c r="G49" s="22"/>
      <c r="H49" s="10"/>
      <c r="I49" s="10"/>
      <c r="J49" s="77"/>
      <c r="K49" s="71"/>
      <c r="M49" s="4"/>
      <c r="N49" s="4"/>
    </row>
    <row r="50" spans="1:14" ht="15.75" x14ac:dyDescent="0.25">
      <c r="A50" s="59"/>
      <c r="B50" s="66" t="s">
        <v>44</v>
      </c>
      <c r="C50" s="86" t="s">
        <v>6</v>
      </c>
      <c r="D50" s="9">
        <v>10000</v>
      </c>
      <c r="E50" s="9">
        <v>8000</v>
      </c>
      <c r="F50" s="9">
        <v>10000</v>
      </c>
      <c r="G50" s="9">
        <v>10000</v>
      </c>
      <c r="H50" s="9">
        <v>15000</v>
      </c>
      <c r="I50" s="8">
        <v>15000</v>
      </c>
      <c r="J50" s="72">
        <v>15000</v>
      </c>
      <c r="K50" s="67">
        <f t="shared" si="0"/>
        <v>11857.142857142857</v>
      </c>
      <c r="M50" s="4"/>
      <c r="N50" s="4"/>
    </row>
    <row r="51" spans="1:14" ht="15.75" x14ac:dyDescent="0.25">
      <c r="A51" s="59"/>
      <c r="B51" s="66" t="s">
        <v>45</v>
      </c>
      <c r="C51" s="86" t="s">
        <v>6</v>
      </c>
      <c r="D51" s="9" t="s">
        <v>99</v>
      </c>
      <c r="E51" s="9">
        <v>10000</v>
      </c>
      <c r="F51" s="8">
        <v>9000</v>
      </c>
      <c r="G51" s="9">
        <v>10000</v>
      </c>
      <c r="H51" s="9">
        <v>12000</v>
      </c>
      <c r="I51" s="9">
        <v>12000</v>
      </c>
      <c r="J51" s="72">
        <v>10000</v>
      </c>
      <c r="K51" s="67">
        <f t="shared" si="0"/>
        <v>10500</v>
      </c>
      <c r="M51" s="4"/>
      <c r="N51" s="4"/>
    </row>
    <row r="52" spans="1:14" ht="15.75" x14ac:dyDescent="0.25">
      <c r="A52" s="101">
        <v>13</v>
      </c>
      <c r="B52" s="60" t="s">
        <v>46</v>
      </c>
      <c r="C52" s="73"/>
      <c r="D52" s="74"/>
      <c r="E52" s="17"/>
      <c r="F52" s="76"/>
      <c r="G52" s="76"/>
      <c r="H52" s="15"/>
      <c r="I52" s="15"/>
      <c r="J52" s="84"/>
      <c r="K52" s="71"/>
      <c r="M52" s="4"/>
      <c r="N52" s="4"/>
    </row>
    <row r="53" spans="1:14" ht="15.75" x14ac:dyDescent="0.25">
      <c r="A53" s="101"/>
      <c r="B53" s="66" t="s">
        <v>47</v>
      </c>
      <c r="C53" s="17" t="s">
        <v>125</v>
      </c>
      <c r="D53" s="9">
        <v>3000</v>
      </c>
      <c r="E53" s="9">
        <v>4000</v>
      </c>
      <c r="F53" s="9">
        <v>5000</v>
      </c>
      <c r="G53" s="9">
        <v>5000</v>
      </c>
      <c r="H53" s="9">
        <v>2500</v>
      </c>
      <c r="I53" s="16">
        <v>5000</v>
      </c>
      <c r="J53" s="72">
        <v>2500</v>
      </c>
      <c r="K53" s="67">
        <f t="shared" si="0"/>
        <v>3857.1428571428573</v>
      </c>
      <c r="M53" s="4" t="s">
        <v>101</v>
      </c>
      <c r="N53" s="4"/>
    </row>
    <row r="54" spans="1:14" ht="15.75" x14ac:dyDescent="0.25">
      <c r="A54" s="101">
        <v>14</v>
      </c>
      <c r="B54" s="60" t="s">
        <v>49</v>
      </c>
      <c r="C54" s="80"/>
      <c r="D54" s="62"/>
      <c r="E54" s="17"/>
      <c r="F54" s="20"/>
      <c r="G54" s="20"/>
      <c r="H54" s="17"/>
      <c r="I54" s="17"/>
      <c r="J54" s="87"/>
      <c r="K54" s="71"/>
      <c r="M54" s="4"/>
      <c r="N54" s="23"/>
    </row>
    <row r="55" spans="1:14" ht="15.75" x14ac:dyDescent="0.25">
      <c r="A55" s="101"/>
      <c r="B55" s="88" t="s">
        <v>50</v>
      </c>
      <c r="C55" s="86" t="s">
        <v>6</v>
      </c>
      <c r="D55" s="9">
        <v>10000</v>
      </c>
      <c r="E55" s="9">
        <v>10500</v>
      </c>
      <c r="F55" s="9">
        <v>10000</v>
      </c>
      <c r="G55" s="9">
        <v>11000</v>
      </c>
      <c r="H55" s="9">
        <v>12000</v>
      </c>
      <c r="I55" s="9">
        <v>10000</v>
      </c>
      <c r="J55" s="72">
        <v>10000</v>
      </c>
      <c r="K55" s="67">
        <f t="shared" si="0"/>
        <v>10500</v>
      </c>
      <c r="M55" s="4"/>
      <c r="N55" s="4"/>
    </row>
    <row r="56" spans="1:14" ht="15.75" x14ac:dyDescent="0.25">
      <c r="A56" s="101">
        <v>15</v>
      </c>
      <c r="B56" s="60" t="s">
        <v>51</v>
      </c>
      <c r="C56" s="73"/>
      <c r="D56" s="74"/>
      <c r="E56" s="17"/>
      <c r="F56" s="76"/>
      <c r="G56" s="15"/>
      <c r="H56" s="15"/>
      <c r="I56" s="15"/>
      <c r="J56" s="84"/>
      <c r="K56" s="71"/>
      <c r="M56" s="4"/>
      <c r="N56" s="4"/>
    </row>
    <row r="57" spans="1:14" ht="15.75" x14ac:dyDescent="0.25">
      <c r="A57" s="101"/>
      <c r="B57" s="66" t="s">
        <v>52</v>
      </c>
      <c r="C57" s="17" t="s">
        <v>6</v>
      </c>
      <c r="D57" s="9">
        <v>16000</v>
      </c>
      <c r="E57" s="9">
        <v>13000</v>
      </c>
      <c r="F57" s="9">
        <v>14000</v>
      </c>
      <c r="G57" s="9">
        <v>14000</v>
      </c>
      <c r="H57" s="9">
        <v>11500</v>
      </c>
      <c r="I57" s="9">
        <v>17000</v>
      </c>
      <c r="J57" s="72" t="s">
        <v>99</v>
      </c>
      <c r="K57" s="67">
        <f t="shared" si="0"/>
        <v>14250</v>
      </c>
      <c r="M57" s="4"/>
      <c r="N57" s="4"/>
    </row>
    <row r="58" spans="1:14" ht="15.75" x14ac:dyDescent="0.25">
      <c r="A58" s="101"/>
      <c r="B58" s="66" t="s">
        <v>53</v>
      </c>
      <c r="C58" s="17" t="s">
        <v>6</v>
      </c>
      <c r="D58" s="9" t="s">
        <v>99</v>
      </c>
      <c r="E58" s="9" t="s">
        <v>99</v>
      </c>
      <c r="F58" s="16">
        <v>15000</v>
      </c>
      <c r="G58" s="22" t="s">
        <v>99</v>
      </c>
      <c r="H58" s="9">
        <v>13000</v>
      </c>
      <c r="I58" s="8">
        <v>15000</v>
      </c>
      <c r="J58" s="72">
        <v>14000</v>
      </c>
      <c r="K58" s="67">
        <f t="shared" si="0"/>
        <v>14250</v>
      </c>
      <c r="M58" s="4"/>
      <c r="N58" s="4"/>
    </row>
    <row r="59" spans="1:14" ht="15.75" x14ac:dyDescent="0.25">
      <c r="A59" s="101"/>
      <c r="B59" s="66" t="s">
        <v>54</v>
      </c>
      <c r="C59" s="17" t="s">
        <v>6</v>
      </c>
      <c r="D59" s="9">
        <v>22000</v>
      </c>
      <c r="E59" s="9">
        <v>23000</v>
      </c>
      <c r="F59" s="9">
        <v>23000</v>
      </c>
      <c r="G59" s="9">
        <v>23000</v>
      </c>
      <c r="H59" s="9">
        <v>20000</v>
      </c>
      <c r="I59" s="9">
        <v>23000</v>
      </c>
      <c r="J59" s="72">
        <v>24000</v>
      </c>
      <c r="K59" s="67">
        <f t="shared" si="0"/>
        <v>22571.428571428572</v>
      </c>
      <c r="M59" s="4"/>
      <c r="N59" s="4"/>
    </row>
    <row r="60" spans="1:14" ht="15.75" x14ac:dyDescent="0.25">
      <c r="A60" s="101"/>
      <c r="B60" s="66" t="s">
        <v>55</v>
      </c>
      <c r="C60" s="17" t="s">
        <v>6</v>
      </c>
      <c r="D60" s="9">
        <v>26000</v>
      </c>
      <c r="E60" s="9">
        <v>30000</v>
      </c>
      <c r="F60" s="9">
        <v>28000</v>
      </c>
      <c r="G60" s="9">
        <v>30000</v>
      </c>
      <c r="H60" s="9">
        <v>27000</v>
      </c>
      <c r="I60" s="9">
        <v>28000</v>
      </c>
      <c r="J60" s="72">
        <v>28000</v>
      </c>
      <c r="K60" s="67">
        <f t="shared" si="0"/>
        <v>28142.857142857141</v>
      </c>
      <c r="M60" s="4"/>
      <c r="N60" s="4"/>
    </row>
    <row r="61" spans="1:14" ht="15.75" x14ac:dyDescent="0.25">
      <c r="A61" s="17">
        <v>16</v>
      </c>
      <c r="B61" s="60" t="s">
        <v>56</v>
      </c>
      <c r="C61" s="80"/>
      <c r="D61" s="89"/>
      <c r="E61" s="10"/>
      <c r="F61" s="22"/>
      <c r="G61" s="10"/>
      <c r="H61" s="10"/>
      <c r="I61" s="10"/>
      <c r="J61" s="90"/>
      <c r="K61" s="71"/>
      <c r="M61" s="4"/>
      <c r="N61" s="4"/>
    </row>
    <row r="62" spans="1:14" ht="15.75" x14ac:dyDescent="0.25">
      <c r="A62" s="17"/>
      <c r="B62" s="66" t="s">
        <v>57</v>
      </c>
      <c r="C62" s="86" t="s">
        <v>58</v>
      </c>
      <c r="D62" s="9">
        <v>3000</v>
      </c>
      <c r="E62" s="9">
        <v>3200</v>
      </c>
      <c r="F62" s="9">
        <v>3000</v>
      </c>
      <c r="G62" s="9">
        <v>3000</v>
      </c>
      <c r="H62" s="10" t="s">
        <v>99</v>
      </c>
      <c r="I62" s="16">
        <v>3000</v>
      </c>
      <c r="J62" s="72">
        <v>3500</v>
      </c>
      <c r="K62" s="67">
        <f t="shared" si="0"/>
        <v>3116.6666666666665</v>
      </c>
      <c r="M62" s="4"/>
      <c r="N62" s="4"/>
    </row>
    <row r="63" spans="1:14" ht="15.75" x14ac:dyDescent="0.25">
      <c r="A63" s="101">
        <v>17</v>
      </c>
      <c r="B63" s="60" t="s">
        <v>59</v>
      </c>
      <c r="C63" s="73"/>
      <c r="D63" s="74"/>
      <c r="E63" s="17"/>
      <c r="F63" s="76"/>
      <c r="G63" s="76"/>
      <c r="H63" s="15"/>
      <c r="I63" s="15"/>
      <c r="J63" s="84"/>
      <c r="K63" s="71"/>
      <c r="M63" s="4"/>
      <c r="N63" s="4"/>
    </row>
    <row r="64" spans="1:14" ht="15.75" x14ac:dyDescent="0.25">
      <c r="A64" s="101"/>
      <c r="B64" s="66" t="s">
        <v>60</v>
      </c>
      <c r="C64" s="17" t="s">
        <v>6</v>
      </c>
      <c r="D64" s="9">
        <v>80000</v>
      </c>
      <c r="E64" s="9">
        <v>70000</v>
      </c>
      <c r="F64" s="9">
        <v>87000</v>
      </c>
      <c r="G64" s="9">
        <v>70000</v>
      </c>
      <c r="H64" s="9">
        <v>85000</v>
      </c>
      <c r="I64" s="9">
        <v>90000</v>
      </c>
      <c r="J64" s="72">
        <v>90000</v>
      </c>
      <c r="K64" s="67">
        <f t="shared" si="0"/>
        <v>81714.28571428571</v>
      </c>
      <c r="M64" s="4"/>
      <c r="N64" s="4"/>
    </row>
    <row r="65" spans="1:14" ht="15.75" x14ac:dyDescent="0.25">
      <c r="A65" s="101"/>
      <c r="B65" s="66" t="s">
        <v>61</v>
      </c>
      <c r="C65" s="17" t="s">
        <v>6</v>
      </c>
      <c r="D65" s="9">
        <v>90000</v>
      </c>
      <c r="E65" s="9">
        <v>70000</v>
      </c>
      <c r="F65" s="9">
        <v>82000</v>
      </c>
      <c r="G65" s="9">
        <v>70000</v>
      </c>
      <c r="H65" s="9">
        <v>80000</v>
      </c>
      <c r="I65" s="8">
        <v>65000</v>
      </c>
      <c r="J65" s="72">
        <v>90000</v>
      </c>
      <c r="K65" s="67">
        <f t="shared" si="0"/>
        <v>78142.857142857145</v>
      </c>
      <c r="M65" s="4"/>
      <c r="N65" s="4"/>
    </row>
    <row r="66" spans="1:14" ht="15.75" x14ac:dyDescent="0.25">
      <c r="A66" s="101"/>
      <c r="B66" s="66" t="s">
        <v>62</v>
      </c>
      <c r="C66" s="17" t="s">
        <v>6</v>
      </c>
      <c r="D66" s="9">
        <v>70000</v>
      </c>
      <c r="E66" s="9">
        <v>60000</v>
      </c>
      <c r="F66" s="9">
        <v>62000</v>
      </c>
      <c r="G66" s="9">
        <v>60000</v>
      </c>
      <c r="H66" s="9">
        <v>85000</v>
      </c>
      <c r="I66" s="9">
        <v>80000</v>
      </c>
      <c r="J66" s="72">
        <v>55000</v>
      </c>
      <c r="K66" s="67">
        <f t="shared" si="0"/>
        <v>67428.571428571435</v>
      </c>
      <c r="M66" s="4"/>
      <c r="N66" s="4"/>
    </row>
    <row r="67" spans="1:14" ht="15.75" x14ac:dyDescent="0.25">
      <c r="A67" s="17">
        <v>18</v>
      </c>
      <c r="B67" s="60" t="s">
        <v>63</v>
      </c>
      <c r="C67" s="80"/>
      <c r="D67" s="24"/>
      <c r="E67" s="10"/>
      <c r="F67" s="22"/>
      <c r="G67" s="10"/>
      <c r="H67" s="10" t="s">
        <v>1</v>
      </c>
      <c r="I67" s="10"/>
      <c r="J67" s="77"/>
      <c r="K67" s="71"/>
      <c r="M67" s="4"/>
      <c r="N67" s="4"/>
    </row>
    <row r="68" spans="1:14" ht="15.75" x14ac:dyDescent="0.25">
      <c r="A68" s="17"/>
      <c r="B68" s="66" t="s">
        <v>64</v>
      </c>
      <c r="C68" s="17" t="s">
        <v>65</v>
      </c>
      <c r="D68" s="9">
        <v>20000</v>
      </c>
      <c r="E68" s="9">
        <v>18000</v>
      </c>
      <c r="F68" s="9">
        <v>18000</v>
      </c>
      <c r="G68" s="9">
        <v>18000</v>
      </c>
      <c r="H68" s="10" t="s">
        <v>99</v>
      </c>
      <c r="I68" s="9">
        <v>18000</v>
      </c>
      <c r="J68" s="79">
        <v>18000</v>
      </c>
      <c r="K68" s="67">
        <f t="shared" si="0"/>
        <v>18333.333333333332</v>
      </c>
      <c r="M68" s="4"/>
      <c r="N68" s="4"/>
    </row>
    <row r="69" spans="1:14" ht="15.75" x14ac:dyDescent="0.25">
      <c r="A69" s="101">
        <v>19</v>
      </c>
      <c r="B69" s="60" t="s">
        <v>66</v>
      </c>
      <c r="C69" s="60"/>
      <c r="D69" s="74"/>
      <c r="E69" s="17"/>
      <c r="F69" s="15"/>
      <c r="G69" s="15"/>
      <c r="H69" s="15"/>
      <c r="I69" s="15"/>
      <c r="J69" s="75"/>
      <c r="K69" s="71"/>
      <c r="M69" s="4"/>
      <c r="N69" s="4"/>
    </row>
    <row r="70" spans="1:14" ht="15.75" x14ac:dyDescent="0.25">
      <c r="A70" s="101"/>
      <c r="B70" s="66" t="s">
        <v>67</v>
      </c>
      <c r="C70" s="17" t="s">
        <v>6</v>
      </c>
      <c r="D70" s="9">
        <v>38000</v>
      </c>
      <c r="E70" s="9">
        <v>35000</v>
      </c>
      <c r="F70" s="9">
        <v>36000</v>
      </c>
      <c r="G70" s="9">
        <v>36000</v>
      </c>
      <c r="H70" s="9">
        <v>37000</v>
      </c>
      <c r="I70" s="9">
        <v>40000</v>
      </c>
      <c r="J70" s="72">
        <v>38000</v>
      </c>
      <c r="K70" s="67">
        <f t="shared" si="0"/>
        <v>37142.857142857145</v>
      </c>
      <c r="M70" s="4"/>
      <c r="N70" s="4"/>
    </row>
    <row r="71" spans="1:14" ht="15.75" x14ac:dyDescent="0.25">
      <c r="A71" s="101"/>
      <c r="B71" s="66" t="s">
        <v>68</v>
      </c>
      <c r="C71" s="17" t="s">
        <v>6</v>
      </c>
      <c r="D71" s="9">
        <v>34000</v>
      </c>
      <c r="E71" s="9">
        <v>32000</v>
      </c>
      <c r="F71" s="9">
        <v>33000</v>
      </c>
      <c r="G71" s="9">
        <v>32000</v>
      </c>
      <c r="H71" s="9">
        <v>32000</v>
      </c>
      <c r="I71" s="9">
        <v>32000</v>
      </c>
      <c r="J71" s="72">
        <v>32000</v>
      </c>
      <c r="K71" s="67">
        <f t="shared" si="0"/>
        <v>32428.571428571428</v>
      </c>
      <c r="M71" s="4"/>
      <c r="N71" s="4"/>
    </row>
    <row r="72" spans="1:14" ht="15.75" x14ac:dyDescent="0.25">
      <c r="A72" s="101"/>
      <c r="B72" s="66" t="s">
        <v>69</v>
      </c>
      <c r="C72" s="17" t="s">
        <v>6</v>
      </c>
      <c r="D72" s="9">
        <v>28000</v>
      </c>
      <c r="E72" s="9">
        <v>28000</v>
      </c>
      <c r="F72" s="9">
        <v>24000</v>
      </c>
      <c r="G72" s="9">
        <v>28000</v>
      </c>
      <c r="H72" s="9">
        <v>23000</v>
      </c>
      <c r="I72" s="9">
        <v>28000</v>
      </c>
      <c r="J72" s="72">
        <v>20000</v>
      </c>
      <c r="K72" s="67">
        <f t="shared" si="0"/>
        <v>25571.428571428572</v>
      </c>
      <c r="M72" s="4"/>
      <c r="N72" s="4"/>
    </row>
    <row r="73" spans="1:14" ht="15.75" x14ac:dyDescent="0.25">
      <c r="A73" s="101"/>
      <c r="B73" s="66" t="s">
        <v>70</v>
      </c>
      <c r="C73" s="17" t="s">
        <v>6</v>
      </c>
      <c r="D73" s="9">
        <v>28000</v>
      </c>
      <c r="E73" s="9">
        <v>25000</v>
      </c>
      <c r="F73" s="16">
        <v>28000</v>
      </c>
      <c r="G73" s="8">
        <v>30000</v>
      </c>
      <c r="H73" s="9">
        <v>25000</v>
      </c>
      <c r="I73" s="9">
        <v>35000</v>
      </c>
      <c r="J73" s="72">
        <v>28000</v>
      </c>
      <c r="K73" s="67">
        <f t="shared" si="0"/>
        <v>28428.571428571428</v>
      </c>
      <c r="M73" s="4"/>
      <c r="N73" s="4"/>
    </row>
    <row r="74" spans="1:14" ht="15.75" x14ac:dyDescent="0.25">
      <c r="A74" s="17">
        <v>20</v>
      </c>
      <c r="B74" s="60" t="s">
        <v>71</v>
      </c>
      <c r="C74" s="91"/>
      <c r="D74" s="24"/>
      <c r="E74" s="10"/>
      <c r="F74" s="10"/>
      <c r="G74" s="89"/>
      <c r="H74" s="10"/>
      <c r="I74" s="10"/>
      <c r="J74" s="90"/>
      <c r="K74" s="71"/>
      <c r="M74" s="4"/>
      <c r="N74" s="4"/>
    </row>
    <row r="75" spans="1:14" ht="15.75" x14ac:dyDescent="0.25">
      <c r="A75" s="17"/>
      <c r="B75" s="66" t="s">
        <v>72</v>
      </c>
      <c r="C75" s="86" t="s">
        <v>6</v>
      </c>
      <c r="D75" s="9">
        <v>7000</v>
      </c>
      <c r="E75" s="9">
        <v>7000</v>
      </c>
      <c r="F75" s="9">
        <v>5000</v>
      </c>
      <c r="G75" s="9">
        <v>6000</v>
      </c>
      <c r="H75" s="9">
        <v>5000</v>
      </c>
      <c r="I75" s="9">
        <v>5000</v>
      </c>
      <c r="J75" s="72">
        <v>5000</v>
      </c>
      <c r="K75" s="67">
        <f t="shared" si="0"/>
        <v>5714.2857142857147</v>
      </c>
      <c r="M75" s="4"/>
      <c r="N75" s="4"/>
    </row>
    <row r="76" spans="1:14" ht="15.75" x14ac:dyDescent="0.25">
      <c r="A76" s="17"/>
      <c r="B76" s="66" t="s">
        <v>73</v>
      </c>
      <c r="C76" s="86" t="s">
        <v>6</v>
      </c>
      <c r="D76" s="9">
        <v>7000</v>
      </c>
      <c r="E76" s="9">
        <v>6000</v>
      </c>
      <c r="F76" s="16">
        <v>6000</v>
      </c>
      <c r="G76" s="8">
        <v>6000</v>
      </c>
      <c r="H76" s="9">
        <v>5000</v>
      </c>
      <c r="I76" s="9">
        <v>6000</v>
      </c>
      <c r="J76" s="79">
        <v>6000</v>
      </c>
      <c r="K76" s="67">
        <f t="shared" si="0"/>
        <v>6000</v>
      </c>
      <c r="M76" s="4"/>
      <c r="N76" s="4"/>
    </row>
    <row r="77" spans="1:14" ht="15.75" x14ac:dyDescent="0.25">
      <c r="A77" s="17">
        <v>21</v>
      </c>
      <c r="B77" s="60" t="s">
        <v>74</v>
      </c>
      <c r="C77" s="91"/>
      <c r="D77" s="19"/>
      <c r="E77" s="10"/>
      <c r="F77" s="10"/>
      <c r="G77" s="22"/>
      <c r="H77" s="10"/>
      <c r="I77" s="10"/>
      <c r="J77" s="77"/>
      <c r="K77" s="71"/>
      <c r="M77" s="4"/>
      <c r="N77" s="4"/>
    </row>
    <row r="78" spans="1:14" ht="15.75" x14ac:dyDescent="0.25">
      <c r="A78" s="17"/>
      <c r="B78" s="66" t="s">
        <v>75</v>
      </c>
      <c r="C78" s="86" t="s">
        <v>6</v>
      </c>
      <c r="D78" s="9">
        <v>6000</v>
      </c>
      <c r="E78" s="9">
        <v>8000</v>
      </c>
      <c r="F78" s="9">
        <v>10000</v>
      </c>
      <c r="G78" s="9">
        <v>8000</v>
      </c>
      <c r="H78" s="9">
        <v>6000</v>
      </c>
      <c r="I78" s="16">
        <v>9000</v>
      </c>
      <c r="J78" s="72" t="s">
        <v>99</v>
      </c>
      <c r="K78" s="67">
        <f t="shared" si="0"/>
        <v>7833.333333333333</v>
      </c>
      <c r="M78" s="4"/>
      <c r="N78" s="4"/>
    </row>
    <row r="79" spans="1:14" ht="15.75" x14ac:dyDescent="0.25">
      <c r="A79" s="17"/>
      <c r="B79" s="66" t="s">
        <v>76</v>
      </c>
      <c r="C79" s="86" t="s">
        <v>6</v>
      </c>
      <c r="D79" s="9">
        <v>8000</v>
      </c>
      <c r="E79" s="9">
        <v>10000</v>
      </c>
      <c r="F79" s="9">
        <v>20000</v>
      </c>
      <c r="G79" s="9">
        <v>10000</v>
      </c>
      <c r="H79" s="9">
        <v>6000</v>
      </c>
      <c r="I79" s="16">
        <v>15000</v>
      </c>
      <c r="J79" s="72">
        <v>15000</v>
      </c>
      <c r="K79" s="67">
        <f t="shared" si="0"/>
        <v>12000</v>
      </c>
      <c r="M79" s="4"/>
      <c r="N79" s="4"/>
    </row>
    <row r="80" spans="1:14" ht="15.75" x14ac:dyDescent="0.25">
      <c r="A80" s="17"/>
      <c r="B80" s="66" t="s">
        <v>77</v>
      </c>
      <c r="C80" s="86" t="s">
        <v>6</v>
      </c>
      <c r="D80" s="9">
        <v>17000</v>
      </c>
      <c r="E80" s="9">
        <v>16000</v>
      </c>
      <c r="F80" s="9">
        <v>17000</v>
      </c>
      <c r="G80" s="9">
        <v>16000</v>
      </c>
      <c r="H80" s="9">
        <v>15000</v>
      </c>
      <c r="I80" s="9">
        <v>18000</v>
      </c>
      <c r="J80" s="72">
        <v>18000</v>
      </c>
      <c r="K80" s="67">
        <f t="shared" si="0"/>
        <v>16714.285714285714</v>
      </c>
      <c r="M80" s="4"/>
      <c r="N80" s="4"/>
    </row>
    <row r="81" spans="1:14" ht="15.75" x14ac:dyDescent="0.25">
      <c r="A81" s="17"/>
      <c r="B81" s="66" t="s">
        <v>78</v>
      </c>
      <c r="C81" s="86" t="s">
        <v>6</v>
      </c>
      <c r="D81" s="9">
        <v>18000</v>
      </c>
      <c r="E81" s="9">
        <v>15000</v>
      </c>
      <c r="F81" s="9">
        <v>10000</v>
      </c>
      <c r="G81" s="9">
        <v>18000</v>
      </c>
      <c r="H81" s="9">
        <v>20000</v>
      </c>
      <c r="I81" s="8">
        <v>20000</v>
      </c>
      <c r="J81" s="72">
        <v>20000</v>
      </c>
      <c r="K81" s="67">
        <f t="shared" ref="K81:K88" si="1">AVERAGE(D81:J81)</f>
        <v>17285.714285714286</v>
      </c>
      <c r="M81" s="4"/>
      <c r="N81" s="4"/>
    </row>
    <row r="82" spans="1:14" ht="15.75" x14ac:dyDescent="0.25">
      <c r="A82" s="17"/>
      <c r="B82" s="66" t="s">
        <v>79</v>
      </c>
      <c r="C82" s="86" t="s">
        <v>6</v>
      </c>
      <c r="D82" s="9">
        <v>14000</v>
      </c>
      <c r="E82" s="9">
        <v>12000</v>
      </c>
      <c r="F82" s="9">
        <v>14000</v>
      </c>
      <c r="G82" s="9">
        <v>12000</v>
      </c>
      <c r="H82" s="9">
        <v>10000</v>
      </c>
      <c r="I82" s="9">
        <v>16000</v>
      </c>
      <c r="J82" s="72">
        <v>12000</v>
      </c>
      <c r="K82" s="67">
        <f t="shared" si="1"/>
        <v>12857.142857142857</v>
      </c>
      <c r="M82" s="4"/>
      <c r="N82" s="4"/>
    </row>
    <row r="83" spans="1:14" ht="15.75" x14ac:dyDescent="0.25">
      <c r="A83" s="17"/>
      <c r="B83" s="66" t="s">
        <v>80</v>
      </c>
      <c r="C83" s="86" t="s">
        <v>6</v>
      </c>
      <c r="D83" s="9">
        <v>9000</v>
      </c>
      <c r="E83" s="9">
        <v>8000</v>
      </c>
      <c r="F83" s="16">
        <v>9000</v>
      </c>
      <c r="G83" s="8">
        <v>8000</v>
      </c>
      <c r="H83" s="9">
        <v>7000</v>
      </c>
      <c r="I83" s="16">
        <v>9000</v>
      </c>
      <c r="J83" s="72">
        <v>8000</v>
      </c>
      <c r="K83" s="67">
        <f t="shared" si="1"/>
        <v>8285.7142857142862</v>
      </c>
      <c r="M83" s="4"/>
      <c r="N83" s="4"/>
    </row>
    <row r="84" spans="1:14" ht="15.75" x14ac:dyDescent="0.25">
      <c r="A84" s="17"/>
      <c r="B84" s="66" t="s">
        <v>81</v>
      </c>
      <c r="C84" s="86" t="s">
        <v>82</v>
      </c>
      <c r="D84" s="9">
        <v>2000</v>
      </c>
      <c r="E84" s="9">
        <v>1500</v>
      </c>
      <c r="F84" s="9">
        <v>2000</v>
      </c>
      <c r="G84" s="8">
        <v>2000</v>
      </c>
      <c r="H84" s="9">
        <v>1500</v>
      </c>
      <c r="I84" s="9">
        <v>2000</v>
      </c>
      <c r="J84" s="79">
        <v>1500</v>
      </c>
      <c r="K84" s="67">
        <f t="shared" si="1"/>
        <v>1785.7142857142858</v>
      </c>
      <c r="M84" s="4"/>
      <c r="N84" s="4"/>
    </row>
    <row r="85" spans="1:14" ht="15.75" x14ac:dyDescent="0.25">
      <c r="A85" s="17"/>
      <c r="B85" s="66" t="s">
        <v>83</v>
      </c>
      <c r="C85" s="86" t="s">
        <v>82</v>
      </c>
      <c r="D85" s="9">
        <v>1500</v>
      </c>
      <c r="E85" s="9">
        <v>1500</v>
      </c>
      <c r="F85" s="9">
        <v>1500</v>
      </c>
      <c r="G85" s="8">
        <v>2000</v>
      </c>
      <c r="H85" s="9">
        <v>1500</v>
      </c>
      <c r="I85" s="9">
        <v>1500</v>
      </c>
      <c r="J85" s="79">
        <v>1000</v>
      </c>
      <c r="K85" s="67">
        <f t="shared" si="1"/>
        <v>1500</v>
      </c>
      <c r="M85" s="4"/>
      <c r="N85" s="4"/>
    </row>
    <row r="86" spans="1:14" ht="15.75" x14ac:dyDescent="0.25">
      <c r="A86" s="17"/>
      <c r="B86" s="66" t="s">
        <v>84</v>
      </c>
      <c r="C86" s="86" t="s">
        <v>82</v>
      </c>
      <c r="D86" s="9" t="s">
        <v>99</v>
      </c>
      <c r="E86" s="9">
        <v>2000</v>
      </c>
      <c r="F86" s="9" t="s">
        <v>99</v>
      </c>
      <c r="G86" s="8" t="s">
        <v>99</v>
      </c>
      <c r="H86" s="9">
        <v>2500</v>
      </c>
      <c r="I86" s="9" t="s">
        <v>99</v>
      </c>
      <c r="J86" s="79">
        <v>2000</v>
      </c>
      <c r="K86" s="67">
        <f t="shared" si="1"/>
        <v>2166.6666666666665</v>
      </c>
      <c r="M86" s="4"/>
      <c r="N86" s="4"/>
    </row>
    <row r="87" spans="1:14" ht="15.75" x14ac:dyDescent="0.25">
      <c r="A87" s="17">
        <v>22</v>
      </c>
      <c r="B87" s="60" t="s">
        <v>85</v>
      </c>
      <c r="C87" s="91"/>
      <c r="D87" s="22"/>
      <c r="E87" s="10"/>
      <c r="F87" s="10" t="s">
        <v>102</v>
      </c>
      <c r="G87" s="22"/>
      <c r="H87" s="10"/>
      <c r="I87" s="10"/>
      <c r="J87" s="77"/>
      <c r="K87" s="71"/>
      <c r="L87" s="4"/>
      <c r="M87" s="4"/>
      <c r="N87" s="4"/>
    </row>
    <row r="88" spans="1:14" x14ac:dyDescent="0.25">
      <c r="A88" s="17"/>
      <c r="B88" s="66" t="s">
        <v>86</v>
      </c>
      <c r="C88" s="86" t="s">
        <v>87</v>
      </c>
      <c r="D88" s="9" t="s">
        <v>99</v>
      </c>
      <c r="E88" s="9" t="s">
        <v>99</v>
      </c>
      <c r="F88" s="9">
        <v>18000</v>
      </c>
      <c r="G88" s="8">
        <v>17000</v>
      </c>
      <c r="H88" s="10" t="s">
        <v>99</v>
      </c>
      <c r="I88" s="16">
        <v>18000</v>
      </c>
      <c r="J88" s="79">
        <v>18000</v>
      </c>
      <c r="K88" s="67">
        <f t="shared" si="1"/>
        <v>17750</v>
      </c>
    </row>
  </sheetData>
  <mergeCells count="28">
    <mergeCell ref="A56:A60"/>
    <mergeCell ref="A63:A66"/>
    <mergeCell ref="A69:A73"/>
    <mergeCell ref="A33:A35"/>
    <mergeCell ref="A43:A45"/>
    <mergeCell ref="A46:A48"/>
    <mergeCell ref="A52:A53"/>
    <mergeCell ref="A54:A55"/>
    <mergeCell ref="A13:A15"/>
    <mergeCell ref="A16:A17"/>
    <mergeCell ref="A19:A20"/>
    <mergeCell ref="A21:A25"/>
    <mergeCell ref="A26:A32"/>
    <mergeCell ref="A7:A12"/>
    <mergeCell ref="E4:E6"/>
    <mergeCell ref="F4:F6"/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J4:J6"/>
    <mergeCell ref="H4:H6"/>
    <mergeCell ref="D4:D6"/>
  </mergeCells>
  <pageMargins left="0.7" right="0.7" top="0.75" bottom="0.75" header="0.3" footer="0.3"/>
  <drawing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EBEDF-FD20-4BB7-85C2-F480B806241C}">
  <dimension ref="A1:N88"/>
  <sheetViews>
    <sheetView workbookViewId="0">
      <selection activeCell="A7" sqref="A7:K88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02" t="s">
        <v>88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M1" s="4"/>
      <c r="N1" s="4"/>
    </row>
    <row r="2" spans="1:14" ht="27.75" customHeight="1" x14ac:dyDescent="0.25">
      <c r="A2" s="103" t="s">
        <v>89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M2" s="4"/>
      <c r="N2" s="4"/>
    </row>
    <row r="3" spans="1:14" ht="27.75" customHeight="1" thickBot="1" x14ac:dyDescent="0.3">
      <c r="A3" s="104" t="s">
        <v>149</v>
      </c>
      <c r="B3" s="104"/>
      <c r="C3" s="104"/>
      <c r="D3" s="104"/>
      <c r="E3" s="104"/>
      <c r="F3" s="104"/>
      <c r="G3" s="104"/>
      <c r="H3" s="104"/>
      <c r="I3" s="104"/>
      <c r="J3" s="104"/>
      <c r="K3" s="105"/>
      <c r="M3" s="4"/>
      <c r="N3" s="4"/>
    </row>
    <row r="4" spans="1:14" ht="25.5" customHeight="1" x14ac:dyDescent="0.25">
      <c r="A4" s="96" t="s">
        <v>1</v>
      </c>
      <c r="B4" s="99" t="s">
        <v>2</v>
      </c>
      <c r="C4" s="96" t="s">
        <v>90</v>
      </c>
      <c r="D4" s="110" t="s">
        <v>91</v>
      </c>
      <c r="E4" s="113" t="s">
        <v>92</v>
      </c>
      <c r="F4" s="125" t="s">
        <v>93</v>
      </c>
      <c r="G4" s="128" t="s">
        <v>94</v>
      </c>
      <c r="H4" s="147" t="s">
        <v>95</v>
      </c>
      <c r="I4" s="119" t="s">
        <v>96</v>
      </c>
      <c r="J4" s="106" t="s">
        <v>97</v>
      </c>
      <c r="K4" s="122" t="s">
        <v>98</v>
      </c>
      <c r="M4" s="4"/>
      <c r="N4" s="4"/>
    </row>
    <row r="5" spans="1:14" ht="15" customHeight="1" x14ac:dyDescent="0.25">
      <c r="A5" s="97"/>
      <c r="B5" s="100"/>
      <c r="C5" s="97"/>
      <c r="D5" s="111"/>
      <c r="E5" s="114"/>
      <c r="F5" s="126"/>
      <c r="G5" s="129"/>
      <c r="H5" s="148"/>
      <c r="I5" s="120"/>
      <c r="J5" s="107"/>
      <c r="K5" s="123"/>
      <c r="M5" s="4"/>
      <c r="N5" s="4"/>
    </row>
    <row r="6" spans="1:14" ht="16.5" thickBot="1" x14ac:dyDescent="0.3">
      <c r="A6" s="98"/>
      <c r="B6" s="109"/>
      <c r="C6" s="98"/>
      <c r="D6" s="112"/>
      <c r="E6" s="115"/>
      <c r="F6" s="127"/>
      <c r="G6" s="130"/>
      <c r="H6" s="149"/>
      <c r="I6" s="121"/>
      <c r="J6" s="108"/>
      <c r="K6" s="124"/>
      <c r="M6" s="4"/>
      <c r="N6" s="4"/>
    </row>
    <row r="7" spans="1:14" ht="15.75" x14ac:dyDescent="0.25">
      <c r="A7" s="101">
        <v>1</v>
      </c>
      <c r="B7" s="60" t="s">
        <v>4</v>
      </c>
      <c r="C7" s="61"/>
      <c r="D7" s="62"/>
      <c r="E7" s="17" t="s">
        <v>102</v>
      </c>
      <c r="F7" s="17"/>
      <c r="G7" s="63"/>
      <c r="H7" s="63" t="s">
        <v>1</v>
      </c>
      <c r="I7" s="64"/>
      <c r="J7" s="63"/>
      <c r="K7" s="65"/>
      <c r="M7" s="4"/>
      <c r="N7" s="4"/>
    </row>
    <row r="8" spans="1:14" ht="15.75" x14ac:dyDescent="0.25">
      <c r="A8" s="101"/>
      <c r="B8" s="66" t="s">
        <v>107</v>
      </c>
      <c r="C8" s="17" t="s">
        <v>6</v>
      </c>
      <c r="D8" s="9">
        <v>15500</v>
      </c>
      <c r="E8" s="9">
        <v>15500</v>
      </c>
      <c r="F8" s="9">
        <v>15500</v>
      </c>
      <c r="G8" s="9">
        <v>15500</v>
      </c>
      <c r="H8" s="9">
        <v>17000</v>
      </c>
      <c r="I8" s="9">
        <v>17000</v>
      </c>
      <c r="J8" s="16">
        <v>17000</v>
      </c>
      <c r="K8" s="67">
        <f>AVERAGE(D8:J8)</f>
        <v>16142.857142857143</v>
      </c>
      <c r="L8" s="1"/>
      <c r="M8" s="7"/>
      <c r="N8" s="4"/>
    </row>
    <row r="9" spans="1:14" ht="15.75" x14ac:dyDescent="0.25">
      <c r="A9" s="101"/>
      <c r="B9" s="66" t="s">
        <v>115</v>
      </c>
      <c r="C9" s="17" t="s">
        <v>6</v>
      </c>
      <c r="D9" s="9">
        <v>10900</v>
      </c>
      <c r="E9" s="9">
        <v>10900</v>
      </c>
      <c r="F9" s="9">
        <v>10900</v>
      </c>
      <c r="G9" s="8">
        <v>10900</v>
      </c>
      <c r="H9" s="9" t="s">
        <v>99</v>
      </c>
      <c r="I9" s="9" t="s">
        <v>99</v>
      </c>
      <c r="J9" s="16" t="s">
        <v>99</v>
      </c>
      <c r="K9" s="67">
        <f t="shared" ref="K9:K80" si="0">AVERAGE(D9:J9)</f>
        <v>10900</v>
      </c>
      <c r="M9" s="4"/>
      <c r="N9" s="4"/>
    </row>
    <row r="10" spans="1:14" ht="15.75" x14ac:dyDescent="0.25">
      <c r="A10" s="101"/>
      <c r="B10" s="66" t="s">
        <v>108</v>
      </c>
      <c r="C10" s="17" t="s">
        <v>6</v>
      </c>
      <c r="D10" s="9" t="s">
        <v>99</v>
      </c>
      <c r="E10" s="9" t="s">
        <v>99</v>
      </c>
      <c r="F10" s="9" t="s">
        <v>99</v>
      </c>
      <c r="G10" s="8" t="s">
        <v>99</v>
      </c>
      <c r="H10" s="9">
        <v>13000</v>
      </c>
      <c r="I10" s="9" t="s">
        <v>99</v>
      </c>
      <c r="J10" s="16" t="s">
        <v>99</v>
      </c>
      <c r="K10" s="67">
        <f t="shared" si="0"/>
        <v>13000</v>
      </c>
      <c r="M10" s="4"/>
      <c r="N10" s="4"/>
    </row>
    <row r="11" spans="1:14" ht="15.75" x14ac:dyDescent="0.25">
      <c r="A11" s="101"/>
      <c r="B11" s="66" t="s">
        <v>9</v>
      </c>
      <c r="C11" s="17" t="s">
        <v>6</v>
      </c>
      <c r="D11" s="9" t="s">
        <v>99</v>
      </c>
      <c r="E11" s="9">
        <v>10000</v>
      </c>
      <c r="F11" s="16">
        <v>12000</v>
      </c>
      <c r="G11" s="8">
        <v>10000</v>
      </c>
      <c r="H11" s="9">
        <v>10000</v>
      </c>
      <c r="I11" s="16">
        <v>12000</v>
      </c>
      <c r="J11" s="16">
        <v>10000</v>
      </c>
      <c r="K11" s="67">
        <f>AVERAGE(D11:J11)</f>
        <v>10666.666666666666</v>
      </c>
      <c r="M11" s="4"/>
      <c r="N11" s="4"/>
    </row>
    <row r="12" spans="1:14" ht="15.75" x14ac:dyDescent="0.25">
      <c r="A12" s="101"/>
      <c r="B12" s="66" t="s">
        <v>10</v>
      </c>
      <c r="C12" s="17" t="s">
        <v>6</v>
      </c>
      <c r="D12" s="9" t="s">
        <v>99</v>
      </c>
      <c r="E12" s="9">
        <v>21000</v>
      </c>
      <c r="F12" s="16">
        <v>16000</v>
      </c>
      <c r="G12" s="8">
        <v>18000</v>
      </c>
      <c r="H12" s="9">
        <v>25000</v>
      </c>
      <c r="I12" s="16">
        <v>17000</v>
      </c>
      <c r="J12" s="16">
        <v>17000</v>
      </c>
      <c r="K12" s="67">
        <f t="shared" si="0"/>
        <v>19000</v>
      </c>
      <c r="M12" s="4"/>
      <c r="N12" s="12"/>
    </row>
    <row r="13" spans="1:14" ht="15.75" x14ac:dyDescent="0.25">
      <c r="A13" s="101">
        <v>2</v>
      </c>
      <c r="B13" s="60" t="s">
        <v>11</v>
      </c>
      <c r="C13" s="68"/>
      <c r="D13" s="62"/>
      <c r="E13" s="92"/>
      <c r="F13" s="17"/>
      <c r="G13" s="70"/>
      <c r="H13" s="70"/>
      <c r="I13" s="70"/>
      <c r="J13" s="70"/>
      <c r="K13" s="71"/>
      <c r="M13" s="4"/>
      <c r="N13" s="4"/>
    </row>
    <row r="14" spans="1:14" ht="15.75" x14ac:dyDescent="0.25">
      <c r="A14" s="101"/>
      <c r="B14" s="66" t="s">
        <v>116</v>
      </c>
      <c r="C14" s="17" t="s">
        <v>6</v>
      </c>
      <c r="D14" s="9">
        <v>16000</v>
      </c>
      <c r="E14" s="9">
        <v>16500</v>
      </c>
      <c r="F14" s="9">
        <v>17000</v>
      </c>
      <c r="G14" s="16">
        <v>16000</v>
      </c>
      <c r="H14" s="9">
        <v>16500</v>
      </c>
      <c r="I14" s="9">
        <v>16500</v>
      </c>
      <c r="J14" s="72">
        <v>17000</v>
      </c>
      <c r="K14" s="67">
        <f t="shared" si="0"/>
        <v>16500</v>
      </c>
      <c r="M14" s="4"/>
      <c r="N14" s="4"/>
    </row>
    <row r="15" spans="1:14" ht="15.75" x14ac:dyDescent="0.25">
      <c r="A15" s="101"/>
      <c r="B15" s="66" t="s">
        <v>13</v>
      </c>
      <c r="C15" s="17" t="s">
        <v>6</v>
      </c>
      <c r="D15" s="9">
        <v>17000</v>
      </c>
      <c r="E15" s="9">
        <v>16000</v>
      </c>
      <c r="F15" s="16">
        <v>16000</v>
      </c>
      <c r="G15" s="8">
        <v>16000</v>
      </c>
      <c r="H15" s="9">
        <v>17000</v>
      </c>
      <c r="I15" s="9">
        <v>18000</v>
      </c>
      <c r="J15" s="72">
        <v>18000</v>
      </c>
      <c r="K15" s="67">
        <f>AVERAGE(D15:J15)</f>
        <v>16857.142857142859</v>
      </c>
      <c r="M15" s="4"/>
      <c r="N15" s="4"/>
    </row>
    <row r="16" spans="1:14" ht="15.75" x14ac:dyDescent="0.25">
      <c r="A16" s="101">
        <v>3</v>
      </c>
      <c r="B16" s="60" t="s">
        <v>14</v>
      </c>
      <c r="C16" s="73"/>
      <c r="D16" s="74"/>
      <c r="E16" s="15"/>
      <c r="F16" s="15"/>
      <c r="G16" s="15"/>
      <c r="H16" s="15"/>
      <c r="I16" s="15" t="s">
        <v>130</v>
      </c>
      <c r="J16" s="75"/>
      <c r="K16" s="71"/>
      <c r="M16" s="4"/>
      <c r="N16" s="4"/>
    </row>
    <row r="17" spans="1:14" ht="15.75" x14ac:dyDescent="0.25">
      <c r="A17" s="101"/>
      <c r="B17" s="66" t="s">
        <v>15</v>
      </c>
      <c r="C17" s="17" t="s">
        <v>6</v>
      </c>
      <c r="D17" s="9">
        <v>15000</v>
      </c>
      <c r="E17" s="9">
        <v>15000</v>
      </c>
      <c r="F17" s="9">
        <v>16000</v>
      </c>
      <c r="G17" s="9">
        <v>15000</v>
      </c>
      <c r="H17" s="9">
        <v>16000</v>
      </c>
      <c r="I17" s="9">
        <v>16000</v>
      </c>
      <c r="J17" s="72">
        <v>16500</v>
      </c>
      <c r="K17" s="67">
        <f t="shared" si="0"/>
        <v>15642.857142857143</v>
      </c>
      <c r="M17" s="4"/>
      <c r="N17" s="4"/>
    </row>
    <row r="18" spans="1:14" ht="15.75" x14ac:dyDescent="0.25">
      <c r="A18" s="59"/>
      <c r="B18" s="66" t="s">
        <v>109</v>
      </c>
      <c r="C18" s="17" t="s">
        <v>110</v>
      </c>
      <c r="D18" s="9">
        <v>14000</v>
      </c>
      <c r="E18" s="9">
        <v>14000</v>
      </c>
      <c r="F18" s="9">
        <v>14000</v>
      </c>
      <c r="G18" s="9">
        <v>14000</v>
      </c>
      <c r="H18" s="9" t="s">
        <v>99</v>
      </c>
      <c r="I18" s="9">
        <v>14000</v>
      </c>
      <c r="J18" s="72">
        <v>14000</v>
      </c>
      <c r="K18" s="67">
        <f t="shared" si="0"/>
        <v>14000</v>
      </c>
      <c r="M18" s="4"/>
      <c r="N18" s="4"/>
    </row>
    <row r="19" spans="1:14" ht="17.25" customHeight="1" x14ac:dyDescent="0.25">
      <c r="A19" s="101">
        <v>4</v>
      </c>
      <c r="B19" s="60" t="s">
        <v>16</v>
      </c>
      <c r="C19" s="73"/>
      <c r="D19" s="74"/>
      <c r="E19" s="15"/>
      <c r="F19" s="15"/>
      <c r="G19" s="76"/>
      <c r="H19" s="15"/>
      <c r="I19" s="15"/>
      <c r="J19" s="75"/>
      <c r="K19" s="71"/>
      <c r="M19" s="4"/>
      <c r="N19" s="4"/>
    </row>
    <row r="20" spans="1:14" ht="15.75" x14ac:dyDescent="0.25">
      <c r="A20" s="101"/>
      <c r="B20" s="66" t="s">
        <v>17</v>
      </c>
      <c r="C20" s="17" t="s">
        <v>6</v>
      </c>
      <c r="D20" s="9">
        <v>20000</v>
      </c>
      <c r="E20" s="9">
        <v>20000</v>
      </c>
      <c r="F20" s="16">
        <v>20000</v>
      </c>
      <c r="G20" s="8">
        <v>22000</v>
      </c>
      <c r="H20" s="16">
        <v>33000</v>
      </c>
      <c r="I20" s="16">
        <v>20000</v>
      </c>
      <c r="J20" s="77" t="s">
        <v>99</v>
      </c>
      <c r="K20" s="67">
        <f t="shared" si="0"/>
        <v>22500</v>
      </c>
      <c r="M20" s="4"/>
      <c r="N20" s="4"/>
    </row>
    <row r="21" spans="1:14" ht="15.75" x14ac:dyDescent="0.25">
      <c r="A21" s="101">
        <v>5</v>
      </c>
      <c r="B21" s="60" t="s">
        <v>18</v>
      </c>
      <c r="C21" s="73"/>
      <c r="D21" s="74"/>
      <c r="E21" s="17"/>
      <c r="F21" s="15" t="s">
        <v>1</v>
      </c>
      <c r="G21" s="76"/>
      <c r="H21" s="15"/>
      <c r="I21" s="15"/>
      <c r="J21" s="75"/>
      <c r="K21" s="71"/>
      <c r="M21" s="4"/>
      <c r="N21" s="4"/>
    </row>
    <row r="22" spans="1:14" ht="15.75" x14ac:dyDescent="0.25">
      <c r="A22" s="101"/>
      <c r="B22" s="66" t="s">
        <v>19</v>
      </c>
      <c r="C22" s="17" t="s">
        <v>6</v>
      </c>
      <c r="D22" s="9">
        <v>120000</v>
      </c>
      <c r="E22" s="9">
        <v>120000</v>
      </c>
      <c r="F22" s="9">
        <v>120000</v>
      </c>
      <c r="G22" s="9">
        <v>120000</v>
      </c>
      <c r="H22" s="9">
        <v>120000</v>
      </c>
      <c r="I22" s="8">
        <v>120000</v>
      </c>
      <c r="J22" s="72" t="s">
        <v>99</v>
      </c>
      <c r="K22" s="67">
        <f t="shared" si="0"/>
        <v>120000</v>
      </c>
      <c r="M22" s="4"/>
      <c r="N22" s="4"/>
    </row>
    <row r="23" spans="1:14" ht="15.75" x14ac:dyDescent="0.25">
      <c r="A23" s="101"/>
      <c r="B23" s="66" t="s">
        <v>20</v>
      </c>
      <c r="C23" s="17" t="s">
        <v>6</v>
      </c>
      <c r="D23" s="9">
        <v>110000</v>
      </c>
      <c r="E23" s="9">
        <v>110000</v>
      </c>
      <c r="F23" s="9">
        <v>110000</v>
      </c>
      <c r="G23" s="9">
        <v>110000</v>
      </c>
      <c r="H23" s="9">
        <v>115000</v>
      </c>
      <c r="I23" s="9">
        <v>110000</v>
      </c>
      <c r="J23" s="72">
        <v>110000</v>
      </c>
      <c r="K23" s="67">
        <f t="shared" si="0"/>
        <v>110714.28571428571</v>
      </c>
      <c r="M23" s="4"/>
      <c r="N23" s="4"/>
    </row>
    <row r="24" spans="1:14" ht="15.75" x14ac:dyDescent="0.25">
      <c r="A24" s="101"/>
      <c r="B24" s="66" t="s">
        <v>21</v>
      </c>
      <c r="C24" s="17" t="s">
        <v>6</v>
      </c>
      <c r="D24" s="9">
        <v>90000</v>
      </c>
      <c r="E24" s="9">
        <v>90000</v>
      </c>
      <c r="F24" s="9">
        <v>100000</v>
      </c>
      <c r="G24" s="9">
        <v>105000</v>
      </c>
      <c r="H24" s="9">
        <v>110000</v>
      </c>
      <c r="I24" s="8">
        <v>100000</v>
      </c>
      <c r="J24" s="72">
        <v>105000</v>
      </c>
      <c r="K24" s="67">
        <f t="shared" si="0"/>
        <v>100000</v>
      </c>
      <c r="M24" s="4"/>
      <c r="N24" s="4"/>
    </row>
    <row r="25" spans="1:14" ht="15.75" x14ac:dyDescent="0.25">
      <c r="A25" s="101"/>
      <c r="B25" s="66" t="s">
        <v>22</v>
      </c>
      <c r="C25" s="17" t="s">
        <v>6</v>
      </c>
      <c r="D25" s="9">
        <v>34000</v>
      </c>
      <c r="E25" s="9">
        <v>31000</v>
      </c>
      <c r="F25" s="9">
        <v>32000</v>
      </c>
      <c r="G25" s="9">
        <v>32000</v>
      </c>
      <c r="H25" s="72">
        <v>33000</v>
      </c>
      <c r="I25" s="9">
        <v>35000</v>
      </c>
      <c r="J25" s="72">
        <v>34000</v>
      </c>
      <c r="K25" s="67">
        <f t="shared" si="0"/>
        <v>33000</v>
      </c>
      <c r="M25" s="4"/>
      <c r="N25" s="4"/>
    </row>
    <row r="26" spans="1:14" ht="15.75" x14ac:dyDescent="0.25">
      <c r="A26" s="101">
        <v>6</v>
      </c>
      <c r="B26" s="60" t="s">
        <v>23</v>
      </c>
      <c r="C26" s="73"/>
      <c r="D26" s="74"/>
      <c r="E26" s="17"/>
      <c r="F26" s="76"/>
      <c r="G26" s="15"/>
      <c r="H26" s="75"/>
      <c r="I26" s="15"/>
      <c r="J26" s="75"/>
      <c r="K26" s="71"/>
      <c r="M26" s="4"/>
      <c r="N26" s="4"/>
    </row>
    <row r="27" spans="1:14" ht="15.75" x14ac:dyDescent="0.25">
      <c r="A27" s="101"/>
      <c r="B27" s="66" t="s">
        <v>24</v>
      </c>
      <c r="C27" s="17" t="s">
        <v>6</v>
      </c>
      <c r="D27" s="9">
        <v>32000</v>
      </c>
      <c r="E27" s="9">
        <v>35000</v>
      </c>
      <c r="F27" s="9" t="s">
        <v>99</v>
      </c>
      <c r="G27" s="9">
        <v>40000</v>
      </c>
      <c r="H27" s="9">
        <v>28000</v>
      </c>
      <c r="I27" s="9" t="s">
        <v>99</v>
      </c>
      <c r="J27" s="72">
        <v>30000</v>
      </c>
      <c r="K27" s="67">
        <f t="shared" si="0"/>
        <v>33000</v>
      </c>
      <c r="L27" t="s">
        <v>100</v>
      </c>
      <c r="M27" s="4"/>
      <c r="N27" s="4"/>
    </row>
    <row r="28" spans="1:14" ht="15.75" x14ac:dyDescent="0.25">
      <c r="A28" s="101"/>
      <c r="B28" s="66" t="s">
        <v>25</v>
      </c>
      <c r="C28" s="17" t="s">
        <v>6</v>
      </c>
      <c r="D28" s="9">
        <v>30000</v>
      </c>
      <c r="E28" s="9">
        <v>28000</v>
      </c>
      <c r="F28" s="9">
        <v>35000</v>
      </c>
      <c r="G28" s="8">
        <v>30000</v>
      </c>
      <c r="H28" s="9">
        <v>22000</v>
      </c>
      <c r="I28" s="9">
        <v>26000</v>
      </c>
      <c r="J28" s="78">
        <v>30000</v>
      </c>
      <c r="K28" s="67">
        <f t="shared" si="0"/>
        <v>28714.285714285714</v>
      </c>
      <c r="M28" s="4"/>
      <c r="N28" s="4"/>
    </row>
    <row r="29" spans="1:14" ht="15.75" x14ac:dyDescent="0.25">
      <c r="A29" s="101"/>
      <c r="B29" s="66" t="s">
        <v>26</v>
      </c>
      <c r="C29" s="17" t="s">
        <v>6</v>
      </c>
      <c r="D29" s="9">
        <v>60000</v>
      </c>
      <c r="E29" s="9">
        <v>60000</v>
      </c>
      <c r="F29" s="16">
        <v>60000</v>
      </c>
      <c r="G29" s="8">
        <v>70000</v>
      </c>
      <c r="H29" s="9">
        <v>65000</v>
      </c>
      <c r="I29" s="9">
        <v>60000</v>
      </c>
      <c r="J29" s="79">
        <v>60000</v>
      </c>
      <c r="K29" s="67">
        <f t="shared" si="0"/>
        <v>62142.857142857145</v>
      </c>
      <c r="M29" s="4"/>
      <c r="N29" s="4"/>
    </row>
    <row r="30" spans="1:14" ht="15.75" x14ac:dyDescent="0.25">
      <c r="A30" s="101"/>
      <c r="B30" s="66" t="s">
        <v>27</v>
      </c>
      <c r="C30" s="17" t="s">
        <v>6</v>
      </c>
      <c r="D30" s="9">
        <v>25000</v>
      </c>
      <c r="E30" s="9" t="s">
        <v>99</v>
      </c>
      <c r="F30" s="10" t="s">
        <v>99</v>
      </c>
      <c r="G30" s="8">
        <v>25000</v>
      </c>
      <c r="H30" s="9">
        <v>23000</v>
      </c>
      <c r="I30" s="9" t="s">
        <v>99</v>
      </c>
      <c r="J30" s="79">
        <v>26000</v>
      </c>
      <c r="K30" s="67">
        <f t="shared" si="0"/>
        <v>24750</v>
      </c>
      <c r="M30" s="4"/>
      <c r="N30" s="4"/>
    </row>
    <row r="31" spans="1:14" ht="15.75" x14ac:dyDescent="0.25">
      <c r="A31" s="101"/>
      <c r="B31" s="66" t="s">
        <v>28</v>
      </c>
      <c r="C31" s="17" t="s">
        <v>6</v>
      </c>
      <c r="D31" s="9">
        <v>32000</v>
      </c>
      <c r="E31" s="9">
        <v>36000</v>
      </c>
      <c r="F31" s="9">
        <v>40000</v>
      </c>
      <c r="G31" s="9">
        <v>40000</v>
      </c>
      <c r="H31" s="9">
        <v>30000</v>
      </c>
      <c r="I31" s="9">
        <v>40000</v>
      </c>
      <c r="J31" s="72">
        <v>35000</v>
      </c>
      <c r="K31" s="67">
        <f t="shared" si="0"/>
        <v>36142.857142857145</v>
      </c>
      <c r="M31" s="4"/>
      <c r="N31" s="4"/>
    </row>
    <row r="32" spans="1:14" ht="15.75" x14ac:dyDescent="0.25">
      <c r="A32" s="101"/>
      <c r="B32" s="66" t="s">
        <v>29</v>
      </c>
      <c r="C32" s="17" t="s">
        <v>6</v>
      </c>
      <c r="D32" s="9" t="s">
        <v>99</v>
      </c>
      <c r="E32" s="9">
        <v>100000</v>
      </c>
      <c r="F32" s="9">
        <v>100000</v>
      </c>
      <c r="G32" s="9" t="s">
        <v>99</v>
      </c>
      <c r="H32" s="9">
        <v>80000</v>
      </c>
      <c r="I32" s="9">
        <v>100000</v>
      </c>
      <c r="J32" s="79">
        <v>70000</v>
      </c>
      <c r="K32" s="67">
        <f t="shared" si="0"/>
        <v>90000</v>
      </c>
      <c r="M32" s="4"/>
      <c r="N32" s="4"/>
    </row>
    <row r="33" spans="1:14" ht="15.75" x14ac:dyDescent="0.25">
      <c r="A33" s="101">
        <v>7</v>
      </c>
      <c r="B33" s="60" t="s">
        <v>30</v>
      </c>
      <c r="C33" s="73"/>
      <c r="D33" s="74"/>
      <c r="E33" s="17"/>
      <c r="F33" s="76"/>
      <c r="G33" s="76"/>
      <c r="H33" s="15"/>
      <c r="I33" s="15"/>
      <c r="J33" s="75"/>
      <c r="K33" s="71"/>
      <c r="M33" s="4"/>
      <c r="N33" s="4"/>
    </row>
    <row r="34" spans="1:14" ht="15.75" x14ac:dyDescent="0.25">
      <c r="A34" s="101"/>
      <c r="B34" s="66" t="s">
        <v>31</v>
      </c>
      <c r="C34" s="17" t="s">
        <v>6</v>
      </c>
      <c r="D34" s="9">
        <v>28000</v>
      </c>
      <c r="E34" s="9">
        <v>27000</v>
      </c>
      <c r="F34" s="9">
        <v>28000</v>
      </c>
      <c r="G34" s="9">
        <v>27000</v>
      </c>
      <c r="H34" s="9">
        <v>29000</v>
      </c>
      <c r="I34" s="9">
        <v>27000</v>
      </c>
      <c r="J34" s="72">
        <v>29500</v>
      </c>
      <c r="K34" s="67">
        <f t="shared" si="0"/>
        <v>27928.571428571428</v>
      </c>
      <c r="M34" s="4"/>
      <c r="N34" s="4"/>
    </row>
    <row r="35" spans="1:14" ht="15.75" x14ac:dyDescent="0.25">
      <c r="A35" s="101"/>
      <c r="B35" s="66" t="s">
        <v>32</v>
      </c>
      <c r="C35" s="17" t="s">
        <v>33</v>
      </c>
      <c r="D35" s="9">
        <v>3000</v>
      </c>
      <c r="E35" s="9">
        <v>2500</v>
      </c>
      <c r="F35" s="9">
        <v>2500</v>
      </c>
      <c r="G35" s="9">
        <v>2800</v>
      </c>
      <c r="H35" s="9">
        <v>2800</v>
      </c>
      <c r="I35" s="9">
        <v>3000</v>
      </c>
      <c r="J35" s="72">
        <v>3000</v>
      </c>
      <c r="K35" s="67">
        <f t="shared" si="0"/>
        <v>2800</v>
      </c>
      <c r="M35" s="4"/>
      <c r="N35" s="4"/>
    </row>
    <row r="36" spans="1:14" ht="15.75" x14ac:dyDescent="0.25">
      <c r="A36" s="59">
        <v>8</v>
      </c>
      <c r="B36" s="73" t="s">
        <v>117</v>
      </c>
      <c r="C36" s="80"/>
      <c r="D36" s="9"/>
      <c r="E36" s="9"/>
      <c r="F36" s="9"/>
      <c r="G36" s="9"/>
      <c r="H36" s="9"/>
      <c r="I36" s="9"/>
      <c r="J36" s="72"/>
      <c r="K36" s="81"/>
      <c r="M36" s="4"/>
      <c r="N36" s="4"/>
    </row>
    <row r="37" spans="1:14" ht="15.75" x14ac:dyDescent="0.25">
      <c r="A37" s="59"/>
      <c r="B37" s="66" t="s">
        <v>118</v>
      </c>
      <c r="C37" s="17" t="s">
        <v>6</v>
      </c>
      <c r="D37" s="9">
        <v>10000</v>
      </c>
      <c r="E37" s="9">
        <v>1250</v>
      </c>
      <c r="F37" s="9">
        <v>9000</v>
      </c>
      <c r="G37" s="9">
        <v>9000</v>
      </c>
      <c r="H37" s="9">
        <v>16000</v>
      </c>
      <c r="I37" s="9">
        <v>9000</v>
      </c>
      <c r="J37" s="72">
        <v>3000</v>
      </c>
      <c r="K37" s="67">
        <f t="shared" si="0"/>
        <v>8178.5714285714284</v>
      </c>
      <c r="M37" s="4"/>
      <c r="N37" s="4"/>
    </row>
    <row r="38" spans="1:14" ht="15.75" x14ac:dyDescent="0.25">
      <c r="A38" s="59"/>
      <c r="B38" s="66" t="s">
        <v>119</v>
      </c>
      <c r="C38" s="17" t="s">
        <v>6</v>
      </c>
      <c r="D38" s="9" t="s">
        <v>99</v>
      </c>
      <c r="E38" s="9">
        <v>10000</v>
      </c>
      <c r="F38" s="9">
        <v>12000</v>
      </c>
      <c r="G38" s="9">
        <v>14000</v>
      </c>
      <c r="H38" s="9" t="s">
        <v>99</v>
      </c>
      <c r="I38" s="9">
        <v>12000</v>
      </c>
      <c r="J38" s="72">
        <v>12000</v>
      </c>
      <c r="K38" s="67">
        <f>AVERAGE(D38:J38)</f>
        <v>12000</v>
      </c>
      <c r="M38" s="4"/>
      <c r="N38" s="4"/>
    </row>
    <row r="39" spans="1:14" ht="15.75" x14ac:dyDescent="0.25">
      <c r="A39" s="59">
        <v>9</v>
      </c>
      <c r="B39" s="82" t="s">
        <v>120</v>
      </c>
      <c r="C39" s="83"/>
      <c r="D39" s="9"/>
      <c r="E39" s="9"/>
      <c r="F39" s="9"/>
      <c r="G39" s="9"/>
      <c r="H39" s="9"/>
      <c r="I39" s="9"/>
      <c r="J39" s="72"/>
      <c r="K39" s="81"/>
      <c r="M39" s="4"/>
      <c r="N39" s="4"/>
    </row>
    <row r="40" spans="1:14" ht="15.75" x14ac:dyDescent="0.25">
      <c r="A40" s="59"/>
      <c r="B40" s="66" t="s">
        <v>121</v>
      </c>
      <c r="C40" s="17" t="s">
        <v>6</v>
      </c>
      <c r="D40" s="9" t="s">
        <v>99</v>
      </c>
      <c r="E40" s="9" t="s">
        <v>99</v>
      </c>
      <c r="F40" s="9" t="s">
        <v>99</v>
      </c>
      <c r="G40" s="9">
        <v>16000</v>
      </c>
      <c r="H40" s="9">
        <v>14000</v>
      </c>
      <c r="I40" s="9" t="s">
        <v>99</v>
      </c>
      <c r="J40" s="72">
        <v>15000</v>
      </c>
      <c r="K40" s="67">
        <f t="shared" si="0"/>
        <v>15000</v>
      </c>
      <c r="M40" s="4"/>
      <c r="N40" s="4"/>
    </row>
    <row r="41" spans="1:14" ht="15.75" x14ac:dyDescent="0.25">
      <c r="A41" s="59"/>
      <c r="B41" s="66" t="s">
        <v>122</v>
      </c>
      <c r="C41" s="17" t="s">
        <v>6</v>
      </c>
      <c r="D41" s="9" t="s">
        <v>99</v>
      </c>
      <c r="E41" s="9" t="s">
        <v>99</v>
      </c>
      <c r="F41" s="9">
        <v>6000</v>
      </c>
      <c r="G41" s="9" t="s">
        <v>99</v>
      </c>
      <c r="H41" s="9" t="s">
        <v>99</v>
      </c>
      <c r="I41" s="9">
        <v>6000</v>
      </c>
      <c r="J41" s="72" t="s">
        <v>99</v>
      </c>
      <c r="K41" s="67">
        <f t="shared" si="0"/>
        <v>6000</v>
      </c>
      <c r="M41" s="4"/>
      <c r="N41" s="4"/>
    </row>
    <row r="42" spans="1:14" ht="15.75" x14ac:dyDescent="0.25">
      <c r="A42" s="59"/>
      <c r="B42" s="66" t="s">
        <v>123</v>
      </c>
      <c r="C42" s="17" t="s">
        <v>6</v>
      </c>
      <c r="D42" s="9" t="s">
        <v>99</v>
      </c>
      <c r="E42" s="9">
        <v>2500</v>
      </c>
      <c r="F42" s="9" t="s">
        <v>99</v>
      </c>
      <c r="G42" s="9" t="s">
        <v>99</v>
      </c>
      <c r="H42" s="9" t="s">
        <v>99</v>
      </c>
      <c r="I42" s="9" t="s">
        <v>99</v>
      </c>
      <c r="J42" s="72" t="s">
        <v>99</v>
      </c>
      <c r="K42" s="67">
        <f t="shared" si="0"/>
        <v>2500</v>
      </c>
      <c r="M42" s="4"/>
      <c r="N42" s="4"/>
    </row>
    <row r="43" spans="1:14" ht="15.75" x14ac:dyDescent="0.25">
      <c r="A43" s="101">
        <v>10</v>
      </c>
      <c r="B43" s="60" t="s">
        <v>34</v>
      </c>
      <c r="C43" s="73"/>
      <c r="D43" s="74"/>
      <c r="E43" s="17"/>
      <c r="F43" s="76"/>
      <c r="G43" s="15"/>
      <c r="H43" s="15"/>
      <c r="I43" s="15"/>
      <c r="J43" s="84"/>
      <c r="K43" s="71"/>
      <c r="M43" s="4"/>
      <c r="N43" s="4"/>
    </row>
    <row r="44" spans="1:14" ht="15.75" x14ac:dyDescent="0.25">
      <c r="A44" s="101"/>
      <c r="B44" s="66" t="s">
        <v>35</v>
      </c>
      <c r="C44" s="17" t="s">
        <v>36</v>
      </c>
      <c r="D44" s="9">
        <v>12000</v>
      </c>
      <c r="E44" s="9">
        <v>12000</v>
      </c>
      <c r="F44" s="9">
        <v>12500</v>
      </c>
      <c r="G44" s="9">
        <v>12500</v>
      </c>
      <c r="H44" s="10" t="s">
        <v>99</v>
      </c>
      <c r="I44" s="16">
        <v>12500</v>
      </c>
      <c r="J44" s="72">
        <v>12500</v>
      </c>
      <c r="K44" s="67">
        <f t="shared" si="0"/>
        <v>12333.333333333334</v>
      </c>
      <c r="M44" s="4"/>
      <c r="N44" s="4"/>
    </row>
    <row r="45" spans="1:14" ht="15.75" x14ac:dyDescent="0.25">
      <c r="A45" s="101"/>
      <c r="B45" s="66" t="s">
        <v>124</v>
      </c>
      <c r="C45" s="17" t="s">
        <v>36</v>
      </c>
      <c r="D45" s="9">
        <v>12000</v>
      </c>
      <c r="E45" s="9">
        <v>13000</v>
      </c>
      <c r="F45" s="16">
        <v>12500</v>
      </c>
      <c r="G45" s="9">
        <v>12500</v>
      </c>
      <c r="H45" s="10" t="s">
        <v>99</v>
      </c>
      <c r="I45" s="16">
        <v>12500</v>
      </c>
      <c r="J45" s="79">
        <v>12500</v>
      </c>
      <c r="K45" s="67">
        <f>AVERAGE(D45:J45)</f>
        <v>12500</v>
      </c>
      <c r="M45" s="4"/>
      <c r="N45" s="4"/>
    </row>
    <row r="46" spans="1:14" ht="15.75" x14ac:dyDescent="0.25">
      <c r="A46" s="101">
        <v>11</v>
      </c>
      <c r="B46" s="60" t="s">
        <v>38</v>
      </c>
      <c r="C46" s="73"/>
      <c r="D46" s="74"/>
      <c r="E46" s="17"/>
      <c r="F46" s="15"/>
      <c r="G46" s="76"/>
      <c r="H46" s="15"/>
      <c r="I46" s="15"/>
      <c r="J46" s="75"/>
      <c r="K46" s="71"/>
      <c r="M46" s="4"/>
      <c r="N46" s="4"/>
    </row>
    <row r="47" spans="1:14" ht="15.75" x14ac:dyDescent="0.25">
      <c r="A47" s="101"/>
      <c r="B47" s="66" t="s">
        <v>39</v>
      </c>
      <c r="C47" s="17" t="s">
        <v>40</v>
      </c>
      <c r="D47" s="9" t="s">
        <v>99</v>
      </c>
      <c r="E47" s="9" t="s">
        <v>99</v>
      </c>
      <c r="F47" s="10" t="s">
        <v>99</v>
      </c>
      <c r="G47" s="8" t="s">
        <v>99</v>
      </c>
      <c r="H47" s="9">
        <v>17500</v>
      </c>
      <c r="I47" s="16" t="s">
        <v>99</v>
      </c>
      <c r="J47" s="79" t="s">
        <v>99</v>
      </c>
      <c r="K47" s="67">
        <f t="shared" si="0"/>
        <v>17500</v>
      </c>
      <c r="M47" s="4"/>
      <c r="N47" s="4"/>
    </row>
    <row r="48" spans="1:14" ht="15.75" x14ac:dyDescent="0.25">
      <c r="A48" s="101"/>
      <c r="B48" s="66" t="s">
        <v>41</v>
      </c>
      <c r="C48" s="17" t="s">
        <v>42</v>
      </c>
      <c r="D48" s="9" t="s">
        <v>99</v>
      </c>
      <c r="E48" s="9" t="s">
        <v>99</v>
      </c>
      <c r="F48" s="10" t="s">
        <v>99</v>
      </c>
      <c r="G48" s="8" t="s">
        <v>99</v>
      </c>
      <c r="H48" s="9">
        <v>2000</v>
      </c>
      <c r="I48" s="16" t="s">
        <v>99</v>
      </c>
      <c r="J48" s="79" t="s">
        <v>99</v>
      </c>
      <c r="K48" s="67">
        <f t="shared" si="0"/>
        <v>2000</v>
      </c>
      <c r="M48" s="4"/>
      <c r="N48" s="4"/>
    </row>
    <row r="49" spans="1:14" ht="15.75" x14ac:dyDescent="0.25">
      <c r="A49" s="59">
        <v>12</v>
      </c>
      <c r="B49" s="85" t="s">
        <v>43</v>
      </c>
      <c r="C49" s="80"/>
      <c r="D49" s="19"/>
      <c r="E49" s="10"/>
      <c r="F49" s="10"/>
      <c r="G49" s="22"/>
      <c r="H49" s="10"/>
      <c r="I49" s="10"/>
      <c r="J49" s="77"/>
      <c r="K49" s="71"/>
      <c r="M49" s="4"/>
      <c r="N49" s="4"/>
    </row>
    <row r="50" spans="1:14" ht="15.75" x14ac:dyDescent="0.25">
      <c r="A50" s="59"/>
      <c r="B50" s="66" t="s">
        <v>44</v>
      </c>
      <c r="C50" s="86" t="s">
        <v>6</v>
      </c>
      <c r="D50" s="9">
        <v>10000</v>
      </c>
      <c r="E50" s="9">
        <v>8000</v>
      </c>
      <c r="F50" s="9">
        <v>10000</v>
      </c>
      <c r="G50" s="9">
        <v>10000</v>
      </c>
      <c r="H50" s="9">
        <v>15000</v>
      </c>
      <c r="I50" s="8">
        <v>15000</v>
      </c>
      <c r="J50" s="72">
        <v>15000</v>
      </c>
      <c r="K50" s="67">
        <f t="shared" si="0"/>
        <v>11857.142857142857</v>
      </c>
      <c r="M50" s="4"/>
      <c r="N50" s="4"/>
    </row>
    <row r="51" spans="1:14" ht="15.75" x14ac:dyDescent="0.25">
      <c r="A51" s="59"/>
      <c r="B51" s="66" t="s">
        <v>45</v>
      </c>
      <c r="C51" s="86" t="s">
        <v>6</v>
      </c>
      <c r="D51" s="9" t="s">
        <v>99</v>
      </c>
      <c r="E51" s="9">
        <v>10000</v>
      </c>
      <c r="F51" s="8">
        <v>9000</v>
      </c>
      <c r="G51" s="9">
        <v>10000</v>
      </c>
      <c r="H51" s="9">
        <v>12000</v>
      </c>
      <c r="I51" s="9">
        <v>12000</v>
      </c>
      <c r="J51" s="72">
        <v>10000</v>
      </c>
      <c r="K51" s="67">
        <f t="shared" si="0"/>
        <v>10500</v>
      </c>
      <c r="M51" s="4"/>
      <c r="N51" s="4"/>
    </row>
    <row r="52" spans="1:14" ht="15.75" x14ac:dyDescent="0.25">
      <c r="A52" s="101">
        <v>13</v>
      </c>
      <c r="B52" s="60" t="s">
        <v>46</v>
      </c>
      <c r="C52" s="73"/>
      <c r="D52" s="74"/>
      <c r="E52" s="17"/>
      <c r="F52" s="76"/>
      <c r="G52" s="76"/>
      <c r="H52" s="15"/>
      <c r="I52" s="15"/>
      <c r="J52" s="84"/>
      <c r="K52" s="71"/>
      <c r="M52" s="4"/>
      <c r="N52" s="4"/>
    </row>
    <row r="53" spans="1:14" ht="15.75" x14ac:dyDescent="0.25">
      <c r="A53" s="101"/>
      <c r="B53" s="66" t="s">
        <v>47</v>
      </c>
      <c r="C53" s="17" t="s">
        <v>125</v>
      </c>
      <c r="D53" s="9">
        <v>3000</v>
      </c>
      <c r="E53" s="9">
        <v>4000</v>
      </c>
      <c r="F53" s="9">
        <v>5000</v>
      </c>
      <c r="G53" s="9">
        <v>5000</v>
      </c>
      <c r="H53" s="9">
        <v>2500</v>
      </c>
      <c r="I53" s="16">
        <v>5000</v>
      </c>
      <c r="J53" s="72">
        <v>2500</v>
      </c>
      <c r="K53" s="67">
        <f t="shared" si="0"/>
        <v>3857.1428571428573</v>
      </c>
      <c r="M53" s="4" t="s">
        <v>101</v>
      </c>
      <c r="N53" s="4"/>
    </row>
    <row r="54" spans="1:14" ht="15.75" x14ac:dyDescent="0.25">
      <c r="A54" s="101">
        <v>14</v>
      </c>
      <c r="B54" s="60" t="s">
        <v>49</v>
      </c>
      <c r="C54" s="80"/>
      <c r="D54" s="62"/>
      <c r="E54" s="17"/>
      <c r="F54" s="20"/>
      <c r="G54" s="20"/>
      <c r="H54" s="17"/>
      <c r="I54" s="17"/>
      <c r="J54" s="87"/>
      <c r="K54" s="71"/>
      <c r="M54" s="4"/>
      <c r="N54" s="23"/>
    </row>
    <row r="55" spans="1:14" ht="15.75" x14ac:dyDescent="0.25">
      <c r="A55" s="101"/>
      <c r="B55" s="88" t="s">
        <v>50</v>
      </c>
      <c r="C55" s="86" t="s">
        <v>6</v>
      </c>
      <c r="D55" s="9">
        <v>10000</v>
      </c>
      <c r="E55" s="9">
        <v>10500</v>
      </c>
      <c r="F55" s="9">
        <v>10000</v>
      </c>
      <c r="G55" s="9">
        <v>11000</v>
      </c>
      <c r="H55" s="9">
        <v>12000</v>
      </c>
      <c r="I55" s="9">
        <v>10000</v>
      </c>
      <c r="J55" s="72">
        <v>10000</v>
      </c>
      <c r="K55" s="67">
        <f t="shared" si="0"/>
        <v>10500</v>
      </c>
      <c r="M55" s="4"/>
      <c r="N55" s="4"/>
    </row>
    <row r="56" spans="1:14" ht="15.75" x14ac:dyDescent="0.25">
      <c r="A56" s="101">
        <v>15</v>
      </c>
      <c r="B56" s="60" t="s">
        <v>51</v>
      </c>
      <c r="C56" s="73"/>
      <c r="D56" s="74"/>
      <c r="E56" s="17"/>
      <c r="F56" s="76"/>
      <c r="G56" s="15"/>
      <c r="H56" s="15"/>
      <c r="I56" s="15"/>
      <c r="J56" s="84"/>
      <c r="K56" s="71"/>
      <c r="M56" s="4"/>
      <c r="N56" s="4"/>
    </row>
    <row r="57" spans="1:14" ht="15.75" x14ac:dyDescent="0.25">
      <c r="A57" s="101"/>
      <c r="B57" s="66" t="s">
        <v>52</v>
      </c>
      <c r="C57" s="17" t="s">
        <v>6</v>
      </c>
      <c r="D57" s="9">
        <v>16000</v>
      </c>
      <c r="E57" s="9">
        <v>13000</v>
      </c>
      <c r="F57" s="9">
        <v>14000</v>
      </c>
      <c r="G57" s="9">
        <v>14000</v>
      </c>
      <c r="H57" s="9">
        <v>11500</v>
      </c>
      <c r="I57" s="9">
        <v>17000</v>
      </c>
      <c r="J57" s="72" t="s">
        <v>99</v>
      </c>
      <c r="K57" s="67">
        <f t="shared" si="0"/>
        <v>14250</v>
      </c>
      <c r="M57" s="4"/>
      <c r="N57" s="4"/>
    </row>
    <row r="58" spans="1:14" ht="15.75" x14ac:dyDescent="0.25">
      <c r="A58" s="101"/>
      <c r="B58" s="66" t="s">
        <v>53</v>
      </c>
      <c r="C58" s="17" t="s">
        <v>6</v>
      </c>
      <c r="D58" s="9" t="s">
        <v>99</v>
      </c>
      <c r="E58" s="9" t="s">
        <v>99</v>
      </c>
      <c r="F58" s="16">
        <v>15000</v>
      </c>
      <c r="G58" s="22" t="s">
        <v>99</v>
      </c>
      <c r="H58" s="9">
        <v>13000</v>
      </c>
      <c r="I58" s="8">
        <v>15000</v>
      </c>
      <c r="J58" s="72">
        <v>14000</v>
      </c>
      <c r="K58" s="67">
        <f t="shared" si="0"/>
        <v>14250</v>
      </c>
      <c r="M58" s="4"/>
      <c r="N58" s="4"/>
    </row>
    <row r="59" spans="1:14" ht="15.75" x14ac:dyDescent="0.25">
      <c r="A59" s="101"/>
      <c r="B59" s="66" t="s">
        <v>54</v>
      </c>
      <c r="C59" s="17" t="s">
        <v>6</v>
      </c>
      <c r="D59" s="9">
        <v>22000</v>
      </c>
      <c r="E59" s="9">
        <v>23000</v>
      </c>
      <c r="F59" s="9">
        <v>23000</v>
      </c>
      <c r="G59" s="9">
        <v>23000</v>
      </c>
      <c r="H59" s="9">
        <v>20000</v>
      </c>
      <c r="I59" s="9">
        <v>23000</v>
      </c>
      <c r="J59" s="72">
        <v>24000</v>
      </c>
      <c r="K59" s="67">
        <f t="shared" si="0"/>
        <v>22571.428571428572</v>
      </c>
      <c r="M59" s="4"/>
      <c r="N59" s="4"/>
    </row>
    <row r="60" spans="1:14" ht="15.75" x14ac:dyDescent="0.25">
      <c r="A60" s="101"/>
      <c r="B60" s="66" t="s">
        <v>55</v>
      </c>
      <c r="C60" s="17" t="s">
        <v>6</v>
      </c>
      <c r="D60" s="9">
        <v>26000</v>
      </c>
      <c r="E60" s="9">
        <v>30000</v>
      </c>
      <c r="F60" s="9">
        <v>28000</v>
      </c>
      <c r="G60" s="9">
        <v>30000</v>
      </c>
      <c r="H60" s="9">
        <v>27000</v>
      </c>
      <c r="I60" s="9">
        <v>28000</v>
      </c>
      <c r="J60" s="72">
        <v>28000</v>
      </c>
      <c r="K60" s="67">
        <f t="shared" si="0"/>
        <v>28142.857142857141</v>
      </c>
      <c r="M60" s="4"/>
      <c r="N60" s="4"/>
    </row>
    <row r="61" spans="1:14" ht="15.75" x14ac:dyDescent="0.25">
      <c r="A61" s="17">
        <v>16</v>
      </c>
      <c r="B61" s="60" t="s">
        <v>56</v>
      </c>
      <c r="C61" s="80"/>
      <c r="D61" s="89"/>
      <c r="E61" s="10"/>
      <c r="F61" s="22"/>
      <c r="G61" s="10"/>
      <c r="H61" s="10"/>
      <c r="I61" s="10"/>
      <c r="J61" s="90"/>
      <c r="K61" s="71"/>
      <c r="M61" s="4"/>
      <c r="N61" s="4"/>
    </row>
    <row r="62" spans="1:14" ht="15.75" x14ac:dyDescent="0.25">
      <c r="A62" s="17"/>
      <c r="B62" s="66" t="s">
        <v>57</v>
      </c>
      <c r="C62" s="86" t="s">
        <v>58</v>
      </c>
      <c r="D62" s="9">
        <v>3000</v>
      </c>
      <c r="E62" s="9">
        <v>3200</v>
      </c>
      <c r="F62" s="9">
        <v>3000</v>
      </c>
      <c r="G62" s="9">
        <v>3000</v>
      </c>
      <c r="H62" s="10" t="s">
        <v>99</v>
      </c>
      <c r="I62" s="16">
        <v>3000</v>
      </c>
      <c r="J62" s="72">
        <v>3500</v>
      </c>
      <c r="K62" s="67">
        <f t="shared" si="0"/>
        <v>3116.6666666666665</v>
      </c>
      <c r="M62" s="4"/>
      <c r="N62" s="4"/>
    </row>
    <row r="63" spans="1:14" ht="15.75" x14ac:dyDescent="0.25">
      <c r="A63" s="101">
        <v>17</v>
      </c>
      <c r="B63" s="60" t="s">
        <v>59</v>
      </c>
      <c r="C63" s="73"/>
      <c r="D63" s="74"/>
      <c r="E63" s="17"/>
      <c r="F63" s="76"/>
      <c r="G63" s="76"/>
      <c r="H63" s="15"/>
      <c r="I63" s="15"/>
      <c r="J63" s="84"/>
      <c r="K63" s="71"/>
      <c r="M63" s="4"/>
      <c r="N63" s="4"/>
    </row>
    <row r="64" spans="1:14" ht="15.75" x14ac:dyDescent="0.25">
      <c r="A64" s="101"/>
      <c r="B64" s="66" t="s">
        <v>60</v>
      </c>
      <c r="C64" s="17" t="s">
        <v>6</v>
      </c>
      <c r="D64" s="9">
        <v>80000</v>
      </c>
      <c r="E64" s="9">
        <v>70000</v>
      </c>
      <c r="F64" s="9">
        <v>82000</v>
      </c>
      <c r="G64" s="9">
        <v>70000</v>
      </c>
      <c r="H64" s="9">
        <v>80000</v>
      </c>
      <c r="I64" s="9">
        <v>90000</v>
      </c>
      <c r="J64" s="72">
        <v>90000</v>
      </c>
      <c r="K64" s="67">
        <f t="shared" si="0"/>
        <v>80285.71428571429</v>
      </c>
      <c r="M64" s="4"/>
      <c r="N64" s="4"/>
    </row>
    <row r="65" spans="1:14" ht="15.75" x14ac:dyDescent="0.25">
      <c r="A65" s="101"/>
      <c r="B65" s="66" t="s">
        <v>61</v>
      </c>
      <c r="C65" s="17" t="s">
        <v>6</v>
      </c>
      <c r="D65" s="9">
        <v>90000</v>
      </c>
      <c r="E65" s="9">
        <v>70000</v>
      </c>
      <c r="F65" s="9">
        <v>82000</v>
      </c>
      <c r="G65" s="9">
        <v>70000</v>
      </c>
      <c r="H65" s="9">
        <v>70000</v>
      </c>
      <c r="I65" s="8">
        <v>65000</v>
      </c>
      <c r="J65" s="72">
        <v>90000</v>
      </c>
      <c r="K65" s="67">
        <f t="shared" si="0"/>
        <v>76714.28571428571</v>
      </c>
      <c r="M65" s="4"/>
      <c r="N65" s="4"/>
    </row>
    <row r="66" spans="1:14" ht="15.75" x14ac:dyDescent="0.25">
      <c r="A66" s="101"/>
      <c r="B66" s="66" t="s">
        <v>62</v>
      </c>
      <c r="C66" s="17" t="s">
        <v>6</v>
      </c>
      <c r="D66" s="9">
        <v>70000</v>
      </c>
      <c r="E66" s="9">
        <v>60000</v>
      </c>
      <c r="F66" s="9">
        <v>37000</v>
      </c>
      <c r="G66" s="9">
        <v>45000</v>
      </c>
      <c r="H66" s="9">
        <v>50000</v>
      </c>
      <c r="I66" s="9">
        <v>80000</v>
      </c>
      <c r="J66" s="72">
        <v>55000</v>
      </c>
      <c r="K66" s="67">
        <f t="shared" si="0"/>
        <v>56714.285714285717</v>
      </c>
      <c r="M66" s="4"/>
      <c r="N66" s="4"/>
    </row>
    <row r="67" spans="1:14" ht="15.75" x14ac:dyDescent="0.25">
      <c r="A67" s="17">
        <v>18</v>
      </c>
      <c r="B67" s="60" t="s">
        <v>63</v>
      </c>
      <c r="C67" s="80"/>
      <c r="D67" s="24"/>
      <c r="E67" s="10"/>
      <c r="F67" s="22"/>
      <c r="G67" s="10"/>
      <c r="H67" s="10" t="s">
        <v>1</v>
      </c>
      <c r="I67" s="10"/>
      <c r="J67" s="77"/>
      <c r="K67" s="71"/>
      <c r="M67" s="4"/>
      <c r="N67" s="4"/>
    </row>
    <row r="68" spans="1:14" ht="15.75" x14ac:dyDescent="0.25">
      <c r="A68" s="17"/>
      <c r="B68" s="66" t="s">
        <v>64</v>
      </c>
      <c r="C68" s="17" t="s">
        <v>65</v>
      </c>
      <c r="D68" s="9">
        <v>20000</v>
      </c>
      <c r="E68" s="9">
        <v>18000</v>
      </c>
      <c r="F68" s="9">
        <v>18000</v>
      </c>
      <c r="G68" s="9">
        <v>18000</v>
      </c>
      <c r="H68" s="10" t="s">
        <v>99</v>
      </c>
      <c r="I68" s="9">
        <v>18000</v>
      </c>
      <c r="J68" s="79">
        <v>18000</v>
      </c>
      <c r="K68" s="67">
        <f t="shared" si="0"/>
        <v>18333.333333333332</v>
      </c>
      <c r="M68" s="4"/>
      <c r="N68" s="4"/>
    </row>
    <row r="69" spans="1:14" ht="15.75" x14ac:dyDescent="0.25">
      <c r="A69" s="101">
        <v>19</v>
      </c>
      <c r="B69" s="60" t="s">
        <v>66</v>
      </c>
      <c r="C69" s="60"/>
      <c r="D69" s="74"/>
      <c r="E69" s="17"/>
      <c r="F69" s="15"/>
      <c r="G69" s="15"/>
      <c r="H69" s="15"/>
      <c r="I69" s="15"/>
      <c r="J69" s="75"/>
      <c r="K69" s="71"/>
      <c r="M69" s="4"/>
      <c r="N69" s="4"/>
    </row>
    <row r="70" spans="1:14" ht="15.75" x14ac:dyDescent="0.25">
      <c r="A70" s="101"/>
      <c r="B70" s="66" t="s">
        <v>67</v>
      </c>
      <c r="C70" s="17" t="s">
        <v>6</v>
      </c>
      <c r="D70" s="9">
        <v>38000</v>
      </c>
      <c r="E70" s="9">
        <v>35000</v>
      </c>
      <c r="F70" s="9">
        <v>36000</v>
      </c>
      <c r="G70" s="9">
        <v>36000</v>
      </c>
      <c r="H70" s="9">
        <v>37000</v>
      </c>
      <c r="I70" s="9">
        <v>40000</v>
      </c>
      <c r="J70" s="72">
        <v>38000</v>
      </c>
      <c r="K70" s="67">
        <f t="shared" si="0"/>
        <v>37142.857142857145</v>
      </c>
      <c r="M70" s="4"/>
      <c r="N70" s="4"/>
    </row>
    <row r="71" spans="1:14" ht="15.75" x14ac:dyDescent="0.25">
      <c r="A71" s="101"/>
      <c r="B71" s="66" t="s">
        <v>68</v>
      </c>
      <c r="C71" s="17" t="s">
        <v>6</v>
      </c>
      <c r="D71" s="9">
        <v>34000</v>
      </c>
      <c r="E71" s="9">
        <v>32000</v>
      </c>
      <c r="F71" s="9">
        <v>33000</v>
      </c>
      <c r="G71" s="9">
        <v>32000</v>
      </c>
      <c r="H71" s="9">
        <v>34000</v>
      </c>
      <c r="I71" s="9">
        <v>32000</v>
      </c>
      <c r="J71" s="72">
        <v>32000</v>
      </c>
      <c r="K71" s="67">
        <f t="shared" si="0"/>
        <v>32714.285714285714</v>
      </c>
      <c r="M71" s="4"/>
      <c r="N71" s="4"/>
    </row>
    <row r="72" spans="1:14" ht="15.75" x14ac:dyDescent="0.25">
      <c r="A72" s="101"/>
      <c r="B72" s="66" t="s">
        <v>69</v>
      </c>
      <c r="C72" s="17" t="s">
        <v>6</v>
      </c>
      <c r="D72" s="9">
        <v>28000</v>
      </c>
      <c r="E72" s="9">
        <v>28000</v>
      </c>
      <c r="F72" s="9">
        <v>24000</v>
      </c>
      <c r="G72" s="9">
        <v>28000</v>
      </c>
      <c r="H72" s="9">
        <v>20000</v>
      </c>
      <c r="I72" s="9">
        <v>28000</v>
      </c>
      <c r="J72" s="72">
        <v>20000</v>
      </c>
      <c r="K72" s="67">
        <f t="shared" si="0"/>
        <v>25142.857142857141</v>
      </c>
      <c r="M72" s="4"/>
      <c r="N72" s="4"/>
    </row>
    <row r="73" spans="1:14" ht="15.75" x14ac:dyDescent="0.25">
      <c r="A73" s="101"/>
      <c r="B73" s="66" t="s">
        <v>70</v>
      </c>
      <c r="C73" s="17" t="s">
        <v>6</v>
      </c>
      <c r="D73" s="9">
        <v>28000</v>
      </c>
      <c r="E73" s="9">
        <v>25000</v>
      </c>
      <c r="F73" s="16">
        <v>28000</v>
      </c>
      <c r="G73" s="8">
        <v>30000</v>
      </c>
      <c r="H73" s="9">
        <v>25000</v>
      </c>
      <c r="I73" s="9">
        <v>35000</v>
      </c>
      <c r="J73" s="72">
        <v>28000</v>
      </c>
      <c r="K73" s="67">
        <f t="shared" si="0"/>
        <v>28428.571428571428</v>
      </c>
      <c r="M73" s="4"/>
      <c r="N73" s="4"/>
    </row>
    <row r="74" spans="1:14" ht="15.75" x14ac:dyDescent="0.25">
      <c r="A74" s="17">
        <v>20</v>
      </c>
      <c r="B74" s="60" t="s">
        <v>71</v>
      </c>
      <c r="C74" s="91"/>
      <c r="D74" s="24"/>
      <c r="E74" s="10"/>
      <c r="F74" s="10"/>
      <c r="G74" s="89"/>
      <c r="H74" s="10"/>
      <c r="I74" s="10"/>
      <c r="J74" s="90"/>
      <c r="K74" s="71"/>
      <c r="M74" s="4"/>
      <c r="N74" s="4"/>
    </row>
    <row r="75" spans="1:14" ht="15.75" x14ac:dyDescent="0.25">
      <c r="A75" s="17"/>
      <c r="B75" s="66" t="s">
        <v>72</v>
      </c>
      <c r="C75" s="86" t="s">
        <v>6</v>
      </c>
      <c r="D75" s="9">
        <v>7000</v>
      </c>
      <c r="E75" s="9">
        <v>7000</v>
      </c>
      <c r="F75" s="9">
        <v>5000</v>
      </c>
      <c r="G75" s="9">
        <v>6000</v>
      </c>
      <c r="H75" s="9">
        <v>5000</v>
      </c>
      <c r="I75" s="9">
        <v>5000</v>
      </c>
      <c r="J75" s="72">
        <v>5000</v>
      </c>
      <c r="K75" s="67">
        <f t="shared" si="0"/>
        <v>5714.2857142857147</v>
      </c>
      <c r="M75" s="4"/>
      <c r="N75" s="4"/>
    </row>
    <row r="76" spans="1:14" ht="15.75" x14ac:dyDescent="0.25">
      <c r="A76" s="17"/>
      <c r="B76" s="66" t="s">
        <v>73</v>
      </c>
      <c r="C76" s="86" t="s">
        <v>6</v>
      </c>
      <c r="D76" s="9">
        <v>7000</v>
      </c>
      <c r="E76" s="9">
        <v>6000</v>
      </c>
      <c r="F76" s="16">
        <v>6000</v>
      </c>
      <c r="G76" s="8">
        <v>6000</v>
      </c>
      <c r="H76" s="9">
        <v>5000</v>
      </c>
      <c r="I76" s="9">
        <v>6000</v>
      </c>
      <c r="J76" s="79">
        <v>6000</v>
      </c>
      <c r="K76" s="67">
        <f t="shared" si="0"/>
        <v>6000</v>
      </c>
      <c r="M76" s="4"/>
      <c r="N76" s="4"/>
    </row>
    <row r="77" spans="1:14" ht="15.75" x14ac:dyDescent="0.25">
      <c r="A77" s="17">
        <v>21</v>
      </c>
      <c r="B77" s="60" t="s">
        <v>74</v>
      </c>
      <c r="C77" s="91"/>
      <c r="D77" s="19"/>
      <c r="E77" s="10"/>
      <c r="F77" s="10"/>
      <c r="G77" s="22"/>
      <c r="H77" s="10"/>
      <c r="I77" s="10"/>
      <c r="J77" s="77"/>
      <c r="K77" s="71"/>
      <c r="M77" s="4"/>
      <c r="N77" s="4"/>
    </row>
    <row r="78" spans="1:14" ht="15.75" x14ac:dyDescent="0.25">
      <c r="A78" s="17"/>
      <c r="B78" s="66" t="s">
        <v>75</v>
      </c>
      <c r="C78" s="86" t="s">
        <v>6</v>
      </c>
      <c r="D78" s="9">
        <v>6000</v>
      </c>
      <c r="E78" s="9">
        <v>8000</v>
      </c>
      <c r="F78" s="9">
        <v>10000</v>
      </c>
      <c r="G78" s="9">
        <v>8000</v>
      </c>
      <c r="H78" s="9">
        <v>6000</v>
      </c>
      <c r="I78" s="16">
        <v>9000</v>
      </c>
      <c r="J78" s="72" t="s">
        <v>99</v>
      </c>
      <c r="K78" s="67">
        <f t="shared" si="0"/>
        <v>7833.333333333333</v>
      </c>
      <c r="M78" s="4"/>
      <c r="N78" s="4"/>
    </row>
    <row r="79" spans="1:14" ht="15.75" x14ac:dyDescent="0.25">
      <c r="A79" s="17"/>
      <c r="B79" s="66" t="s">
        <v>76</v>
      </c>
      <c r="C79" s="86" t="s">
        <v>6</v>
      </c>
      <c r="D79" s="9">
        <v>8000</v>
      </c>
      <c r="E79" s="9">
        <v>10000</v>
      </c>
      <c r="F79" s="9">
        <v>20000</v>
      </c>
      <c r="G79" s="9">
        <v>10000</v>
      </c>
      <c r="H79" s="9">
        <v>6000</v>
      </c>
      <c r="I79" s="16">
        <v>15000</v>
      </c>
      <c r="J79" s="72">
        <v>15000</v>
      </c>
      <c r="K79" s="67">
        <f t="shared" si="0"/>
        <v>12000</v>
      </c>
      <c r="M79" s="4"/>
      <c r="N79" s="4"/>
    </row>
    <row r="80" spans="1:14" ht="15.75" x14ac:dyDescent="0.25">
      <c r="A80" s="17"/>
      <c r="B80" s="66" t="s">
        <v>77</v>
      </c>
      <c r="C80" s="86" t="s">
        <v>6</v>
      </c>
      <c r="D80" s="9">
        <v>17000</v>
      </c>
      <c r="E80" s="9">
        <v>16000</v>
      </c>
      <c r="F80" s="9">
        <v>17000</v>
      </c>
      <c r="G80" s="9">
        <v>16000</v>
      </c>
      <c r="H80" s="9">
        <v>15000</v>
      </c>
      <c r="I80" s="9">
        <v>18000</v>
      </c>
      <c r="J80" s="72">
        <v>18000</v>
      </c>
      <c r="K80" s="67">
        <f t="shared" si="0"/>
        <v>16714.285714285714</v>
      </c>
      <c r="M80" s="4"/>
      <c r="N80" s="4"/>
    </row>
    <row r="81" spans="1:14" ht="15.75" x14ac:dyDescent="0.25">
      <c r="A81" s="17"/>
      <c r="B81" s="66" t="s">
        <v>78</v>
      </c>
      <c r="C81" s="86" t="s">
        <v>6</v>
      </c>
      <c r="D81" s="9">
        <v>18000</v>
      </c>
      <c r="E81" s="9">
        <v>15000</v>
      </c>
      <c r="F81" s="9">
        <v>10000</v>
      </c>
      <c r="G81" s="9">
        <v>18000</v>
      </c>
      <c r="H81" s="9">
        <v>16000</v>
      </c>
      <c r="I81" s="8">
        <v>20000</v>
      </c>
      <c r="J81" s="72">
        <v>20000</v>
      </c>
      <c r="K81" s="67">
        <f t="shared" ref="K81:K88" si="1">AVERAGE(D81:J81)</f>
        <v>16714.285714285714</v>
      </c>
      <c r="M81" s="4"/>
      <c r="N81" s="4"/>
    </row>
    <row r="82" spans="1:14" ht="15.75" x14ac:dyDescent="0.25">
      <c r="A82" s="17"/>
      <c r="B82" s="66" t="s">
        <v>79</v>
      </c>
      <c r="C82" s="86" t="s">
        <v>6</v>
      </c>
      <c r="D82" s="9">
        <v>14000</v>
      </c>
      <c r="E82" s="9">
        <v>12000</v>
      </c>
      <c r="F82" s="9">
        <v>14000</v>
      </c>
      <c r="G82" s="9">
        <v>12000</v>
      </c>
      <c r="H82" s="9">
        <v>10000</v>
      </c>
      <c r="I82" s="9">
        <v>16000</v>
      </c>
      <c r="J82" s="72">
        <v>12000</v>
      </c>
      <c r="K82" s="67">
        <f t="shared" si="1"/>
        <v>12857.142857142857</v>
      </c>
      <c r="M82" s="4"/>
      <c r="N82" s="4"/>
    </row>
    <row r="83" spans="1:14" ht="15.75" x14ac:dyDescent="0.25">
      <c r="A83" s="17"/>
      <c r="B83" s="66" t="s">
        <v>80</v>
      </c>
      <c r="C83" s="86" t="s">
        <v>6</v>
      </c>
      <c r="D83" s="9">
        <v>9000</v>
      </c>
      <c r="E83" s="9">
        <v>8000</v>
      </c>
      <c r="F83" s="16">
        <v>9000</v>
      </c>
      <c r="G83" s="8">
        <v>8000</v>
      </c>
      <c r="H83" s="9">
        <v>7000</v>
      </c>
      <c r="I83" s="16">
        <v>9000</v>
      </c>
      <c r="J83" s="72">
        <v>8000</v>
      </c>
      <c r="K83" s="67">
        <f t="shared" si="1"/>
        <v>8285.7142857142862</v>
      </c>
      <c r="M83" s="4"/>
      <c r="N83" s="4"/>
    </row>
    <row r="84" spans="1:14" ht="15.75" x14ac:dyDescent="0.25">
      <c r="A84" s="17"/>
      <c r="B84" s="66" t="s">
        <v>81</v>
      </c>
      <c r="C84" s="86" t="s">
        <v>82</v>
      </c>
      <c r="D84" s="9">
        <v>2000</v>
      </c>
      <c r="E84" s="9">
        <v>1500</v>
      </c>
      <c r="F84" s="9">
        <v>2000</v>
      </c>
      <c r="G84" s="8">
        <v>2000</v>
      </c>
      <c r="H84" s="9">
        <v>1500</v>
      </c>
      <c r="I84" s="9">
        <v>2000</v>
      </c>
      <c r="J84" s="79">
        <v>1500</v>
      </c>
      <c r="K84" s="67">
        <f t="shared" si="1"/>
        <v>1785.7142857142858</v>
      </c>
      <c r="M84" s="4"/>
      <c r="N84" s="4"/>
    </row>
    <row r="85" spans="1:14" ht="15.75" x14ac:dyDescent="0.25">
      <c r="A85" s="17"/>
      <c r="B85" s="66" t="s">
        <v>83</v>
      </c>
      <c r="C85" s="86" t="s">
        <v>82</v>
      </c>
      <c r="D85" s="9">
        <v>1500</v>
      </c>
      <c r="E85" s="9">
        <v>1500</v>
      </c>
      <c r="F85" s="9">
        <v>1500</v>
      </c>
      <c r="G85" s="8">
        <v>2000</v>
      </c>
      <c r="H85" s="9">
        <v>1500</v>
      </c>
      <c r="I85" s="9">
        <v>1500</v>
      </c>
      <c r="J85" s="79">
        <v>1000</v>
      </c>
      <c r="K85" s="67">
        <f t="shared" si="1"/>
        <v>1500</v>
      </c>
      <c r="M85" s="4"/>
      <c r="N85" s="4"/>
    </row>
    <row r="86" spans="1:14" ht="15.75" x14ac:dyDescent="0.25">
      <c r="A86" s="17"/>
      <c r="B86" s="66" t="s">
        <v>84</v>
      </c>
      <c r="C86" s="86" t="s">
        <v>82</v>
      </c>
      <c r="D86" s="9" t="s">
        <v>99</v>
      </c>
      <c r="E86" s="9">
        <v>2000</v>
      </c>
      <c r="F86" s="9" t="s">
        <v>99</v>
      </c>
      <c r="G86" s="8" t="s">
        <v>99</v>
      </c>
      <c r="H86" s="9">
        <v>2500</v>
      </c>
      <c r="I86" s="9" t="s">
        <v>99</v>
      </c>
      <c r="J86" s="79">
        <v>2000</v>
      </c>
      <c r="K86" s="67">
        <f t="shared" si="1"/>
        <v>2166.6666666666665</v>
      </c>
      <c r="M86" s="4"/>
      <c r="N86" s="4"/>
    </row>
    <row r="87" spans="1:14" ht="15.75" x14ac:dyDescent="0.25">
      <c r="A87" s="17">
        <v>22</v>
      </c>
      <c r="B87" s="60" t="s">
        <v>85</v>
      </c>
      <c r="C87" s="91"/>
      <c r="D87" s="22"/>
      <c r="E87" s="10"/>
      <c r="F87" s="10" t="s">
        <v>102</v>
      </c>
      <c r="G87" s="22"/>
      <c r="H87" s="10"/>
      <c r="I87" s="10"/>
      <c r="J87" s="77"/>
      <c r="K87" s="71"/>
      <c r="L87" s="4"/>
      <c r="M87" s="4"/>
      <c r="N87" s="4"/>
    </row>
    <row r="88" spans="1:14" x14ac:dyDescent="0.25">
      <c r="A88" s="17"/>
      <c r="B88" s="66" t="s">
        <v>86</v>
      </c>
      <c r="C88" s="86" t="s">
        <v>87</v>
      </c>
      <c r="D88" s="9" t="s">
        <v>99</v>
      </c>
      <c r="E88" s="9" t="s">
        <v>99</v>
      </c>
      <c r="F88" s="9">
        <v>18000</v>
      </c>
      <c r="G88" s="8">
        <v>17000</v>
      </c>
      <c r="H88" s="10" t="s">
        <v>99</v>
      </c>
      <c r="I88" s="16">
        <v>18000</v>
      </c>
      <c r="J88" s="79">
        <v>18000</v>
      </c>
      <c r="K88" s="67">
        <f t="shared" si="1"/>
        <v>17750</v>
      </c>
    </row>
  </sheetData>
  <mergeCells count="28">
    <mergeCell ref="A52:A53"/>
    <mergeCell ref="A54:A55"/>
    <mergeCell ref="A56:A60"/>
    <mergeCell ref="A63:A66"/>
    <mergeCell ref="A69:A73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26:A32"/>
    <mergeCell ref="A33:A35"/>
    <mergeCell ref="A43:A45"/>
    <mergeCell ref="A46:A48"/>
    <mergeCell ref="A7:A12"/>
    <mergeCell ref="A13:A15"/>
    <mergeCell ref="A16:A17"/>
    <mergeCell ref="A19:A20"/>
    <mergeCell ref="A21:A25"/>
  </mergeCells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D9E29-D71B-4EA1-B164-A45408D8F168}">
  <dimension ref="A1:N88"/>
  <sheetViews>
    <sheetView workbookViewId="0">
      <selection activeCell="A7" sqref="A7:K88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02" t="s">
        <v>88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M1" s="4"/>
      <c r="N1" s="4"/>
    </row>
    <row r="2" spans="1:14" ht="27.75" customHeight="1" x14ac:dyDescent="0.25">
      <c r="A2" s="103" t="s">
        <v>89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M2" s="4"/>
      <c r="N2" s="4"/>
    </row>
    <row r="3" spans="1:14" ht="27.75" customHeight="1" thickBot="1" x14ac:dyDescent="0.3">
      <c r="A3" s="104" t="s">
        <v>150</v>
      </c>
      <c r="B3" s="104"/>
      <c r="C3" s="104"/>
      <c r="D3" s="104"/>
      <c r="E3" s="104"/>
      <c r="F3" s="104"/>
      <c r="G3" s="104"/>
      <c r="H3" s="104"/>
      <c r="I3" s="104"/>
      <c r="J3" s="104"/>
      <c r="K3" s="105"/>
      <c r="M3" s="4"/>
      <c r="N3" s="4"/>
    </row>
    <row r="4" spans="1:14" ht="25.5" customHeight="1" x14ac:dyDescent="0.25">
      <c r="A4" s="96" t="s">
        <v>1</v>
      </c>
      <c r="B4" s="99" t="s">
        <v>2</v>
      </c>
      <c r="C4" s="96" t="s">
        <v>90</v>
      </c>
      <c r="D4" s="110" t="s">
        <v>91</v>
      </c>
      <c r="E4" s="113" t="s">
        <v>92</v>
      </c>
      <c r="F4" s="125" t="s">
        <v>93</v>
      </c>
      <c r="G4" s="128" t="s">
        <v>94</v>
      </c>
      <c r="H4" s="147" t="s">
        <v>95</v>
      </c>
      <c r="I4" s="119" t="s">
        <v>96</v>
      </c>
      <c r="J4" s="106" t="s">
        <v>97</v>
      </c>
      <c r="K4" s="122" t="s">
        <v>98</v>
      </c>
      <c r="M4" s="4"/>
      <c r="N4" s="4"/>
    </row>
    <row r="5" spans="1:14" ht="15" customHeight="1" x14ac:dyDescent="0.25">
      <c r="A5" s="97"/>
      <c r="B5" s="100"/>
      <c r="C5" s="97"/>
      <c r="D5" s="111"/>
      <c r="E5" s="114"/>
      <c r="F5" s="126"/>
      <c r="G5" s="129"/>
      <c r="H5" s="148"/>
      <c r="I5" s="120"/>
      <c r="J5" s="107"/>
      <c r="K5" s="123"/>
      <c r="M5" s="4"/>
      <c r="N5" s="4"/>
    </row>
    <row r="6" spans="1:14" ht="16.5" thickBot="1" x14ac:dyDescent="0.3">
      <c r="A6" s="98"/>
      <c r="B6" s="109"/>
      <c r="C6" s="98"/>
      <c r="D6" s="112"/>
      <c r="E6" s="115"/>
      <c r="F6" s="127"/>
      <c r="G6" s="130"/>
      <c r="H6" s="149"/>
      <c r="I6" s="121"/>
      <c r="J6" s="108"/>
      <c r="K6" s="124"/>
      <c r="M6" s="4"/>
      <c r="N6" s="4"/>
    </row>
    <row r="7" spans="1:14" ht="15.75" x14ac:dyDescent="0.25">
      <c r="A7" s="101">
        <v>1</v>
      </c>
      <c r="B7" s="60" t="s">
        <v>4</v>
      </c>
      <c r="C7" s="61"/>
      <c r="D7" s="62"/>
      <c r="E7" s="17" t="s">
        <v>102</v>
      </c>
      <c r="F7" s="17"/>
      <c r="G7" s="63"/>
      <c r="H7" s="63" t="s">
        <v>1</v>
      </c>
      <c r="I7" s="64"/>
      <c r="J7" s="63"/>
      <c r="K7" s="65"/>
      <c r="M7" s="4"/>
      <c r="N7" s="4"/>
    </row>
    <row r="8" spans="1:14" ht="15.75" x14ac:dyDescent="0.25">
      <c r="A8" s="101"/>
      <c r="B8" s="66" t="s">
        <v>107</v>
      </c>
      <c r="C8" s="17" t="s">
        <v>6</v>
      </c>
      <c r="D8" s="9">
        <v>15500</v>
      </c>
      <c r="E8" s="9">
        <v>15500</v>
      </c>
      <c r="F8" s="9">
        <v>15500</v>
      </c>
      <c r="G8" s="9">
        <v>15500</v>
      </c>
      <c r="H8" s="9">
        <v>17000</v>
      </c>
      <c r="I8" s="9">
        <v>17000</v>
      </c>
      <c r="J8" s="16">
        <v>17000</v>
      </c>
      <c r="K8" s="67">
        <f>AVERAGE(D8:J8)</f>
        <v>16142.857142857143</v>
      </c>
      <c r="L8" s="1"/>
      <c r="M8" s="7"/>
      <c r="N8" s="4"/>
    </row>
    <row r="9" spans="1:14" ht="15.75" x14ac:dyDescent="0.25">
      <c r="A9" s="101"/>
      <c r="B9" s="66" t="s">
        <v>115</v>
      </c>
      <c r="C9" s="17" t="s">
        <v>6</v>
      </c>
      <c r="D9" s="9">
        <v>10900</v>
      </c>
      <c r="E9" s="9">
        <v>10900</v>
      </c>
      <c r="F9" s="9">
        <v>10900</v>
      </c>
      <c r="G9" s="8">
        <v>10900</v>
      </c>
      <c r="H9" s="9" t="s">
        <v>99</v>
      </c>
      <c r="I9" s="9" t="s">
        <v>99</v>
      </c>
      <c r="J9" s="16" t="s">
        <v>99</v>
      </c>
      <c r="K9" s="67">
        <f t="shared" ref="K9:K80" si="0">AVERAGE(D9:J9)</f>
        <v>10900</v>
      </c>
      <c r="M9" s="4"/>
      <c r="N9" s="4"/>
    </row>
    <row r="10" spans="1:14" ht="15.75" x14ac:dyDescent="0.25">
      <c r="A10" s="101"/>
      <c r="B10" s="66" t="s">
        <v>108</v>
      </c>
      <c r="C10" s="17" t="s">
        <v>6</v>
      </c>
      <c r="D10" s="9" t="s">
        <v>99</v>
      </c>
      <c r="E10" s="9" t="s">
        <v>99</v>
      </c>
      <c r="F10" s="9" t="s">
        <v>99</v>
      </c>
      <c r="G10" s="8" t="s">
        <v>99</v>
      </c>
      <c r="H10" s="9">
        <v>13000</v>
      </c>
      <c r="I10" s="9" t="s">
        <v>99</v>
      </c>
      <c r="J10" s="16" t="s">
        <v>99</v>
      </c>
      <c r="K10" s="67">
        <f t="shared" si="0"/>
        <v>13000</v>
      </c>
      <c r="M10" s="4"/>
      <c r="N10" s="4"/>
    </row>
    <row r="11" spans="1:14" ht="15.75" x14ac:dyDescent="0.25">
      <c r="A11" s="101"/>
      <c r="B11" s="66" t="s">
        <v>9</v>
      </c>
      <c r="C11" s="17" t="s">
        <v>6</v>
      </c>
      <c r="D11" s="9" t="s">
        <v>99</v>
      </c>
      <c r="E11" s="9">
        <v>10000</v>
      </c>
      <c r="F11" s="16">
        <v>12000</v>
      </c>
      <c r="G11" s="8">
        <v>10000</v>
      </c>
      <c r="H11" s="9">
        <v>10000</v>
      </c>
      <c r="I11" s="16">
        <v>12000</v>
      </c>
      <c r="J11" s="16">
        <v>10000</v>
      </c>
      <c r="K11" s="67">
        <f>AVERAGE(D11:J11)</f>
        <v>10666.666666666666</v>
      </c>
      <c r="M11" s="4"/>
      <c r="N11" s="4"/>
    </row>
    <row r="12" spans="1:14" ht="15.75" x14ac:dyDescent="0.25">
      <c r="A12" s="101"/>
      <c r="B12" s="66" t="s">
        <v>10</v>
      </c>
      <c r="C12" s="17" t="s">
        <v>6</v>
      </c>
      <c r="D12" s="9" t="s">
        <v>99</v>
      </c>
      <c r="E12" s="9">
        <v>21000</v>
      </c>
      <c r="F12" s="16">
        <v>16000</v>
      </c>
      <c r="G12" s="8">
        <v>18000</v>
      </c>
      <c r="H12" s="9">
        <v>25000</v>
      </c>
      <c r="I12" s="16">
        <v>17000</v>
      </c>
      <c r="J12" s="16">
        <v>17000</v>
      </c>
      <c r="K12" s="67">
        <f t="shared" si="0"/>
        <v>19000</v>
      </c>
      <c r="M12" s="4"/>
      <c r="N12" s="12"/>
    </row>
    <row r="13" spans="1:14" ht="15.75" x14ac:dyDescent="0.25">
      <c r="A13" s="101">
        <v>2</v>
      </c>
      <c r="B13" s="60" t="s">
        <v>11</v>
      </c>
      <c r="C13" s="68"/>
      <c r="D13" s="62"/>
      <c r="E13" s="92"/>
      <c r="F13" s="17"/>
      <c r="G13" s="70"/>
      <c r="H13" s="70"/>
      <c r="I13" s="70"/>
      <c r="J13" s="70"/>
      <c r="K13" s="71"/>
      <c r="M13" s="4"/>
      <c r="N13" s="4"/>
    </row>
    <row r="14" spans="1:14" ht="15.75" x14ac:dyDescent="0.25">
      <c r="A14" s="101"/>
      <c r="B14" s="66" t="s">
        <v>116</v>
      </c>
      <c r="C14" s="17" t="s">
        <v>6</v>
      </c>
      <c r="D14" s="9">
        <v>16000</v>
      </c>
      <c r="E14" s="9">
        <v>16500</v>
      </c>
      <c r="F14" s="9">
        <v>17000</v>
      </c>
      <c r="G14" s="16">
        <v>16000</v>
      </c>
      <c r="H14" s="9">
        <v>16500</v>
      </c>
      <c r="I14" s="9">
        <v>16500</v>
      </c>
      <c r="J14" s="72">
        <v>17000</v>
      </c>
      <c r="K14" s="67">
        <f t="shared" si="0"/>
        <v>16500</v>
      </c>
      <c r="M14" s="4"/>
      <c r="N14" s="4"/>
    </row>
    <row r="15" spans="1:14" ht="15.75" x14ac:dyDescent="0.25">
      <c r="A15" s="101"/>
      <c r="B15" s="66" t="s">
        <v>13</v>
      </c>
      <c r="C15" s="17" t="s">
        <v>6</v>
      </c>
      <c r="D15" s="9">
        <v>17000</v>
      </c>
      <c r="E15" s="9">
        <v>16000</v>
      </c>
      <c r="F15" s="16">
        <v>16000</v>
      </c>
      <c r="G15" s="8">
        <v>16000</v>
      </c>
      <c r="H15" s="9">
        <v>17000</v>
      </c>
      <c r="I15" s="9">
        <v>18000</v>
      </c>
      <c r="J15" s="72">
        <v>18000</v>
      </c>
      <c r="K15" s="67">
        <f>AVERAGE(D15:J15)</f>
        <v>16857.142857142859</v>
      </c>
      <c r="M15" s="4"/>
      <c r="N15" s="4"/>
    </row>
    <row r="16" spans="1:14" ht="15.75" x14ac:dyDescent="0.25">
      <c r="A16" s="101">
        <v>3</v>
      </c>
      <c r="B16" s="60" t="s">
        <v>14</v>
      </c>
      <c r="C16" s="73"/>
      <c r="D16" s="74"/>
      <c r="E16" s="15"/>
      <c r="F16" s="15"/>
      <c r="G16" s="15"/>
      <c r="H16" s="15"/>
      <c r="I16" s="15" t="s">
        <v>130</v>
      </c>
      <c r="J16" s="75"/>
      <c r="K16" s="71"/>
      <c r="M16" s="4"/>
      <c r="N16" s="4"/>
    </row>
    <row r="17" spans="1:14" ht="15.75" x14ac:dyDescent="0.25">
      <c r="A17" s="101"/>
      <c r="B17" s="66" t="s">
        <v>15</v>
      </c>
      <c r="C17" s="17" t="s">
        <v>6</v>
      </c>
      <c r="D17" s="9">
        <v>15000</v>
      </c>
      <c r="E17" s="9">
        <v>15000</v>
      </c>
      <c r="F17" s="9">
        <v>16000</v>
      </c>
      <c r="G17" s="9">
        <v>15000</v>
      </c>
      <c r="H17" s="9">
        <v>16000</v>
      </c>
      <c r="I17" s="9">
        <v>16000</v>
      </c>
      <c r="J17" s="72">
        <v>16500</v>
      </c>
      <c r="K17" s="67">
        <f t="shared" si="0"/>
        <v>15642.857142857143</v>
      </c>
      <c r="M17" s="4"/>
      <c r="N17" s="4"/>
    </row>
    <row r="18" spans="1:14" ht="15.75" x14ac:dyDescent="0.25">
      <c r="A18" s="59"/>
      <c r="B18" s="66" t="s">
        <v>109</v>
      </c>
      <c r="C18" s="17" t="s">
        <v>110</v>
      </c>
      <c r="D18" s="9">
        <v>14000</v>
      </c>
      <c r="E18" s="9">
        <v>14000</v>
      </c>
      <c r="F18" s="9">
        <v>14000</v>
      </c>
      <c r="G18" s="9">
        <v>14000</v>
      </c>
      <c r="H18" s="9" t="s">
        <v>99</v>
      </c>
      <c r="I18" s="9">
        <v>14000</v>
      </c>
      <c r="J18" s="72">
        <v>14000</v>
      </c>
      <c r="K18" s="67">
        <f t="shared" si="0"/>
        <v>14000</v>
      </c>
      <c r="M18" s="4"/>
      <c r="N18" s="4"/>
    </row>
    <row r="19" spans="1:14" ht="17.25" customHeight="1" x14ac:dyDescent="0.25">
      <c r="A19" s="101">
        <v>4</v>
      </c>
      <c r="B19" s="60" t="s">
        <v>16</v>
      </c>
      <c r="C19" s="73"/>
      <c r="D19" s="74"/>
      <c r="E19" s="15"/>
      <c r="F19" s="15"/>
      <c r="G19" s="76"/>
      <c r="H19" s="15"/>
      <c r="I19" s="15"/>
      <c r="J19" s="75"/>
      <c r="K19" s="71"/>
      <c r="M19" s="4"/>
      <c r="N19" s="4"/>
    </row>
    <row r="20" spans="1:14" ht="15.75" x14ac:dyDescent="0.25">
      <c r="A20" s="101"/>
      <c r="B20" s="66" t="s">
        <v>17</v>
      </c>
      <c r="C20" s="17" t="s">
        <v>6</v>
      </c>
      <c r="D20" s="9">
        <v>20000</v>
      </c>
      <c r="E20" s="9">
        <v>20000</v>
      </c>
      <c r="F20" s="16">
        <v>20000</v>
      </c>
      <c r="G20" s="8">
        <v>22000</v>
      </c>
      <c r="H20" s="16">
        <v>33000</v>
      </c>
      <c r="I20" s="16">
        <v>20000</v>
      </c>
      <c r="J20" s="77" t="s">
        <v>99</v>
      </c>
      <c r="K20" s="67">
        <f t="shared" si="0"/>
        <v>22500</v>
      </c>
      <c r="M20" s="4"/>
      <c r="N20" s="4"/>
    </row>
    <row r="21" spans="1:14" ht="15.75" x14ac:dyDescent="0.25">
      <c r="A21" s="101">
        <v>5</v>
      </c>
      <c r="B21" s="60" t="s">
        <v>18</v>
      </c>
      <c r="C21" s="73"/>
      <c r="D21" s="74"/>
      <c r="E21" s="17"/>
      <c r="F21" s="15" t="s">
        <v>1</v>
      </c>
      <c r="G21" s="76"/>
      <c r="H21" s="15"/>
      <c r="I21" s="15"/>
      <c r="J21" s="75"/>
      <c r="K21" s="71"/>
      <c r="M21" s="4"/>
      <c r="N21" s="4"/>
    </row>
    <row r="22" spans="1:14" ht="15.75" x14ac:dyDescent="0.25">
      <c r="A22" s="101"/>
      <c r="B22" s="66" t="s">
        <v>19</v>
      </c>
      <c r="C22" s="17" t="s">
        <v>6</v>
      </c>
      <c r="D22" s="9">
        <v>120000</v>
      </c>
      <c r="E22" s="9">
        <v>120000</v>
      </c>
      <c r="F22" s="9">
        <v>120000</v>
      </c>
      <c r="G22" s="9">
        <v>120000</v>
      </c>
      <c r="H22" s="9">
        <v>120000</v>
      </c>
      <c r="I22" s="8">
        <v>120000</v>
      </c>
      <c r="J22" s="72" t="s">
        <v>99</v>
      </c>
      <c r="K22" s="67">
        <f t="shared" si="0"/>
        <v>120000</v>
      </c>
      <c r="M22" s="4"/>
      <c r="N22" s="4"/>
    </row>
    <row r="23" spans="1:14" ht="15.75" x14ac:dyDescent="0.25">
      <c r="A23" s="101"/>
      <c r="B23" s="66" t="s">
        <v>20</v>
      </c>
      <c r="C23" s="17" t="s">
        <v>6</v>
      </c>
      <c r="D23" s="9">
        <v>110000</v>
      </c>
      <c r="E23" s="9">
        <v>110000</v>
      </c>
      <c r="F23" s="9">
        <v>110000</v>
      </c>
      <c r="G23" s="9">
        <v>110000</v>
      </c>
      <c r="H23" s="9">
        <v>115000</v>
      </c>
      <c r="I23" s="9">
        <v>110000</v>
      </c>
      <c r="J23" s="72">
        <v>110000</v>
      </c>
      <c r="K23" s="67">
        <f t="shared" si="0"/>
        <v>110714.28571428571</v>
      </c>
      <c r="M23" s="4"/>
      <c r="N23" s="4"/>
    </row>
    <row r="24" spans="1:14" ht="15.75" x14ac:dyDescent="0.25">
      <c r="A24" s="101"/>
      <c r="B24" s="66" t="s">
        <v>21</v>
      </c>
      <c r="C24" s="17" t="s">
        <v>6</v>
      </c>
      <c r="D24" s="9">
        <v>90000</v>
      </c>
      <c r="E24" s="9">
        <v>90000</v>
      </c>
      <c r="F24" s="9">
        <v>100000</v>
      </c>
      <c r="G24" s="9">
        <v>105000</v>
      </c>
      <c r="H24" s="9">
        <v>110000</v>
      </c>
      <c r="I24" s="8">
        <v>100000</v>
      </c>
      <c r="J24" s="72">
        <v>105000</v>
      </c>
      <c r="K24" s="67">
        <f t="shared" si="0"/>
        <v>100000</v>
      </c>
      <c r="M24" s="4"/>
      <c r="N24" s="4"/>
    </row>
    <row r="25" spans="1:14" ht="15.75" x14ac:dyDescent="0.25">
      <c r="A25" s="101"/>
      <c r="B25" s="66" t="s">
        <v>22</v>
      </c>
      <c r="C25" s="17" t="s">
        <v>6</v>
      </c>
      <c r="D25" s="9">
        <v>34000</v>
      </c>
      <c r="E25" s="9">
        <v>31000</v>
      </c>
      <c r="F25" s="9">
        <v>32000</v>
      </c>
      <c r="G25" s="9">
        <v>32000</v>
      </c>
      <c r="H25" s="72">
        <v>33000</v>
      </c>
      <c r="I25" s="9">
        <v>35000</v>
      </c>
      <c r="J25" s="72">
        <v>34000</v>
      </c>
      <c r="K25" s="67">
        <f t="shared" si="0"/>
        <v>33000</v>
      </c>
      <c r="M25" s="4"/>
      <c r="N25" s="4"/>
    </row>
    <row r="26" spans="1:14" ht="15.75" x14ac:dyDescent="0.25">
      <c r="A26" s="101">
        <v>6</v>
      </c>
      <c r="B26" s="60" t="s">
        <v>23</v>
      </c>
      <c r="C26" s="73"/>
      <c r="D26" s="74"/>
      <c r="E26" s="17"/>
      <c r="F26" s="76"/>
      <c r="G26" s="15"/>
      <c r="H26" s="75"/>
      <c r="I26" s="15"/>
      <c r="J26" s="75"/>
      <c r="K26" s="71"/>
      <c r="M26" s="4"/>
      <c r="N26" s="4"/>
    </row>
    <row r="27" spans="1:14" ht="15.75" x14ac:dyDescent="0.25">
      <c r="A27" s="101"/>
      <c r="B27" s="66" t="s">
        <v>24</v>
      </c>
      <c r="C27" s="17" t="s">
        <v>6</v>
      </c>
      <c r="D27" s="9">
        <v>32000</v>
      </c>
      <c r="E27" s="9">
        <v>35000</v>
      </c>
      <c r="F27" s="9" t="s">
        <v>99</v>
      </c>
      <c r="G27" s="9">
        <v>40000</v>
      </c>
      <c r="H27" s="9">
        <v>28000</v>
      </c>
      <c r="I27" s="9" t="s">
        <v>99</v>
      </c>
      <c r="J27" s="72">
        <v>30000</v>
      </c>
      <c r="K27" s="67">
        <f t="shared" si="0"/>
        <v>33000</v>
      </c>
      <c r="L27" t="s">
        <v>100</v>
      </c>
      <c r="M27" s="4"/>
      <c r="N27" s="4"/>
    </row>
    <row r="28" spans="1:14" ht="15.75" x14ac:dyDescent="0.25">
      <c r="A28" s="101"/>
      <c r="B28" s="66" t="s">
        <v>25</v>
      </c>
      <c r="C28" s="17" t="s">
        <v>6</v>
      </c>
      <c r="D28" s="9">
        <v>30000</v>
      </c>
      <c r="E28" s="9">
        <v>28000</v>
      </c>
      <c r="F28" s="9">
        <v>35000</v>
      </c>
      <c r="G28" s="8">
        <v>30000</v>
      </c>
      <c r="H28" s="9">
        <v>22000</v>
      </c>
      <c r="I28" s="9">
        <v>26000</v>
      </c>
      <c r="J28" s="78">
        <v>30000</v>
      </c>
      <c r="K28" s="67">
        <f t="shared" si="0"/>
        <v>28714.285714285714</v>
      </c>
      <c r="M28" s="4"/>
      <c r="N28" s="4"/>
    </row>
    <row r="29" spans="1:14" ht="15.75" x14ac:dyDescent="0.25">
      <c r="A29" s="101"/>
      <c r="B29" s="66" t="s">
        <v>26</v>
      </c>
      <c r="C29" s="17" t="s">
        <v>6</v>
      </c>
      <c r="D29" s="9">
        <v>60000</v>
      </c>
      <c r="E29" s="9">
        <v>60000</v>
      </c>
      <c r="F29" s="16">
        <v>60000</v>
      </c>
      <c r="G29" s="8">
        <v>70000</v>
      </c>
      <c r="H29" s="9">
        <v>65000</v>
      </c>
      <c r="I29" s="9">
        <v>60000</v>
      </c>
      <c r="J29" s="79">
        <v>60000</v>
      </c>
      <c r="K29" s="67">
        <f t="shared" si="0"/>
        <v>62142.857142857145</v>
      </c>
      <c r="M29" s="4"/>
      <c r="N29" s="4"/>
    </row>
    <row r="30" spans="1:14" ht="15.75" x14ac:dyDescent="0.25">
      <c r="A30" s="101"/>
      <c r="B30" s="66" t="s">
        <v>27</v>
      </c>
      <c r="C30" s="17" t="s">
        <v>6</v>
      </c>
      <c r="D30" s="9">
        <v>25000</v>
      </c>
      <c r="E30" s="9" t="s">
        <v>99</v>
      </c>
      <c r="F30" s="10" t="s">
        <v>99</v>
      </c>
      <c r="G30" s="8">
        <v>25000</v>
      </c>
      <c r="H30" s="9">
        <v>23000</v>
      </c>
      <c r="I30" s="9" t="s">
        <v>99</v>
      </c>
      <c r="J30" s="79">
        <v>26000</v>
      </c>
      <c r="K30" s="67">
        <f t="shared" si="0"/>
        <v>24750</v>
      </c>
      <c r="M30" s="4"/>
      <c r="N30" s="4"/>
    </row>
    <row r="31" spans="1:14" ht="15.75" x14ac:dyDescent="0.25">
      <c r="A31" s="101"/>
      <c r="B31" s="66" t="s">
        <v>28</v>
      </c>
      <c r="C31" s="17" t="s">
        <v>6</v>
      </c>
      <c r="D31" s="9">
        <v>32000</v>
      </c>
      <c r="E31" s="9">
        <v>36000</v>
      </c>
      <c r="F31" s="9">
        <v>40000</v>
      </c>
      <c r="G31" s="9">
        <v>40000</v>
      </c>
      <c r="H31" s="9">
        <v>28000</v>
      </c>
      <c r="I31" s="9">
        <v>40000</v>
      </c>
      <c r="J31" s="72">
        <v>35000</v>
      </c>
      <c r="K31" s="67">
        <f t="shared" si="0"/>
        <v>35857.142857142855</v>
      </c>
      <c r="M31" s="4"/>
      <c r="N31" s="4"/>
    </row>
    <row r="32" spans="1:14" ht="15.75" x14ac:dyDescent="0.25">
      <c r="A32" s="101"/>
      <c r="B32" s="66" t="s">
        <v>29</v>
      </c>
      <c r="C32" s="17" t="s">
        <v>6</v>
      </c>
      <c r="D32" s="9" t="s">
        <v>99</v>
      </c>
      <c r="E32" s="9">
        <v>100000</v>
      </c>
      <c r="F32" s="9">
        <v>100000</v>
      </c>
      <c r="G32" s="9" t="s">
        <v>99</v>
      </c>
      <c r="H32" s="9">
        <v>80000</v>
      </c>
      <c r="I32" s="9">
        <v>100000</v>
      </c>
      <c r="J32" s="79">
        <v>70000</v>
      </c>
      <c r="K32" s="67">
        <f t="shared" si="0"/>
        <v>90000</v>
      </c>
      <c r="M32" s="4"/>
      <c r="N32" s="4"/>
    </row>
    <row r="33" spans="1:14" ht="15.75" x14ac:dyDescent="0.25">
      <c r="A33" s="101">
        <v>7</v>
      </c>
      <c r="B33" s="60" t="s">
        <v>30</v>
      </c>
      <c r="C33" s="73"/>
      <c r="D33" s="74"/>
      <c r="E33" s="17"/>
      <c r="F33" s="76"/>
      <c r="G33" s="76"/>
      <c r="H33" s="15"/>
      <c r="I33" s="15"/>
      <c r="J33" s="75"/>
      <c r="K33" s="71"/>
      <c r="M33" s="4"/>
      <c r="N33" s="4"/>
    </row>
    <row r="34" spans="1:14" ht="15.75" x14ac:dyDescent="0.25">
      <c r="A34" s="101"/>
      <c r="B34" s="66" t="s">
        <v>31</v>
      </c>
      <c r="C34" s="17" t="s">
        <v>6</v>
      </c>
      <c r="D34" s="9">
        <v>28000</v>
      </c>
      <c r="E34" s="9">
        <v>27000</v>
      </c>
      <c r="F34" s="9">
        <v>28000</v>
      </c>
      <c r="G34" s="9">
        <v>27000</v>
      </c>
      <c r="H34" s="9">
        <v>29000</v>
      </c>
      <c r="I34" s="9">
        <v>27000</v>
      </c>
      <c r="J34" s="72">
        <v>29500</v>
      </c>
      <c r="K34" s="67">
        <f t="shared" si="0"/>
        <v>27928.571428571428</v>
      </c>
      <c r="M34" s="4"/>
      <c r="N34" s="4"/>
    </row>
    <row r="35" spans="1:14" ht="15.75" x14ac:dyDescent="0.25">
      <c r="A35" s="101"/>
      <c r="B35" s="66" t="s">
        <v>32</v>
      </c>
      <c r="C35" s="17" t="s">
        <v>33</v>
      </c>
      <c r="D35" s="9">
        <v>3000</v>
      </c>
      <c r="E35" s="9">
        <v>2500</v>
      </c>
      <c r="F35" s="9">
        <v>2500</v>
      </c>
      <c r="G35" s="9">
        <v>2800</v>
      </c>
      <c r="H35" s="9">
        <v>2800</v>
      </c>
      <c r="I35" s="9">
        <v>3000</v>
      </c>
      <c r="J35" s="72">
        <v>3000</v>
      </c>
      <c r="K35" s="67">
        <f t="shared" si="0"/>
        <v>2800</v>
      </c>
      <c r="M35" s="4"/>
      <c r="N35" s="4"/>
    </row>
    <row r="36" spans="1:14" ht="15.75" x14ac:dyDescent="0.25">
      <c r="A36" s="59">
        <v>8</v>
      </c>
      <c r="B36" s="73" t="s">
        <v>117</v>
      </c>
      <c r="C36" s="80"/>
      <c r="D36" s="9"/>
      <c r="E36" s="9"/>
      <c r="F36" s="9"/>
      <c r="G36" s="9"/>
      <c r="H36" s="9"/>
      <c r="I36" s="9"/>
      <c r="J36" s="72"/>
      <c r="K36" s="81"/>
      <c r="M36" s="4"/>
      <c r="N36" s="4"/>
    </row>
    <row r="37" spans="1:14" ht="15.75" x14ac:dyDescent="0.25">
      <c r="A37" s="59"/>
      <c r="B37" s="66" t="s">
        <v>118</v>
      </c>
      <c r="C37" s="17" t="s">
        <v>6</v>
      </c>
      <c r="D37" s="9">
        <v>10000</v>
      </c>
      <c r="E37" s="9">
        <v>1250</v>
      </c>
      <c r="F37" s="9">
        <v>9000</v>
      </c>
      <c r="G37" s="9">
        <v>9000</v>
      </c>
      <c r="H37" s="9">
        <v>16000</v>
      </c>
      <c r="I37" s="9">
        <v>9000</v>
      </c>
      <c r="J37" s="72">
        <v>3000</v>
      </c>
      <c r="K37" s="67">
        <f t="shared" si="0"/>
        <v>8178.5714285714284</v>
      </c>
      <c r="M37" s="4"/>
      <c r="N37" s="4"/>
    </row>
    <row r="38" spans="1:14" ht="15.75" x14ac:dyDescent="0.25">
      <c r="A38" s="59"/>
      <c r="B38" s="66" t="s">
        <v>119</v>
      </c>
      <c r="C38" s="17" t="s">
        <v>6</v>
      </c>
      <c r="D38" s="9" t="s">
        <v>99</v>
      </c>
      <c r="E38" s="9">
        <v>10000</v>
      </c>
      <c r="F38" s="9">
        <v>12000</v>
      </c>
      <c r="G38" s="9">
        <v>14000</v>
      </c>
      <c r="H38" s="9" t="s">
        <v>99</v>
      </c>
      <c r="I38" s="9">
        <v>12000</v>
      </c>
      <c r="J38" s="72">
        <v>12000</v>
      </c>
      <c r="K38" s="67">
        <f>AVERAGE(D38:J38)</f>
        <v>12000</v>
      </c>
      <c r="M38" s="4"/>
      <c r="N38" s="4"/>
    </row>
    <row r="39" spans="1:14" ht="15.75" x14ac:dyDescent="0.25">
      <c r="A39" s="59">
        <v>9</v>
      </c>
      <c r="B39" s="82" t="s">
        <v>120</v>
      </c>
      <c r="C39" s="83"/>
      <c r="D39" s="9"/>
      <c r="E39" s="9"/>
      <c r="F39" s="9"/>
      <c r="G39" s="9"/>
      <c r="H39" s="9"/>
      <c r="I39" s="9"/>
      <c r="J39" s="72"/>
      <c r="K39" s="81"/>
      <c r="M39" s="4"/>
      <c r="N39" s="4"/>
    </row>
    <row r="40" spans="1:14" ht="15.75" x14ac:dyDescent="0.25">
      <c r="A40" s="59"/>
      <c r="B40" s="66" t="s">
        <v>121</v>
      </c>
      <c r="C40" s="17" t="s">
        <v>6</v>
      </c>
      <c r="D40" s="9" t="s">
        <v>99</v>
      </c>
      <c r="E40" s="9" t="s">
        <v>99</v>
      </c>
      <c r="F40" s="9" t="s">
        <v>99</v>
      </c>
      <c r="G40" s="9">
        <v>16000</v>
      </c>
      <c r="H40" s="9">
        <v>14000</v>
      </c>
      <c r="I40" s="9" t="s">
        <v>99</v>
      </c>
      <c r="J40" s="72">
        <v>15000</v>
      </c>
      <c r="K40" s="67">
        <f t="shared" si="0"/>
        <v>15000</v>
      </c>
      <c r="M40" s="4"/>
      <c r="N40" s="4"/>
    </row>
    <row r="41" spans="1:14" ht="15.75" x14ac:dyDescent="0.25">
      <c r="A41" s="59"/>
      <c r="B41" s="66" t="s">
        <v>122</v>
      </c>
      <c r="C41" s="17" t="s">
        <v>6</v>
      </c>
      <c r="D41" s="9" t="s">
        <v>99</v>
      </c>
      <c r="E41" s="9" t="s">
        <v>99</v>
      </c>
      <c r="F41" s="9">
        <v>6000</v>
      </c>
      <c r="G41" s="9" t="s">
        <v>99</v>
      </c>
      <c r="H41" s="9" t="s">
        <v>99</v>
      </c>
      <c r="I41" s="9">
        <v>6000</v>
      </c>
      <c r="J41" s="72" t="s">
        <v>99</v>
      </c>
      <c r="K41" s="67">
        <f t="shared" si="0"/>
        <v>6000</v>
      </c>
      <c r="M41" s="4"/>
      <c r="N41" s="4"/>
    </row>
    <row r="42" spans="1:14" ht="15.75" x14ac:dyDescent="0.25">
      <c r="A42" s="59"/>
      <c r="B42" s="66" t="s">
        <v>123</v>
      </c>
      <c r="C42" s="17" t="s">
        <v>6</v>
      </c>
      <c r="D42" s="9" t="s">
        <v>99</v>
      </c>
      <c r="E42" s="9">
        <v>2500</v>
      </c>
      <c r="F42" s="9" t="s">
        <v>99</v>
      </c>
      <c r="G42" s="9" t="s">
        <v>99</v>
      </c>
      <c r="H42" s="9" t="s">
        <v>99</v>
      </c>
      <c r="I42" s="9" t="s">
        <v>99</v>
      </c>
      <c r="J42" s="72" t="s">
        <v>99</v>
      </c>
      <c r="K42" s="67">
        <f t="shared" si="0"/>
        <v>2500</v>
      </c>
      <c r="M42" s="4"/>
      <c r="N42" s="4"/>
    </row>
    <row r="43" spans="1:14" ht="15.75" x14ac:dyDescent="0.25">
      <c r="A43" s="101">
        <v>10</v>
      </c>
      <c r="B43" s="60" t="s">
        <v>34</v>
      </c>
      <c r="C43" s="73"/>
      <c r="D43" s="74"/>
      <c r="E43" s="17"/>
      <c r="F43" s="76"/>
      <c r="G43" s="15"/>
      <c r="H43" s="15"/>
      <c r="I43" s="15"/>
      <c r="J43" s="84"/>
      <c r="K43" s="71"/>
      <c r="M43" s="4"/>
      <c r="N43" s="4"/>
    </row>
    <row r="44" spans="1:14" ht="15.75" x14ac:dyDescent="0.25">
      <c r="A44" s="101"/>
      <c r="B44" s="66" t="s">
        <v>35</v>
      </c>
      <c r="C44" s="17" t="s">
        <v>36</v>
      </c>
      <c r="D44" s="9">
        <v>12000</v>
      </c>
      <c r="E44" s="9">
        <v>12000</v>
      </c>
      <c r="F44" s="9">
        <v>12500</v>
      </c>
      <c r="G44" s="9">
        <v>12500</v>
      </c>
      <c r="H44" s="10" t="s">
        <v>99</v>
      </c>
      <c r="I44" s="16">
        <v>12500</v>
      </c>
      <c r="J44" s="72">
        <v>12500</v>
      </c>
      <c r="K44" s="67">
        <f t="shared" si="0"/>
        <v>12333.333333333334</v>
      </c>
      <c r="M44" s="4"/>
      <c r="N44" s="4"/>
    </row>
    <row r="45" spans="1:14" ht="15.75" x14ac:dyDescent="0.25">
      <c r="A45" s="101"/>
      <c r="B45" s="66" t="s">
        <v>124</v>
      </c>
      <c r="C45" s="17" t="s">
        <v>36</v>
      </c>
      <c r="D45" s="9">
        <v>12000</v>
      </c>
      <c r="E45" s="9">
        <v>13000</v>
      </c>
      <c r="F45" s="16">
        <v>12500</v>
      </c>
      <c r="G45" s="9">
        <v>12500</v>
      </c>
      <c r="H45" s="10" t="s">
        <v>99</v>
      </c>
      <c r="I45" s="16">
        <v>12500</v>
      </c>
      <c r="J45" s="79">
        <v>12500</v>
      </c>
      <c r="K45" s="67">
        <f>AVERAGE(D45:J45)</f>
        <v>12500</v>
      </c>
      <c r="M45" s="4"/>
      <c r="N45" s="4"/>
    </row>
    <row r="46" spans="1:14" ht="15.75" x14ac:dyDescent="0.25">
      <c r="A46" s="101">
        <v>11</v>
      </c>
      <c r="B46" s="60" t="s">
        <v>38</v>
      </c>
      <c r="C46" s="73"/>
      <c r="D46" s="74"/>
      <c r="E46" s="17"/>
      <c r="F46" s="15"/>
      <c r="G46" s="76"/>
      <c r="H46" s="15"/>
      <c r="I46" s="15"/>
      <c r="J46" s="75"/>
      <c r="K46" s="71"/>
      <c r="M46" s="4"/>
      <c r="N46" s="4"/>
    </row>
    <row r="47" spans="1:14" ht="15.75" x14ac:dyDescent="0.25">
      <c r="A47" s="101"/>
      <c r="B47" s="66" t="s">
        <v>39</v>
      </c>
      <c r="C47" s="17" t="s">
        <v>40</v>
      </c>
      <c r="D47" s="9" t="s">
        <v>99</v>
      </c>
      <c r="E47" s="9" t="s">
        <v>99</v>
      </c>
      <c r="F47" s="10" t="s">
        <v>99</v>
      </c>
      <c r="G47" s="8" t="s">
        <v>99</v>
      </c>
      <c r="H47" s="9">
        <v>17500</v>
      </c>
      <c r="I47" s="16" t="s">
        <v>99</v>
      </c>
      <c r="J47" s="79" t="s">
        <v>99</v>
      </c>
      <c r="K47" s="67">
        <f t="shared" si="0"/>
        <v>17500</v>
      </c>
      <c r="M47" s="4"/>
      <c r="N47" s="4"/>
    </row>
    <row r="48" spans="1:14" ht="15.75" x14ac:dyDescent="0.25">
      <c r="A48" s="101"/>
      <c r="B48" s="66" t="s">
        <v>41</v>
      </c>
      <c r="C48" s="17" t="s">
        <v>42</v>
      </c>
      <c r="D48" s="9" t="s">
        <v>99</v>
      </c>
      <c r="E48" s="9" t="s">
        <v>99</v>
      </c>
      <c r="F48" s="10" t="s">
        <v>99</v>
      </c>
      <c r="G48" s="8" t="s">
        <v>99</v>
      </c>
      <c r="H48" s="9">
        <v>2000</v>
      </c>
      <c r="I48" s="16" t="s">
        <v>99</v>
      </c>
      <c r="J48" s="79" t="s">
        <v>99</v>
      </c>
      <c r="K48" s="67">
        <f t="shared" si="0"/>
        <v>2000</v>
      </c>
      <c r="M48" s="4"/>
      <c r="N48" s="4"/>
    </row>
    <row r="49" spans="1:14" ht="15.75" x14ac:dyDescent="0.25">
      <c r="A49" s="59">
        <v>12</v>
      </c>
      <c r="B49" s="85" t="s">
        <v>43</v>
      </c>
      <c r="C49" s="80"/>
      <c r="D49" s="19"/>
      <c r="E49" s="10"/>
      <c r="F49" s="10"/>
      <c r="G49" s="22"/>
      <c r="H49" s="10"/>
      <c r="I49" s="10"/>
      <c r="J49" s="77"/>
      <c r="K49" s="71"/>
      <c r="M49" s="4"/>
      <c r="N49" s="4"/>
    </row>
    <row r="50" spans="1:14" ht="15.75" x14ac:dyDescent="0.25">
      <c r="A50" s="59"/>
      <c r="B50" s="66" t="s">
        <v>44</v>
      </c>
      <c r="C50" s="86" t="s">
        <v>6</v>
      </c>
      <c r="D50" s="9">
        <v>10000</v>
      </c>
      <c r="E50" s="9">
        <v>8000</v>
      </c>
      <c r="F50" s="9">
        <v>10000</v>
      </c>
      <c r="G50" s="9">
        <v>10000</v>
      </c>
      <c r="H50" s="9">
        <v>15000</v>
      </c>
      <c r="I50" s="8">
        <v>15000</v>
      </c>
      <c r="J50" s="72">
        <v>15000</v>
      </c>
      <c r="K50" s="67">
        <f t="shared" si="0"/>
        <v>11857.142857142857</v>
      </c>
      <c r="M50" s="4"/>
      <c r="N50" s="4"/>
    </row>
    <row r="51" spans="1:14" ht="15.75" x14ac:dyDescent="0.25">
      <c r="A51" s="59"/>
      <c r="B51" s="66" t="s">
        <v>45</v>
      </c>
      <c r="C51" s="86" t="s">
        <v>6</v>
      </c>
      <c r="D51" s="9" t="s">
        <v>99</v>
      </c>
      <c r="E51" s="9">
        <v>10000</v>
      </c>
      <c r="F51" s="8">
        <v>9000</v>
      </c>
      <c r="G51" s="9">
        <v>10000</v>
      </c>
      <c r="H51" s="9">
        <v>12000</v>
      </c>
      <c r="I51" s="9">
        <v>12000</v>
      </c>
      <c r="J51" s="72">
        <v>10000</v>
      </c>
      <c r="K51" s="67">
        <f t="shared" si="0"/>
        <v>10500</v>
      </c>
      <c r="M51" s="4"/>
      <c r="N51" s="4"/>
    </row>
    <row r="52" spans="1:14" ht="15.75" x14ac:dyDescent="0.25">
      <c r="A52" s="101">
        <v>13</v>
      </c>
      <c r="B52" s="60" t="s">
        <v>46</v>
      </c>
      <c r="C52" s="73"/>
      <c r="D52" s="74"/>
      <c r="E52" s="17"/>
      <c r="F52" s="76"/>
      <c r="G52" s="76"/>
      <c r="H52" s="15"/>
      <c r="I52" s="15"/>
      <c r="J52" s="84"/>
      <c r="K52" s="71"/>
      <c r="M52" s="4"/>
      <c r="N52" s="4"/>
    </row>
    <row r="53" spans="1:14" ht="15.75" x14ac:dyDescent="0.25">
      <c r="A53" s="101"/>
      <c r="B53" s="66" t="s">
        <v>47</v>
      </c>
      <c r="C53" s="17" t="s">
        <v>125</v>
      </c>
      <c r="D53" s="9">
        <v>3000</v>
      </c>
      <c r="E53" s="9">
        <v>4000</v>
      </c>
      <c r="F53" s="9">
        <v>5000</v>
      </c>
      <c r="G53" s="9">
        <v>5000</v>
      </c>
      <c r="H53" s="9">
        <v>2500</v>
      </c>
      <c r="I53" s="16">
        <v>5000</v>
      </c>
      <c r="J53" s="72">
        <v>2500</v>
      </c>
      <c r="K53" s="67">
        <f t="shared" si="0"/>
        <v>3857.1428571428573</v>
      </c>
      <c r="M53" s="4" t="s">
        <v>101</v>
      </c>
      <c r="N53" s="4"/>
    </row>
    <row r="54" spans="1:14" ht="15.75" x14ac:dyDescent="0.25">
      <c r="A54" s="101">
        <v>14</v>
      </c>
      <c r="B54" s="60" t="s">
        <v>49</v>
      </c>
      <c r="C54" s="80"/>
      <c r="D54" s="62"/>
      <c r="E54" s="17"/>
      <c r="F54" s="20"/>
      <c r="G54" s="20"/>
      <c r="H54" s="17"/>
      <c r="I54" s="17"/>
      <c r="J54" s="87"/>
      <c r="K54" s="71"/>
      <c r="M54" s="4"/>
      <c r="N54" s="23"/>
    </row>
    <row r="55" spans="1:14" ht="15.75" x14ac:dyDescent="0.25">
      <c r="A55" s="101"/>
      <c r="B55" s="88" t="s">
        <v>50</v>
      </c>
      <c r="C55" s="86" t="s">
        <v>6</v>
      </c>
      <c r="D55" s="9">
        <v>10000</v>
      </c>
      <c r="E55" s="9">
        <v>10500</v>
      </c>
      <c r="F55" s="9">
        <v>10000</v>
      </c>
      <c r="G55" s="9">
        <v>11000</v>
      </c>
      <c r="H55" s="9">
        <v>12000</v>
      </c>
      <c r="I55" s="9">
        <v>10000</v>
      </c>
      <c r="J55" s="72">
        <v>10000</v>
      </c>
      <c r="K55" s="67">
        <f t="shared" si="0"/>
        <v>10500</v>
      </c>
      <c r="M55" s="4"/>
      <c r="N55" s="4"/>
    </row>
    <row r="56" spans="1:14" ht="15.75" x14ac:dyDescent="0.25">
      <c r="A56" s="101">
        <v>15</v>
      </c>
      <c r="B56" s="60" t="s">
        <v>51</v>
      </c>
      <c r="C56" s="73"/>
      <c r="D56" s="74"/>
      <c r="E56" s="17"/>
      <c r="F56" s="76"/>
      <c r="G56" s="15"/>
      <c r="H56" s="15"/>
      <c r="I56" s="15"/>
      <c r="J56" s="84"/>
      <c r="K56" s="71"/>
      <c r="M56" s="4"/>
      <c r="N56" s="4"/>
    </row>
    <row r="57" spans="1:14" ht="15.75" x14ac:dyDescent="0.25">
      <c r="A57" s="101"/>
      <c r="B57" s="66" t="s">
        <v>52</v>
      </c>
      <c r="C57" s="17" t="s">
        <v>6</v>
      </c>
      <c r="D57" s="9">
        <v>16000</v>
      </c>
      <c r="E57" s="9">
        <v>13000</v>
      </c>
      <c r="F57" s="9">
        <v>14000</v>
      </c>
      <c r="G57" s="9">
        <v>14000</v>
      </c>
      <c r="H57" s="9">
        <v>11500</v>
      </c>
      <c r="I57" s="9">
        <v>17000</v>
      </c>
      <c r="J57" s="72" t="s">
        <v>99</v>
      </c>
      <c r="K57" s="67">
        <f t="shared" si="0"/>
        <v>14250</v>
      </c>
      <c r="M57" s="4"/>
      <c r="N57" s="4"/>
    </row>
    <row r="58" spans="1:14" ht="15.75" x14ac:dyDescent="0.25">
      <c r="A58" s="101"/>
      <c r="B58" s="66" t="s">
        <v>53</v>
      </c>
      <c r="C58" s="17" t="s">
        <v>6</v>
      </c>
      <c r="D58" s="9" t="s">
        <v>99</v>
      </c>
      <c r="E58" s="9" t="s">
        <v>99</v>
      </c>
      <c r="F58" s="16">
        <v>15000</v>
      </c>
      <c r="G58" s="22" t="s">
        <v>99</v>
      </c>
      <c r="H58" s="9">
        <v>13000</v>
      </c>
      <c r="I58" s="8">
        <v>15000</v>
      </c>
      <c r="J58" s="72">
        <v>14000</v>
      </c>
      <c r="K58" s="67">
        <f t="shared" si="0"/>
        <v>14250</v>
      </c>
      <c r="M58" s="4"/>
      <c r="N58" s="4"/>
    </row>
    <row r="59" spans="1:14" ht="15.75" x14ac:dyDescent="0.25">
      <c r="A59" s="101"/>
      <c r="B59" s="66" t="s">
        <v>54</v>
      </c>
      <c r="C59" s="17" t="s">
        <v>6</v>
      </c>
      <c r="D59" s="9">
        <v>22000</v>
      </c>
      <c r="E59" s="9">
        <v>23000</v>
      </c>
      <c r="F59" s="9">
        <v>23000</v>
      </c>
      <c r="G59" s="9">
        <v>23000</v>
      </c>
      <c r="H59" s="9">
        <v>20000</v>
      </c>
      <c r="I59" s="9">
        <v>23000</v>
      </c>
      <c r="J59" s="72">
        <v>24000</v>
      </c>
      <c r="K59" s="67">
        <f t="shared" si="0"/>
        <v>22571.428571428572</v>
      </c>
      <c r="M59" s="4"/>
      <c r="N59" s="4"/>
    </row>
    <row r="60" spans="1:14" ht="15.75" x14ac:dyDescent="0.25">
      <c r="A60" s="101"/>
      <c r="B60" s="66" t="s">
        <v>55</v>
      </c>
      <c r="C60" s="17" t="s">
        <v>6</v>
      </c>
      <c r="D60" s="9">
        <v>26000</v>
      </c>
      <c r="E60" s="9">
        <v>30000</v>
      </c>
      <c r="F60" s="9">
        <v>28000</v>
      </c>
      <c r="G60" s="9">
        <v>30000</v>
      </c>
      <c r="H60" s="9">
        <v>27000</v>
      </c>
      <c r="I60" s="9">
        <v>28000</v>
      </c>
      <c r="J60" s="72">
        <v>28000</v>
      </c>
      <c r="K60" s="67">
        <f t="shared" si="0"/>
        <v>28142.857142857141</v>
      </c>
      <c r="M60" s="4"/>
      <c r="N60" s="4"/>
    </row>
    <row r="61" spans="1:14" ht="15.75" x14ac:dyDescent="0.25">
      <c r="A61" s="17">
        <v>16</v>
      </c>
      <c r="B61" s="60" t="s">
        <v>56</v>
      </c>
      <c r="C61" s="80"/>
      <c r="D61" s="89"/>
      <c r="E61" s="10"/>
      <c r="F61" s="22"/>
      <c r="G61" s="10"/>
      <c r="H61" s="10"/>
      <c r="I61" s="10"/>
      <c r="J61" s="90"/>
      <c r="K61" s="71"/>
      <c r="M61" s="4"/>
      <c r="N61" s="4"/>
    </row>
    <row r="62" spans="1:14" ht="15.75" x14ac:dyDescent="0.25">
      <c r="A62" s="17"/>
      <c r="B62" s="66" t="s">
        <v>57</v>
      </c>
      <c r="C62" s="86" t="s">
        <v>58</v>
      </c>
      <c r="D62" s="9">
        <v>3000</v>
      </c>
      <c r="E62" s="9">
        <v>3200</v>
      </c>
      <c r="F62" s="9">
        <v>3000</v>
      </c>
      <c r="G62" s="9">
        <v>3000</v>
      </c>
      <c r="H62" s="10" t="s">
        <v>99</v>
      </c>
      <c r="I62" s="16">
        <v>3000</v>
      </c>
      <c r="J62" s="72">
        <v>3500</v>
      </c>
      <c r="K62" s="67">
        <f t="shared" si="0"/>
        <v>3116.6666666666665</v>
      </c>
      <c r="M62" s="4"/>
      <c r="N62" s="4"/>
    </row>
    <row r="63" spans="1:14" ht="15.75" x14ac:dyDescent="0.25">
      <c r="A63" s="101">
        <v>17</v>
      </c>
      <c r="B63" s="60" t="s">
        <v>59</v>
      </c>
      <c r="C63" s="73"/>
      <c r="D63" s="74"/>
      <c r="E63" s="17"/>
      <c r="F63" s="76"/>
      <c r="G63" s="76"/>
      <c r="H63" s="15"/>
      <c r="I63" s="15"/>
      <c r="J63" s="84"/>
      <c r="K63" s="71"/>
      <c r="M63" s="4"/>
      <c r="N63" s="4"/>
    </row>
    <row r="64" spans="1:14" ht="15.75" x14ac:dyDescent="0.25">
      <c r="A64" s="101"/>
      <c r="B64" s="66" t="s">
        <v>60</v>
      </c>
      <c r="C64" s="17" t="s">
        <v>6</v>
      </c>
      <c r="D64" s="9">
        <v>80000</v>
      </c>
      <c r="E64" s="9">
        <v>70000</v>
      </c>
      <c r="F64" s="9">
        <v>82000</v>
      </c>
      <c r="G64" s="9">
        <v>70000</v>
      </c>
      <c r="H64" s="9">
        <v>85000</v>
      </c>
      <c r="I64" s="9">
        <v>90000</v>
      </c>
      <c r="J64" s="72">
        <v>90000</v>
      </c>
      <c r="K64" s="67">
        <f t="shared" si="0"/>
        <v>81000</v>
      </c>
      <c r="M64" s="4"/>
      <c r="N64" s="4"/>
    </row>
    <row r="65" spans="1:14" ht="15.75" x14ac:dyDescent="0.25">
      <c r="A65" s="101"/>
      <c r="B65" s="66" t="s">
        <v>61</v>
      </c>
      <c r="C65" s="17" t="s">
        <v>6</v>
      </c>
      <c r="D65" s="9">
        <v>90000</v>
      </c>
      <c r="E65" s="9">
        <v>70000</v>
      </c>
      <c r="F65" s="9">
        <v>82000</v>
      </c>
      <c r="G65" s="9">
        <v>70000</v>
      </c>
      <c r="H65" s="9">
        <v>80000</v>
      </c>
      <c r="I65" s="8">
        <v>65000</v>
      </c>
      <c r="J65" s="72">
        <v>90000</v>
      </c>
      <c r="K65" s="67">
        <f t="shared" si="0"/>
        <v>78142.857142857145</v>
      </c>
      <c r="M65" s="4"/>
      <c r="N65" s="4"/>
    </row>
    <row r="66" spans="1:14" ht="15.75" x14ac:dyDescent="0.25">
      <c r="A66" s="101"/>
      <c r="B66" s="66" t="s">
        <v>62</v>
      </c>
      <c r="C66" s="17" t="s">
        <v>6</v>
      </c>
      <c r="D66" s="9">
        <v>70000</v>
      </c>
      <c r="E66" s="9">
        <v>60000</v>
      </c>
      <c r="F66" s="9">
        <v>37000</v>
      </c>
      <c r="G66" s="9">
        <v>45000</v>
      </c>
      <c r="H66" s="9">
        <v>60000</v>
      </c>
      <c r="I66" s="9">
        <v>80000</v>
      </c>
      <c r="J66" s="72">
        <v>55000</v>
      </c>
      <c r="K66" s="67">
        <f t="shared" si="0"/>
        <v>58142.857142857145</v>
      </c>
      <c r="M66" s="4"/>
      <c r="N66" s="4"/>
    </row>
    <row r="67" spans="1:14" ht="15.75" x14ac:dyDescent="0.25">
      <c r="A67" s="17">
        <v>18</v>
      </c>
      <c r="B67" s="60" t="s">
        <v>63</v>
      </c>
      <c r="C67" s="80"/>
      <c r="D67" s="24"/>
      <c r="E67" s="10"/>
      <c r="F67" s="22"/>
      <c r="G67" s="10"/>
      <c r="H67" s="10" t="s">
        <v>1</v>
      </c>
      <c r="I67" s="10"/>
      <c r="J67" s="77"/>
      <c r="K67" s="71"/>
      <c r="M67" s="4"/>
      <c r="N67" s="4"/>
    </row>
    <row r="68" spans="1:14" ht="15.75" x14ac:dyDescent="0.25">
      <c r="A68" s="17"/>
      <c r="B68" s="66" t="s">
        <v>64</v>
      </c>
      <c r="C68" s="17" t="s">
        <v>65</v>
      </c>
      <c r="D68" s="9">
        <v>20000</v>
      </c>
      <c r="E68" s="9">
        <v>18000</v>
      </c>
      <c r="F68" s="9">
        <v>18000</v>
      </c>
      <c r="G68" s="9">
        <v>18000</v>
      </c>
      <c r="H68" s="10" t="s">
        <v>99</v>
      </c>
      <c r="I68" s="9">
        <v>18000</v>
      </c>
      <c r="J68" s="79">
        <v>18000</v>
      </c>
      <c r="K68" s="67">
        <f t="shared" si="0"/>
        <v>18333.333333333332</v>
      </c>
      <c r="M68" s="4"/>
      <c r="N68" s="4"/>
    </row>
    <row r="69" spans="1:14" ht="15.75" x14ac:dyDescent="0.25">
      <c r="A69" s="101">
        <v>19</v>
      </c>
      <c r="B69" s="60" t="s">
        <v>66</v>
      </c>
      <c r="C69" s="60"/>
      <c r="D69" s="74"/>
      <c r="E69" s="17"/>
      <c r="F69" s="15"/>
      <c r="G69" s="15"/>
      <c r="H69" s="15"/>
      <c r="I69" s="15"/>
      <c r="J69" s="75"/>
      <c r="K69" s="71"/>
      <c r="M69" s="4"/>
      <c r="N69" s="4"/>
    </row>
    <row r="70" spans="1:14" ht="15.75" x14ac:dyDescent="0.25">
      <c r="A70" s="101"/>
      <c r="B70" s="66" t="s">
        <v>67</v>
      </c>
      <c r="C70" s="17" t="s">
        <v>6</v>
      </c>
      <c r="D70" s="9">
        <v>38000</v>
      </c>
      <c r="E70" s="9">
        <v>35000</v>
      </c>
      <c r="F70" s="9">
        <v>36000</v>
      </c>
      <c r="G70" s="9">
        <v>36000</v>
      </c>
      <c r="H70" s="9">
        <v>37000</v>
      </c>
      <c r="I70" s="9">
        <v>40000</v>
      </c>
      <c r="J70" s="72">
        <v>38000</v>
      </c>
      <c r="K70" s="67">
        <f t="shared" si="0"/>
        <v>37142.857142857145</v>
      </c>
      <c r="M70" s="4"/>
      <c r="N70" s="4"/>
    </row>
    <row r="71" spans="1:14" ht="15.75" x14ac:dyDescent="0.25">
      <c r="A71" s="101"/>
      <c r="B71" s="66" t="s">
        <v>68</v>
      </c>
      <c r="C71" s="17" t="s">
        <v>6</v>
      </c>
      <c r="D71" s="9">
        <v>34000</v>
      </c>
      <c r="E71" s="9">
        <v>32000</v>
      </c>
      <c r="F71" s="9">
        <v>33000</v>
      </c>
      <c r="G71" s="9">
        <v>32000</v>
      </c>
      <c r="H71" s="9">
        <v>34000</v>
      </c>
      <c r="I71" s="9">
        <v>32000</v>
      </c>
      <c r="J71" s="72">
        <v>32000</v>
      </c>
      <c r="K71" s="67">
        <f t="shared" si="0"/>
        <v>32714.285714285714</v>
      </c>
      <c r="M71" s="4"/>
      <c r="N71" s="4"/>
    </row>
    <row r="72" spans="1:14" ht="15.75" x14ac:dyDescent="0.25">
      <c r="A72" s="101"/>
      <c r="B72" s="66" t="s">
        <v>69</v>
      </c>
      <c r="C72" s="17" t="s">
        <v>6</v>
      </c>
      <c r="D72" s="9">
        <v>28000</v>
      </c>
      <c r="E72" s="9">
        <v>28000</v>
      </c>
      <c r="F72" s="9">
        <v>24000</v>
      </c>
      <c r="G72" s="9">
        <v>28000</v>
      </c>
      <c r="H72" s="9">
        <v>20000</v>
      </c>
      <c r="I72" s="9">
        <v>28000</v>
      </c>
      <c r="J72" s="72">
        <v>20000</v>
      </c>
      <c r="K72" s="67">
        <f t="shared" si="0"/>
        <v>25142.857142857141</v>
      </c>
      <c r="M72" s="4"/>
      <c r="N72" s="4"/>
    </row>
    <row r="73" spans="1:14" ht="15.75" x14ac:dyDescent="0.25">
      <c r="A73" s="101"/>
      <c r="B73" s="66" t="s">
        <v>70</v>
      </c>
      <c r="C73" s="17" t="s">
        <v>6</v>
      </c>
      <c r="D73" s="9">
        <v>28000</v>
      </c>
      <c r="E73" s="9">
        <v>25000</v>
      </c>
      <c r="F73" s="16">
        <v>28000</v>
      </c>
      <c r="G73" s="8">
        <v>30000</v>
      </c>
      <c r="H73" s="9">
        <v>25000</v>
      </c>
      <c r="I73" s="9">
        <v>35000</v>
      </c>
      <c r="J73" s="72">
        <v>28000</v>
      </c>
      <c r="K73" s="67">
        <f t="shared" si="0"/>
        <v>28428.571428571428</v>
      </c>
      <c r="M73" s="4"/>
      <c r="N73" s="4"/>
    </row>
    <row r="74" spans="1:14" ht="15.75" x14ac:dyDescent="0.25">
      <c r="A74" s="17">
        <v>20</v>
      </c>
      <c r="B74" s="60" t="s">
        <v>71</v>
      </c>
      <c r="C74" s="91"/>
      <c r="D74" s="24"/>
      <c r="E74" s="10"/>
      <c r="F74" s="10"/>
      <c r="G74" s="89"/>
      <c r="H74" s="10"/>
      <c r="I74" s="10"/>
      <c r="J74" s="90"/>
      <c r="K74" s="71"/>
      <c r="M74" s="4"/>
      <c r="N74" s="4"/>
    </row>
    <row r="75" spans="1:14" ht="15.75" x14ac:dyDescent="0.25">
      <c r="A75" s="17"/>
      <c r="B75" s="66" t="s">
        <v>72</v>
      </c>
      <c r="C75" s="86" t="s">
        <v>6</v>
      </c>
      <c r="D75" s="9">
        <v>7000</v>
      </c>
      <c r="E75" s="9">
        <v>7000</v>
      </c>
      <c r="F75" s="9">
        <v>5000</v>
      </c>
      <c r="G75" s="9">
        <v>6000</v>
      </c>
      <c r="H75" s="9">
        <v>5000</v>
      </c>
      <c r="I75" s="9">
        <v>5000</v>
      </c>
      <c r="J75" s="72">
        <v>5000</v>
      </c>
      <c r="K75" s="67">
        <f t="shared" si="0"/>
        <v>5714.2857142857147</v>
      </c>
      <c r="M75" s="4"/>
      <c r="N75" s="4"/>
    </row>
    <row r="76" spans="1:14" ht="15.75" x14ac:dyDescent="0.25">
      <c r="A76" s="17"/>
      <c r="B76" s="66" t="s">
        <v>73</v>
      </c>
      <c r="C76" s="86" t="s">
        <v>6</v>
      </c>
      <c r="D76" s="9">
        <v>7000</v>
      </c>
      <c r="E76" s="9">
        <v>6000</v>
      </c>
      <c r="F76" s="16">
        <v>6000</v>
      </c>
      <c r="G76" s="8">
        <v>6000</v>
      </c>
      <c r="H76" s="9">
        <v>5000</v>
      </c>
      <c r="I76" s="9">
        <v>6000</v>
      </c>
      <c r="J76" s="79">
        <v>6000</v>
      </c>
      <c r="K76" s="67">
        <f t="shared" si="0"/>
        <v>6000</v>
      </c>
      <c r="M76" s="4"/>
      <c r="N76" s="4"/>
    </row>
    <row r="77" spans="1:14" ht="15.75" x14ac:dyDescent="0.25">
      <c r="A77" s="17">
        <v>21</v>
      </c>
      <c r="B77" s="60" t="s">
        <v>74</v>
      </c>
      <c r="C77" s="91"/>
      <c r="D77" s="19"/>
      <c r="E77" s="10"/>
      <c r="F77" s="10"/>
      <c r="G77" s="22"/>
      <c r="H77" s="10"/>
      <c r="I77" s="10"/>
      <c r="J77" s="77"/>
      <c r="K77" s="71"/>
      <c r="M77" s="4"/>
      <c r="N77" s="4"/>
    </row>
    <row r="78" spans="1:14" ht="15.75" x14ac:dyDescent="0.25">
      <c r="A78" s="17"/>
      <c r="B78" s="66" t="s">
        <v>75</v>
      </c>
      <c r="C78" s="86" t="s">
        <v>6</v>
      </c>
      <c r="D78" s="9">
        <v>6000</v>
      </c>
      <c r="E78" s="9">
        <v>8000</v>
      </c>
      <c r="F78" s="9">
        <v>10000</v>
      </c>
      <c r="G78" s="9">
        <v>8000</v>
      </c>
      <c r="H78" s="9">
        <v>6000</v>
      </c>
      <c r="I78" s="16">
        <v>9000</v>
      </c>
      <c r="J78" s="72" t="s">
        <v>99</v>
      </c>
      <c r="K78" s="67">
        <f t="shared" si="0"/>
        <v>7833.333333333333</v>
      </c>
      <c r="M78" s="4"/>
      <c r="N78" s="4"/>
    </row>
    <row r="79" spans="1:14" ht="15.75" x14ac:dyDescent="0.25">
      <c r="A79" s="17"/>
      <c r="B79" s="66" t="s">
        <v>76</v>
      </c>
      <c r="C79" s="86" t="s">
        <v>6</v>
      </c>
      <c r="D79" s="9">
        <v>8000</v>
      </c>
      <c r="E79" s="9">
        <v>10000</v>
      </c>
      <c r="F79" s="9">
        <v>20000</v>
      </c>
      <c r="G79" s="9">
        <v>10000</v>
      </c>
      <c r="H79" s="9">
        <v>6000</v>
      </c>
      <c r="I79" s="16">
        <v>15000</v>
      </c>
      <c r="J79" s="72">
        <v>15000</v>
      </c>
      <c r="K79" s="67">
        <f t="shared" si="0"/>
        <v>12000</v>
      </c>
      <c r="M79" s="4"/>
      <c r="N79" s="4"/>
    </row>
    <row r="80" spans="1:14" ht="15.75" x14ac:dyDescent="0.25">
      <c r="A80" s="17"/>
      <c r="B80" s="66" t="s">
        <v>77</v>
      </c>
      <c r="C80" s="86" t="s">
        <v>6</v>
      </c>
      <c r="D80" s="9">
        <v>17000</v>
      </c>
      <c r="E80" s="9">
        <v>16000</v>
      </c>
      <c r="F80" s="9">
        <v>17000</v>
      </c>
      <c r="G80" s="9">
        <v>16000</v>
      </c>
      <c r="H80" s="9">
        <v>15000</v>
      </c>
      <c r="I80" s="9">
        <v>18000</v>
      </c>
      <c r="J80" s="72">
        <v>18000</v>
      </c>
      <c r="K80" s="67">
        <f t="shared" si="0"/>
        <v>16714.285714285714</v>
      </c>
      <c r="M80" s="4"/>
      <c r="N80" s="4"/>
    </row>
    <row r="81" spans="1:14" ht="15.75" x14ac:dyDescent="0.25">
      <c r="A81" s="17"/>
      <c r="B81" s="66" t="s">
        <v>78</v>
      </c>
      <c r="C81" s="86" t="s">
        <v>6</v>
      </c>
      <c r="D81" s="9">
        <v>18000</v>
      </c>
      <c r="E81" s="9">
        <v>15000</v>
      </c>
      <c r="F81" s="9">
        <v>10000</v>
      </c>
      <c r="G81" s="9">
        <v>18000</v>
      </c>
      <c r="H81" s="9">
        <v>16000</v>
      </c>
      <c r="I81" s="8">
        <v>20000</v>
      </c>
      <c r="J81" s="72">
        <v>20000</v>
      </c>
      <c r="K81" s="67">
        <f t="shared" ref="K81:K88" si="1">AVERAGE(D81:J81)</f>
        <v>16714.285714285714</v>
      </c>
      <c r="M81" s="4"/>
      <c r="N81" s="4"/>
    </row>
    <row r="82" spans="1:14" ht="15.75" x14ac:dyDescent="0.25">
      <c r="A82" s="17"/>
      <c r="B82" s="66" t="s">
        <v>79</v>
      </c>
      <c r="C82" s="86" t="s">
        <v>6</v>
      </c>
      <c r="D82" s="9">
        <v>14000</v>
      </c>
      <c r="E82" s="9">
        <v>12000</v>
      </c>
      <c r="F82" s="9">
        <v>14000</v>
      </c>
      <c r="G82" s="9">
        <v>12000</v>
      </c>
      <c r="H82" s="9">
        <v>10000</v>
      </c>
      <c r="I82" s="9">
        <v>16000</v>
      </c>
      <c r="J82" s="72">
        <v>12000</v>
      </c>
      <c r="K82" s="67">
        <f t="shared" si="1"/>
        <v>12857.142857142857</v>
      </c>
      <c r="M82" s="4"/>
      <c r="N82" s="4"/>
    </row>
    <row r="83" spans="1:14" ht="15.75" x14ac:dyDescent="0.25">
      <c r="A83" s="17"/>
      <c r="B83" s="66" t="s">
        <v>80</v>
      </c>
      <c r="C83" s="86" t="s">
        <v>6</v>
      </c>
      <c r="D83" s="9">
        <v>9000</v>
      </c>
      <c r="E83" s="9">
        <v>8000</v>
      </c>
      <c r="F83" s="16">
        <v>9000</v>
      </c>
      <c r="G83" s="8">
        <v>8000</v>
      </c>
      <c r="H83" s="9">
        <v>7000</v>
      </c>
      <c r="I83" s="16">
        <v>9000</v>
      </c>
      <c r="J83" s="72">
        <v>8000</v>
      </c>
      <c r="K83" s="67">
        <f t="shared" si="1"/>
        <v>8285.7142857142862</v>
      </c>
      <c r="M83" s="4"/>
      <c r="N83" s="4"/>
    </row>
    <row r="84" spans="1:14" ht="15.75" x14ac:dyDescent="0.25">
      <c r="A84" s="17"/>
      <c r="B84" s="66" t="s">
        <v>81</v>
      </c>
      <c r="C84" s="86" t="s">
        <v>82</v>
      </c>
      <c r="D84" s="9">
        <v>2000</v>
      </c>
      <c r="E84" s="9">
        <v>1500</v>
      </c>
      <c r="F84" s="9">
        <v>2000</v>
      </c>
      <c r="G84" s="8">
        <v>2000</v>
      </c>
      <c r="H84" s="9">
        <v>1500</v>
      </c>
      <c r="I84" s="9">
        <v>2000</v>
      </c>
      <c r="J84" s="79">
        <v>1500</v>
      </c>
      <c r="K84" s="67">
        <f t="shared" si="1"/>
        <v>1785.7142857142858</v>
      </c>
      <c r="M84" s="4"/>
      <c r="N84" s="4"/>
    </row>
    <row r="85" spans="1:14" ht="15.75" x14ac:dyDescent="0.25">
      <c r="A85" s="17"/>
      <c r="B85" s="66" t="s">
        <v>83</v>
      </c>
      <c r="C85" s="86" t="s">
        <v>82</v>
      </c>
      <c r="D85" s="9">
        <v>1500</v>
      </c>
      <c r="E85" s="9">
        <v>1500</v>
      </c>
      <c r="F85" s="9">
        <v>1500</v>
      </c>
      <c r="G85" s="8">
        <v>2000</v>
      </c>
      <c r="H85" s="9">
        <v>1500</v>
      </c>
      <c r="I85" s="9">
        <v>1500</v>
      </c>
      <c r="J85" s="79">
        <v>1000</v>
      </c>
      <c r="K85" s="67">
        <f t="shared" si="1"/>
        <v>1500</v>
      </c>
      <c r="M85" s="4"/>
      <c r="N85" s="4"/>
    </row>
    <row r="86" spans="1:14" ht="15.75" x14ac:dyDescent="0.25">
      <c r="A86" s="17"/>
      <c r="B86" s="66" t="s">
        <v>84</v>
      </c>
      <c r="C86" s="86" t="s">
        <v>82</v>
      </c>
      <c r="D86" s="9" t="s">
        <v>99</v>
      </c>
      <c r="E86" s="9">
        <v>2000</v>
      </c>
      <c r="F86" s="9" t="s">
        <v>99</v>
      </c>
      <c r="G86" s="8" t="s">
        <v>99</v>
      </c>
      <c r="H86" s="9">
        <v>2500</v>
      </c>
      <c r="I86" s="9" t="s">
        <v>99</v>
      </c>
      <c r="J86" s="79">
        <v>2000</v>
      </c>
      <c r="K86" s="67">
        <f t="shared" si="1"/>
        <v>2166.6666666666665</v>
      </c>
      <c r="M86" s="4"/>
      <c r="N86" s="4"/>
    </row>
    <row r="87" spans="1:14" ht="15.75" x14ac:dyDescent="0.25">
      <c r="A87" s="17">
        <v>22</v>
      </c>
      <c r="B87" s="60" t="s">
        <v>85</v>
      </c>
      <c r="C87" s="91"/>
      <c r="D87" s="22"/>
      <c r="E87" s="10"/>
      <c r="F87" s="10" t="s">
        <v>102</v>
      </c>
      <c r="G87" s="22"/>
      <c r="H87" s="10"/>
      <c r="I87" s="10"/>
      <c r="J87" s="77"/>
      <c r="K87" s="71"/>
      <c r="L87" s="4"/>
      <c r="M87" s="4"/>
      <c r="N87" s="4"/>
    </row>
    <row r="88" spans="1:14" x14ac:dyDescent="0.25">
      <c r="A88" s="17"/>
      <c r="B88" s="66" t="s">
        <v>86</v>
      </c>
      <c r="C88" s="86" t="s">
        <v>87</v>
      </c>
      <c r="D88" s="9" t="s">
        <v>99</v>
      </c>
      <c r="E88" s="9" t="s">
        <v>99</v>
      </c>
      <c r="F88" s="9">
        <v>18000</v>
      </c>
      <c r="G88" s="8">
        <v>17000</v>
      </c>
      <c r="H88" s="10" t="s">
        <v>99</v>
      </c>
      <c r="I88" s="16">
        <v>18000</v>
      </c>
      <c r="J88" s="79">
        <v>18000</v>
      </c>
      <c r="K88" s="67">
        <f t="shared" si="1"/>
        <v>17750</v>
      </c>
    </row>
  </sheetData>
  <mergeCells count="28">
    <mergeCell ref="A52:A53"/>
    <mergeCell ref="A54:A55"/>
    <mergeCell ref="A56:A60"/>
    <mergeCell ref="A63:A66"/>
    <mergeCell ref="A69:A73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26:A32"/>
    <mergeCell ref="A33:A35"/>
    <mergeCell ref="A43:A45"/>
    <mergeCell ref="A46:A48"/>
    <mergeCell ref="A7:A12"/>
    <mergeCell ref="A13:A15"/>
    <mergeCell ref="A16:A17"/>
    <mergeCell ref="A19:A20"/>
    <mergeCell ref="A21:A25"/>
  </mergeCells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37B4E-187C-4E72-A971-CBE71679BF7F}">
  <dimension ref="A1:N88"/>
  <sheetViews>
    <sheetView workbookViewId="0">
      <selection activeCell="A7" sqref="A7:K88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02" t="s">
        <v>88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M1" s="4"/>
      <c r="N1" s="4"/>
    </row>
    <row r="2" spans="1:14" ht="27.75" customHeight="1" x14ac:dyDescent="0.25">
      <c r="A2" s="103" t="s">
        <v>89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M2" s="4"/>
      <c r="N2" s="4"/>
    </row>
    <row r="3" spans="1:14" ht="27.75" customHeight="1" thickBot="1" x14ac:dyDescent="0.3">
      <c r="A3" s="104" t="s">
        <v>151</v>
      </c>
      <c r="B3" s="104"/>
      <c r="C3" s="104"/>
      <c r="D3" s="104"/>
      <c r="E3" s="104"/>
      <c r="F3" s="104"/>
      <c r="G3" s="104"/>
      <c r="H3" s="104"/>
      <c r="I3" s="104"/>
      <c r="J3" s="104"/>
      <c r="K3" s="105"/>
      <c r="M3" s="4"/>
      <c r="N3" s="4"/>
    </row>
    <row r="4" spans="1:14" ht="25.5" customHeight="1" x14ac:dyDescent="0.25">
      <c r="A4" s="96" t="s">
        <v>1</v>
      </c>
      <c r="B4" s="99" t="s">
        <v>2</v>
      </c>
      <c r="C4" s="96" t="s">
        <v>90</v>
      </c>
      <c r="D4" s="110" t="s">
        <v>91</v>
      </c>
      <c r="E4" s="113" t="s">
        <v>92</v>
      </c>
      <c r="F4" s="125" t="s">
        <v>93</v>
      </c>
      <c r="G4" s="128" t="s">
        <v>94</v>
      </c>
      <c r="H4" s="147" t="s">
        <v>95</v>
      </c>
      <c r="I4" s="119" t="s">
        <v>96</v>
      </c>
      <c r="J4" s="106" t="s">
        <v>97</v>
      </c>
      <c r="K4" s="122" t="s">
        <v>98</v>
      </c>
      <c r="M4" s="4"/>
      <c r="N4" s="4"/>
    </row>
    <row r="5" spans="1:14" ht="15" customHeight="1" x14ac:dyDescent="0.25">
      <c r="A5" s="97"/>
      <c r="B5" s="100"/>
      <c r="C5" s="97"/>
      <c r="D5" s="111"/>
      <c r="E5" s="114"/>
      <c r="F5" s="126"/>
      <c r="G5" s="129"/>
      <c r="H5" s="148"/>
      <c r="I5" s="120"/>
      <c r="J5" s="107"/>
      <c r="K5" s="123"/>
      <c r="M5" s="4"/>
      <c r="N5" s="4"/>
    </row>
    <row r="6" spans="1:14" ht="16.5" thickBot="1" x14ac:dyDescent="0.3">
      <c r="A6" s="98"/>
      <c r="B6" s="109"/>
      <c r="C6" s="98"/>
      <c r="D6" s="112"/>
      <c r="E6" s="115"/>
      <c r="F6" s="127"/>
      <c r="G6" s="130"/>
      <c r="H6" s="149"/>
      <c r="I6" s="121"/>
      <c r="J6" s="108"/>
      <c r="K6" s="124"/>
      <c r="M6" s="4"/>
      <c r="N6" s="4"/>
    </row>
    <row r="7" spans="1:14" ht="15.75" x14ac:dyDescent="0.25">
      <c r="A7" s="101">
        <v>1</v>
      </c>
      <c r="B7" s="60" t="s">
        <v>4</v>
      </c>
      <c r="C7" s="61"/>
      <c r="D7" s="62"/>
      <c r="E7" s="17" t="s">
        <v>102</v>
      </c>
      <c r="F7" s="17"/>
      <c r="G7" s="63"/>
      <c r="H7" s="63" t="s">
        <v>1</v>
      </c>
      <c r="I7" s="64"/>
      <c r="J7" s="63"/>
      <c r="K7" s="65"/>
      <c r="M7" s="4"/>
      <c r="N7" s="4"/>
    </row>
    <row r="8" spans="1:14" ht="15.75" x14ac:dyDescent="0.25">
      <c r="A8" s="101"/>
      <c r="B8" s="66" t="s">
        <v>107</v>
      </c>
      <c r="C8" s="17" t="s">
        <v>6</v>
      </c>
      <c r="D8" s="9">
        <v>15500</v>
      </c>
      <c r="E8" s="9">
        <v>15500</v>
      </c>
      <c r="F8" s="9">
        <v>15500</v>
      </c>
      <c r="G8" s="9">
        <v>15500</v>
      </c>
      <c r="H8" s="9">
        <v>17000</v>
      </c>
      <c r="I8" s="9">
        <v>17000</v>
      </c>
      <c r="J8" s="16">
        <v>17000</v>
      </c>
      <c r="K8" s="67">
        <f>AVERAGE(D8:J8)</f>
        <v>16142.857142857143</v>
      </c>
      <c r="L8" s="1"/>
      <c r="M8" s="7"/>
      <c r="N8" s="4"/>
    </row>
    <row r="9" spans="1:14" ht="15.75" x14ac:dyDescent="0.25">
      <c r="A9" s="101"/>
      <c r="B9" s="66" t="s">
        <v>115</v>
      </c>
      <c r="C9" s="17" t="s">
        <v>6</v>
      </c>
      <c r="D9" s="9">
        <v>10900</v>
      </c>
      <c r="E9" s="9">
        <v>10900</v>
      </c>
      <c r="F9" s="9">
        <v>10900</v>
      </c>
      <c r="G9" s="8">
        <v>10900</v>
      </c>
      <c r="H9" s="9" t="s">
        <v>99</v>
      </c>
      <c r="I9" s="9" t="s">
        <v>99</v>
      </c>
      <c r="J9" s="16" t="s">
        <v>99</v>
      </c>
      <c r="K9" s="67">
        <f t="shared" ref="K9:K80" si="0">AVERAGE(D9:J9)</f>
        <v>10900</v>
      </c>
      <c r="M9" s="4"/>
      <c r="N9" s="4"/>
    </row>
    <row r="10" spans="1:14" ht="15.75" x14ac:dyDescent="0.25">
      <c r="A10" s="101"/>
      <c r="B10" s="66" t="s">
        <v>108</v>
      </c>
      <c r="C10" s="17" t="s">
        <v>6</v>
      </c>
      <c r="D10" s="9" t="s">
        <v>99</v>
      </c>
      <c r="E10" s="9" t="s">
        <v>99</v>
      </c>
      <c r="F10" s="9" t="s">
        <v>99</v>
      </c>
      <c r="G10" s="8" t="s">
        <v>99</v>
      </c>
      <c r="H10" s="9">
        <v>13000</v>
      </c>
      <c r="I10" s="9" t="s">
        <v>99</v>
      </c>
      <c r="J10" s="16" t="s">
        <v>99</v>
      </c>
      <c r="K10" s="67">
        <f t="shared" si="0"/>
        <v>13000</v>
      </c>
      <c r="M10" s="4"/>
      <c r="N10" s="4"/>
    </row>
    <row r="11" spans="1:14" ht="15.75" x14ac:dyDescent="0.25">
      <c r="A11" s="101"/>
      <c r="B11" s="66" t="s">
        <v>9</v>
      </c>
      <c r="C11" s="17" t="s">
        <v>6</v>
      </c>
      <c r="D11" s="9" t="s">
        <v>99</v>
      </c>
      <c r="E11" s="9">
        <v>10000</v>
      </c>
      <c r="F11" s="16">
        <v>12000</v>
      </c>
      <c r="G11" s="8">
        <v>10000</v>
      </c>
      <c r="H11" s="9">
        <v>10000</v>
      </c>
      <c r="I11" s="16">
        <v>12000</v>
      </c>
      <c r="J11" s="16">
        <v>10000</v>
      </c>
      <c r="K11" s="67">
        <f>AVERAGE(D11:J11)</f>
        <v>10666.666666666666</v>
      </c>
      <c r="M11" s="4"/>
      <c r="N11" s="4"/>
    </row>
    <row r="12" spans="1:14" ht="15.75" x14ac:dyDescent="0.25">
      <c r="A12" s="101"/>
      <c r="B12" s="66" t="s">
        <v>10</v>
      </c>
      <c r="C12" s="17" t="s">
        <v>6</v>
      </c>
      <c r="D12" s="9" t="s">
        <v>99</v>
      </c>
      <c r="E12" s="9">
        <v>21000</v>
      </c>
      <c r="F12" s="16">
        <v>16000</v>
      </c>
      <c r="G12" s="8">
        <v>18000</v>
      </c>
      <c r="H12" s="9">
        <v>25000</v>
      </c>
      <c r="I12" s="16">
        <v>17000</v>
      </c>
      <c r="J12" s="16">
        <v>17000</v>
      </c>
      <c r="K12" s="67">
        <f t="shared" si="0"/>
        <v>19000</v>
      </c>
      <c r="M12" s="4"/>
      <c r="N12" s="12"/>
    </row>
    <row r="13" spans="1:14" ht="15.75" x14ac:dyDescent="0.25">
      <c r="A13" s="101">
        <v>2</v>
      </c>
      <c r="B13" s="60" t="s">
        <v>11</v>
      </c>
      <c r="C13" s="68"/>
      <c r="D13" s="62"/>
      <c r="E13" s="92"/>
      <c r="F13" s="17"/>
      <c r="G13" s="70"/>
      <c r="H13" s="70"/>
      <c r="I13" s="70"/>
      <c r="J13" s="70"/>
      <c r="K13" s="71"/>
      <c r="M13" s="4"/>
      <c r="N13" s="4"/>
    </row>
    <row r="14" spans="1:14" ht="15.75" x14ac:dyDescent="0.25">
      <c r="A14" s="101"/>
      <c r="B14" s="66" t="s">
        <v>116</v>
      </c>
      <c r="C14" s="17" t="s">
        <v>6</v>
      </c>
      <c r="D14" s="9">
        <v>16000</v>
      </c>
      <c r="E14" s="9">
        <v>16500</v>
      </c>
      <c r="F14" s="9">
        <v>17000</v>
      </c>
      <c r="G14" s="16">
        <v>16000</v>
      </c>
      <c r="H14" s="9">
        <v>16500</v>
      </c>
      <c r="I14" s="9">
        <v>16500</v>
      </c>
      <c r="J14" s="72">
        <v>17000</v>
      </c>
      <c r="K14" s="67">
        <f t="shared" si="0"/>
        <v>16500</v>
      </c>
      <c r="M14" s="4"/>
      <c r="N14" s="4"/>
    </row>
    <row r="15" spans="1:14" ht="15.75" x14ac:dyDescent="0.25">
      <c r="A15" s="101"/>
      <c r="B15" s="66" t="s">
        <v>13</v>
      </c>
      <c r="C15" s="17" t="s">
        <v>6</v>
      </c>
      <c r="D15" s="9">
        <v>17000</v>
      </c>
      <c r="E15" s="9">
        <v>16000</v>
      </c>
      <c r="F15" s="16">
        <v>16000</v>
      </c>
      <c r="G15" s="8">
        <v>16000</v>
      </c>
      <c r="H15" s="9">
        <v>17000</v>
      </c>
      <c r="I15" s="9">
        <v>18000</v>
      </c>
      <c r="J15" s="72">
        <v>18000</v>
      </c>
      <c r="K15" s="67">
        <f>AVERAGE(D15:J15)</f>
        <v>16857.142857142859</v>
      </c>
      <c r="M15" s="4"/>
      <c r="N15" s="4"/>
    </row>
    <row r="16" spans="1:14" ht="15.75" x14ac:dyDescent="0.25">
      <c r="A16" s="101">
        <v>3</v>
      </c>
      <c r="B16" s="60" t="s">
        <v>14</v>
      </c>
      <c r="C16" s="73"/>
      <c r="D16" s="74"/>
      <c r="E16" s="15"/>
      <c r="F16" s="15"/>
      <c r="G16" s="15"/>
      <c r="H16" s="15"/>
      <c r="I16" s="15" t="s">
        <v>130</v>
      </c>
      <c r="J16" s="75"/>
      <c r="K16" s="71"/>
      <c r="M16" s="4"/>
      <c r="N16" s="4"/>
    </row>
    <row r="17" spans="1:14" ht="15.75" x14ac:dyDescent="0.25">
      <c r="A17" s="101"/>
      <c r="B17" s="66" t="s">
        <v>15</v>
      </c>
      <c r="C17" s="17" t="s">
        <v>6</v>
      </c>
      <c r="D17" s="9">
        <v>15000</v>
      </c>
      <c r="E17" s="9">
        <v>15000</v>
      </c>
      <c r="F17" s="9">
        <v>16000</v>
      </c>
      <c r="G17" s="9">
        <v>15000</v>
      </c>
      <c r="H17" s="9">
        <v>16000</v>
      </c>
      <c r="I17" s="9">
        <v>16000</v>
      </c>
      <c r="J17" s="72">
        <v>16500</v>
      </c>
      <c r="K17" s="67">
        <f t="shared" si="0"/>
        <v>15642.857142857143</v>
      </c>
      <c r="M17" s="4"/>
      <c r="N17" s="4"/>
    </row>
    <row r="18" spans="1:14" ht="15.75" x14ac:dyDescent="0.25">
      <c r="A18" s="59"/>
      <c r="B18" s="66" t="s">
        <v>109</v>
      </c>
      <c r="C18" s="17" t="s">
        <v>110</v>
      </c>
      <c r="D18" s="9">
        <v>14000</v>
      </c>
      <c r="E18" s="9">
        <v>14000</v>
      </c>
      <c r="F18" s="9">
        <v>14000</v>
      </c>
      <c r="G18" s="9">
        <v>14000</v>
      </c>
      <c r="H18" s="9" t="s">
        <v>99</v>
      </c>
      <c r="I18" s="9">
        <v>14000</v>
      </c>
      <c r="J18" s="72">
        <v>14000</v>
      </c>
      <c r="K18" s="67">
        <f t="shared" si="0"/>
        <v>14000</v>
      </c>
      <c r="M18" s="4"/>
      <c r="N18" s="4"/>
    </row>
    <row r="19" spans="1:14" ht="17.25" customHeight="1" x14ac:dyDescent="0.25">
      <c r="A19" s="101">
        <v>4</v>
      </c>
      <c r="B19" s="60" t="s">
        <v>16</v>
      </c>
      <c r="C19" s="73"/>
      <c r="D19" s="74"/>
      <c r="E19" s="15"/>
      <c r="F19" s="15"/>
      <c r="G19" s="76"/>
      <c r="H19" s="15"/>
      <c r="I19" s="15"/>
      <c r="J19" s="75"/>
      <c r="K19" s="71"/>
      <c r="M19" s="4"/>
      <c r="N19" s="4"/>
    </row>
    <row r="20" spans="1:14" ht="15.75" x14ac:dyDescent="0.25">
      <c r="A20" s="101"/>
      <c r="B20" s="66" t="s">
        <v>17</v>
      </c>
      <c r="C20" s="17" t="s">
        <v>6</v>
      </c>
      <c r="D20" s="9">
        <v>20000</v>
      </c>
      <c r="E20" s="9">
        <v>20000</v>
      </c>
      <c r="F20" s="16">
        <v>20000</v>
      </c>
      <c r="G20" s="8">
        <v>22000</v>
      </c>
      <c r="H20" s="16">
        <v>33000</v>
      </c>
      <c r="I20" s="16">
        <v>20000</v>
      </c>
      <c r="J20" s="77" t="s">
        <v>99</v>
      </c>
      <c r="K20" s="67">
        <f t="shared" si="0"/>
        <v>22500</v>
      </c>
      <c r="M20" s="4"/>
      <c r="N20" s="4"/>
    </row>
    <row r="21" spans="1:14" ht="15.75" x14ac:dyDescent="0.25">
      <c r="A21" s="101">
        <v>5</v>
      </c>
      <c r="B21" s="60" t="s">
        <v>18</v>
      </c>
      <c r="C21" s="73"/>
      <c r="D21" s="74"/>
      <c r="E21" s="17"/>
      <c r="F21" s="15" t="s">
        <v>1</v>
      </c>
      <c r="G21" s="76"/>
      <c r="H21" s="15"/>
      <c r="I21" s="15"/>
      <c r="J21" s="75"/>
      <c r="K21" s="71"/>
      <c r="M21" s="4"/>
      <c r="N21" s="4"/>
    </row>
    <row r="22" spans="1:14" ht="15.75" x14ac:dyDescent="0.25">
      <c r="A22" s="101"/>
      <c r="B22" s="66" t="s">
        <v>19</v>
      </c>
      <c r="C22" s="17" t="s">
        <v>6</v>
      </c>
      <c r="D22" s="9">
        <v>120000</v>
      </c>
      <c r="E22" s="9">
        <v>120000</v>
      </c>
      <c r="F22" s="9">
        <v>120000</v>
      </c>
      <c r="G22" s="9">
        <v>120000</v>
      </c>
      <c r="H22" s="9">
        <v>120000</v>
      </c>
      <c r="I22" s="8">
        <v>120000</v>
      </c>
      <c r="J22" s="72" t="s">
        <v>99</v>
      </c>
      <c r="K22" s="67">
        <f t="shared" si="0"/>
        <v>120000</v>
      </c>
      <c r="M22" s="4"/>
      <c r="N22" s="4"/>
    </row>
    <row r="23" spans="1:14" ht="15.75" x14ac:dyDescent="0.25">
      <c r="A23" s="101"/>
      <c r="B23" s="66" t="s">
        <v>20</v>
      </c>
      <c r="C23" s="17" t="s">
        <v>6</v>
      </c>
      <c r="D23" s="9">
        <v>110000</v>
      </c>
      <c r="E23" s="9">
        <v>110000</v>
      </c>
      <c r="F23" s="9">
        <v>110000</v>
      </c>
      <c r="G23" s="9">
        <v>110000</v>
      </c>
      <c r="H23" s="9">
        <v>115000</v>
      </c>
      <c r="I23" s="9">
        <v>110000</v>
      </c>
      <c r="J23" s="72">
        <v>110000</v>
      </c>
      <c r="K23" s="67">
        <f t="shared" si="0"/>
        <v>110714.28571428571</v>
      </c>
      <c r="M23" s="4"/>
      <c r="N23" s="4"/>
    </row>
    <row r="24" spans="1:14" ht="15.75" x14ac:dyDescent="0.25">
      <c r="A24" s="101"/>
      <c r="B24" s="66" t="s">
        <v>21</v>
      </c>
      <c r="C24" s="17" t="s">
        <v>6</v>
      </c>
      <c r="D24" s="9">
        <v>90000</v>
      </c>
      <c r="E24" s="9">
        <v>90000</v>
      </c>
      <c r="F24" s="9">
        <v>100000</v>
      </c>
      <c r="G24" s="9">
        <v>105000</v>
      </c>
      <c r="H24" s="9">
        <v>120000</v>
      </c>
      <c r="I24" s="8">
        <v>100000</v>
      </c>
      <c r="J24" s="72">
        <v>105000</v>
      </c>
      <c r="K24" s="67">
        <f t="shared" si="0"/>
        <v>101428.57142857143</v>
      </c>
      <c r="M24" s="4"/>
      <c r="N24" s="4"/>
    </row>
    <row r="25" spans="1:14" ht="15.75" x14ac:dyDescent="0.25">
      <c r="A25" s="101"/>
      <c r="B25" s="66" t="s">
        <v>22</v>
      </c>
      <c r="C25" s="17" t="s">
        <v>6</v>
      </c>
      <c r="D25" s="9">
        <v>34000</v>
      </c>
      <c r="E25" s="9">
        <v>31000</v>
      </c>
      <c r="F25" s="9">
        <v>34000</v>
      </c>
      <c r="G25" s="9">
        <v>33000</v>
      </c>
      <c r="H25" s="72">
        <v>33000</v>
      </c>
      <c r="I25" s="9">
        <v>35000</v>
      </c>
      <c r="J25" s="72">
        <v>34000</v>
      </c>
      <c r="K25" s="67">
        <f t="shared" si="0"/>
        <v>33428.571428571428</v>
      </c>
      <c r="M25" s="4"/>
      <c r="N25" s="4"/>
    </row>
    <row r="26" spans="1:14" ht="15.75" x14ac:dyDescent="0.25">
      <c r="A26" s="101">
        <v>6</v>
      </c>
      <c r="B26" s="60" t="s">
        <v>23</v>
      </c>
      <c r="C26" s="73"/>
      <c r="D26" s="74"/>
      <c r="E26" s="17"/>
      <c r="F26" s="76"/>
      <c r="G26" s="15"/>
      <c r="H26" s="75"/>
      <c r="I26" s="15"/>
      <c r="J26" s="75"/>
      <c r="K26" s="71"/>
      <c r="M26" s="4"/>
      <c r="N26" s="4"/>
    </row>
    <row r="27" spans="1:14" ht="15.75" x14ac:dyDescent="0.25">
      <c r="A27" s="101"/>
      <c r="B27" s="66" t="s">
        <v>24</v>
      </c>
      <c r="C27" s="17" t="s">
        <v>6</v>
      </c>
      <c r="D27" s="9">
        <v>32000</v>
      </c>
      <c r="E27" s="9">
        <v>35000</v>
      </c>
      <c r="F27" s="9" t="s">
        <v>99</v>
      </c>
      <c r="G27" s="9">
        <v>40000</v>
      </c>
      <c r="H27" s="9">
        <v>28000</v>
      </c>
      <c r="I27" s="9" t="s">
        <v>99</v>
      </c>
      <c r="J27" s="72">
        <v>30000</v>
      </c>
      <c r="K27" s="67">
        <f t="shared" si="0"/>
        <v>33000</v>
      </c>
      <c r="L27" t="s">
        <v>100</v>
      </c>
      <c r="M27" s="4"/>
      <c r="N27" s="4"/>
    </row>
    <row r="28" spans="1:14" ht="15.75" x14ac:dyDescent="0.25">
      <c r="A28" s="101"/>
      <c r="B28" s="66" t="s">
        <v>25</v>
      </c>
      <c r="C28" s="17" t="s">
        <v>6</v>
      </c>
      <c r="D28" s="9">
        <v>30000</v>
      </c>
      <c r="E28" s="9">
        <v>28000</v>
      </c>
      <c r="F28" s="9">
        <v>35000</v>
      </c>
      <c r="G28" s="8">
        <v>30000</v>
      </c>
      <c r="H28" s="9">
        <v>22000</v>
      </c>
      <c r="I28" s="9">
        <v>26000</v>
      </c>
      <c r="J28" s="78">
        <v>30000</v>
      </c>
      <c r="K28" s="67">
        <f t="shared" si="0"/>
        <v>28714.285714285714</v>
      </c>
      <c r="M28" s="4"/>
      <c r="N28" s="4"/>
    </row>
    <row r="29" spans="1:14" ht="15.75" x14ac:dyDescent="0.25">
      <c r="A29" s="101"/>
      <c r="B29" s="66" t="s">
        <v>26</v>
      </c>
      <c r="C29" s="17" t="s">
        <v>6</v>
      </c>
      <c r="D29" s="9">
        <v>60000</v>
      </c>
      <c r="E29" s="9">
        <v>60000</v>
      </c>
      <c r="F29" s="16">
        <v>60000</v>
      </c>
      <c r="G29" s="8">
        <v>70000</v>
      </c>
      <c r="H29" s="9">
        <v>65000</v>
      </c>
      <c r="I29" s="9">
        <v>60000</v>
      </c>
      <c r="J29" s="79">
        <v>60000</v>
      </c>
      <c r="K29" s="67">
        <f t="shared" si="0"/>
        <v>62142.857142857145</v>
      </c>
      <c r="M29" s="4"/>
      <c r="N29" s="4"/>
    </row>
    <row r="30" spans="1:14" ht="15.75" x14ac:dyDescent="0.25">
      <c r="A30" s="101"/>
      <c r="B30" s="66" t="s">
        <v>27</v>
      </c>
      <c r="C30" s="17" t="s">
        <v>6</v>
      </c>
      <c r="D30" s="9">
        <v>25000</v>
      </c>
      <c r="E30" s="9" t="s">
        <v>99</v>
      </c>
      <c r="F30" s="10" t="s">
        <v>99</v>
      </c>
      <c r="G30" s="8">
        <v>25000</v>
      </c>
      <c r="H30" s="9">
        <v>23000</v>
      </c>
      <c r="I30" s="9" t="s">
        <v>99</v>
      </c>
      <c r="J30" s="79">
        <v>26000</v>
      </c>
      <c r="K30" s="67">
        <f t="shared" si="0"/>
        <v>24750</v>
      </c>
      <c r="M30" s="4"/>
      <c r="N30" s="4"/>
    </row>
    <row r="31" spans="1:14" ht="15.75" x14ac:dyDescent="0.25">
      <c r="A31" s="101"/>
      <c r="B31" s="66" t="s">
        <v>28</v>
      </c>
      <c r="C31" s="17" t="s">
        <v>6</v>
      </c>
      <c r="D31" s="9">
        <v>32000</v>
      </c>
      <c r="E31" s="9">
        <v>36000</v>
      </c>
      <c r="F31" s="9">
        <v>40000</v>
      </c>
      <c r="G31" s="9">
        <v>40000</v>
      </c>
      <c r="H31" s="9">
        <v>28000</v>
      </c>
      <c r="I31" s="9">
        <v>40000</v>
      </c>
      <c r="J31" s="72">
        <v>35000</v>
      </c>
      <c r="K31" s="67">
        <f t="shared" si="0"/>
        <v>35857.142857142855</v>
      </c>
      <c r="M31" s="4"/>
      <c r="N31" s="4"/>
    </row>
    <row r="32" spans="1:14" ht="15.75" x14ac:dyDescent="0.25">
      <c r="A32" s="101"/>
      <c r="B32" s="66" t="s">
        <v>29</v>
      </c>
      <c r="C32" s="17" t="s">
        <v>6</v>
      </c>
      <c r="D32" s="9" t="s">
        <v>99</v>
      </c>
      <c r="E32" s="9">
        <v>100000</v>
      </c>
      <c r="F32" s="9">
        <v>100000</v>
      </c>
      <c r="G32" s="9" t="s">
        <v>99</v>
      </c>
      <c r="H32" s="9">
        <v>80000</v>
      </c>
      <c r="I32" s="9">
        <v>100000</v>
      </c>
      <c r="J32" s="79">
        <v>70000</v>
      </c>
      <c r="K32" s="67">
        <f t="shared" si="0"/>
        <v>90000</v>
      </c>
      <c r="M32" s="4"/>
      <c r="N32" s="4"/>
    </row>
    <row r="33" spans="1:14" ht="15.75" x14ac:dyDescent="0.25">
      <c r="A33" s="101">
        <v>7</v>
      </c>
      <c r="B33" s="60" t="s">
        <v>30</v>
      </c>
      <c r="C33" s="73"/>
      <c r="D33" s="74"/>
      <c r="E33" s="17"/>
      <c r="F33" s="76"/>
      <c r="G33" s="76"/>
      <c r="H33" s="15"/>
      <c r="I33" s="15"/>
      <c r="J33" s="75"/>
      <c r="K33" s="71"/>
      <c r="M33" s="4"/>
      <c r="N33" s="4"/>
    </row>
    <row r="34" spans="1:14" ht="15.75" x14ac:dyDescent="0.25">
      <c r="A34" s="101"/>
      <c r="B34" s="66" t="s">
        <v>31</v>
      </c>
      <c r="C34" s="17" t="s">
        <v>6</v>
      </c>
      <c r="D34" s="9">
        <v>30000</v>
      </c>
      <c r="E34" s="9">
        <v>27000</v>
      </c>
      <c r="F34" s="9">
        <v>30000</v>
      </c>
      <c r="G34" s="9">
        <v>27000</v>
      </c>
      <c r="H34" s="9">
        <v>29000</v>
      </c>
      <c r="I34" s="9">
        <v>27000</v>
      </c>
      <c r="J34" s="72">
        <v>30000</v>
      </c>
      <c r="K34" s="67">
        <f t="shared" si="0"/>
        <v>28571.428571428572</v>
      </c>
      <c r="M34" s="4"/>
      <c r="N34" s="4"/>
    </row>
    <row r="35" spans="1:14" ht="15.75" x14ac:dyDescent="0.25">
      <c r="A35" s="101"/>
      <c r="B35" s="66" t="s">
        <v>32</v>
      </c>
      <c r="C35" s="17" t="s">
        <v>33</v>
      </c>
      <c r="D35" s="9">
        <v>3000</v>
      </c>
      <c r="E35" s="9">
        <v>2500</v>
      </c>
      <c r="F35" s="9">
        <v>2500</v>
      </c>
      <c r="G35" s="9">
        <v>2800</v>
      </c>
      <c r="H35" s="9">
        <v>2800</v>
      </c>
      <c r="I35" s="9">
        <v>3000</v>
      </c>
      <c r="J35" s="72">
        <v>3000</v>
      </c>
      <c r="K35" s="67">
        <f t="shared" si="0"/>
        <v>2800</v>
      </c>
      <c r="M35" s="4"/>
      <c r="N35" s="4"/>
    </row>
    <row r="36" spans="1:14" ht="15.75" x14ac:dyDescent="0.25">
      <c r="A36" s="59">
        <v>8</v>
      </c>
      <c r="B36" s="73" t="s">
        <v>117</v>
      </c>
      <c r="C36" s="80"/>
      <c r="D36" s="9"/>
      <c r="E36" s="9"/>
      <c r="F36" s="9"/>
      <c r="G36" s="9"/>
      <c r="H36" s="9"/>
      <c r="I36" s="9"/>
      <c r="J36" s="72"/>
      <c r="K36" s="81"/>
      <c r="M36" s="4"/>
      <c r="N36" s="4"/>
    </row>
    <row r="37" spans="1:14" ht="15.75" x14ac:dyDescent="0.25">
      <c r="A37" s="59"/>
      <c r="B37" s="66" t="s">
        <v>118</v>
      </c>
      <c r="C37" s="17" t="s">
        <v>6</v>
      </c>
      <c r="D37" s="9">
        <v>10000</v>
      </c>
      <c r="E37" s="9">
        <v>1250</v>
      </c>
      <c r="F37" s="9">
        <v>9000</v>
      </c>
      <c r="G37" s="9">
        <v>9000</v>
      </c>
      <c r="H37" s="9">
        <v>16000</v>
      </c>
      <c r="I37" s="9">
        <v>9000</v>
      </c>
      <c r="J37" s="72">
        <v>3000</v>
      </c>
      <c r="K37" s="67">
        <f t="shared" si="0"/>
        <v>8178.5714285714284</v>
      </c>
      <c r="M37" s="4"/>
      <c r="N37" s="4"/>
    </row>
    <row r="38" spans="1:14" ht="15.75" x14ac:dyDescent="0.25">
      <c r="A38" s="59"/>
      <c r="B38" s="66" t="s">
        <v>119</v>
      </c>
      <c r="C38" s="17" t="s">
        <v>6</v>
      </c>
      <c r="D38" s="9" t="s">
        <v>99</v>
      </c>
      <c r="E38" s="9">
        <v>10000</v>
      </c>
      <c r="F38" s="9">
        <v>12000</v>
      </c>
      <c r="G38" s="9">
        <v>14000</v>
      </c>
      <c r="H38" s="9" t="s">
        <v>99</v>
      </c>
      <c r="I38" s="9">
        <v>12000</v>
      </c>
      <c r="J38" s="72">
        <v>12000</v>
      </c>
      <c r="K38" s="67">
        <f>AVERAGE(D38:J38)</f>
        <v>12000</v>
      </c>
      <c r="M38" s="4"/>
      <c r="N38" s="4"/>
    </row>
    <row r="39" spans="1:14" ht="15.75" x14ac:dyDescent="0.25">
      <c r="A39" s="59">
        <v>9</v>
      </c>
      <c r="B39" s="82" t="s">
        <v>120</v>
      </c>
      <c r="C39" s="83"/>
      <c r="D39" s="9"/>
      <c r="E39" s="9"/>
      <c r="F39" s="9"/>
      <c r="G39" s="9"/>
      <c r="H39" s="9"/>
      <c r="I39" s="9"/>
      <c r="J39" s="72"/>
      <c r="K39" s="81"/>
      <c r="M39" s="4"/>
      <c r="N39" s="4"/>
    </row>
    <row r="40" spans="1:14" ht="15.75" x14ac:dyDescent="0.25">
      <c r="A40" s="59"/>
      <c r="B40" s="66" t="s">
        <v>121</v>
      </c>
      <c r="C40" s="17" t="s">
        <v>6</v>
      </c>
      <c r="D40" s="9" t="s">
        <v>99</v>
      </c>
      <c r="E40" s="9" t="s">
        <v>99</v>
      </c>
      <c r="F40" s="9" t="s">
        <v>99</v>
      </c>
      <c r="G40" s="9">
        <v>16000</v>
      </c>
      <c r="H40" s="9">
        <v>14000</v>
      </c>
      <c r="I40" s="9" t="s">
        <v>99</v>
      </c>
      <c r="J40" s="72">
        <v>15000</v>
      </c>
      <c r="K40" s="67">
        <f t="shared" si="0"/>
        <v>15000</v>
      </c>
      <c r="M40" s="4"/>
      <c r="N40" s="4"/>
    </row>
    <row r="41" spans="1:14" ht="15.75" x14ac:dyDescent="0.25">
      <c r="A41" s="59"/>
      <c r="B41" s="66" t="s">
        <v>122</v>
      </c>
      <c r="C41" s="17" t="s">
        <v>6</v>
      </c>
      <c r="D41" s="9" t="s">
        <v>99</v>
      </c>
      <c r="E41" s="9" t="s">
        <v>99</v>
      </c>
      <c r="F41" s="9">
        <v>6000</v>
      </c>
      <c r="G41" s="9" t="s">
        <v>99</v>
      </c>
      <c r="H41" s="9" t="s">
        <v>99</v>
      </c>
      <c r="I41" s="9">
        <v>6000</v>
      </c>
      <c r="J41" s="72" t="s">
        <v>99</v>
      </c>
      <c r="K41" s="67">
        <f t="shared" si="0"/>
        <v>6000</v>
      </c>
      <c r="M41" s="4"/>
      <c r="N41" s="4"/>
    </row>
    <row r="42" spans="1:14" ht="15.75" x14ac:dyDescent="0.25">
      <c r="A42" s="59"/>
      <c r="B42" s="66" t="s">
        <v>123</v>
      </c>
      <c r="C42" s="17" t="s">
        <v>6</v>
      </c>
      <c r="D42" s="9" t="s">
        <v>99</v>
      </c>
      <c r="E42" s="9">
        <v>2500</v>
      </c>
      <c r="F42" s="9" t="s">
        <v>99</v>
      </c>
      <c r="G42" s="9" t="s">
        <v>99</v>
      </c>
      <c r="H42" s="9" t="s">
        <v>99</v>
      </c>
      <c r="I42" s="9" t="s">
        <v>99</v>
      </c>
      <c r="J42" s="72" t="s">
        <v>99</v>
      </c>
      <c r="K42" s="67">
        <f t="shared" si="0"/>
        <v>2500</v>
      </c>
      <c r="M42" s="4"/>
      <c r="N42" s="4"/>
    </row>
    <row r="43" spans="1:14" ht="15.75" x14ac:dyDescent="0.25">
      <c r="A43" s="101">
        <v>10</v>
      </c>
      <c r="B43" s="60" t="s">
        <v>34</v>
      </c>
      <c r="C43" s="73"/>
      <c r="D43" s="74"/>
      <c r="E43" s="17"/>
      <c r="F43" s="76"/>
      <c r="G43" s="15"/>
      <c r="H43" s="15"/>
      <c r="I43" s="15"/>
      <c r="J43" s="84"/>
      <c r="K43" s="71"/>
      <c r="M43" s="4"/>
      <c r="N43" s="4"/>
    </row>
    <row r="44" spans="1:14" ht="15.75" x14ac:dyDescent="0.25">
      <c r="A44" s="101"/>
      <c r="B44" s="66" t="s">
        <v>35</v>
      </c>
      <c r="C44" s="17" t="s">
        <v>36</v>
      </c>
      <c r="D44" s="9">
        <v>12000</v>
      </c>
      <c r="E44" s="9">
        <v>12000</v>
      </c>
      <c r="F44" s="9">
        <v>12500</v>
      </c>
      <c r="G44" s="9">
        <v>12500</v>
      </c>
      <c r="H44" s="10" t="s">
        <v>99</v>
      </c>
      <c r="I44" s="16">
        <v>12500</v>
      </c>
      <c r="J44" s="72">
        <v>12500</v>
      </c>
      <c r="K44" s="67">
        <f t="shared" si="0"/>
        <v>12333.333333333334</v>
      </c>
      <c r="M44" s="4"/>
      <c r="N44" s="4"/>
    </row>
    <row r="45" spans="1:14" ht="15.75" x14ac:dyDescent="0.25">
      <c r="A45" s="101"/>
      <c r="B45" s="66" t="s">
        <v>124</v>
      </c>
      <c r="C45" s="17" t="s">
        <v>36</v>
      </c>
      <c r="D45" s="9">
        <v>12000</v>
      </c>
      <c r="E45" s="9">
        <v>13000</v>
      </c>
      <c r="F45" s="16">
        <v>12500</v>
      </c>
      <c r="G45" s="9">
        <v>12500</v>
      </c>
      <c r="H45" s="10" t="s">
        <v>99</v>
      </c>
      <c r="I45" s="16">
        <v>12500</v>
      </c>
      <c r="J45" s="79">
        <v>12500</v>
      </c>
      <c r="K45" s="67">
        <f>AVERAGE(D45:J45)</f>
        <v>12500</v>
      </c>
      <c r="M45" s="4"/>
      <c r="N45" s="4"/>
    </row>
    <row r="46" spans="1:14" ht="15.75" x14ac:dyDescent="0.25">
      <c r="A46" s="101">
        <v>11</v>
      </c>
      <c r="B46" s="60" t="s">
        <v>38</v>
      </c>
      <c r="C46" s="73"/>
      <c r="D46" s="74"/>
      <c r="E46" s="17"/>
      <c r="F46" s="15"/>
      <c r="G46" s="76"/>
      <c r="H46" s="15"/>
      <c r="I46" s="15"/>
      <c r="J46" s="75"/>
      <c r="K46" s="71"/>
      <c r="M46" s="4"/>
      <c r="N46" s="4"/>
    </row>
    <row r="47" spans="1:14" ht="15.75" x14ac:dyDescent="0.25">
      <c r="A47" s="101"/>
      <c r="B47" s="66" t="s">
        <v>39</v>
      </c>
      <c r="C47" s="17" t="s">
        <v>40</v>
      </c>
      <c r="D47" s="9" t="s">
        <v>99</v>
      </c>
      <c r="E47" s="9" t="s">
        <v>99</v>
      </c>
      <c r="F47" s="10" t="s">
        <v>99</v>
      </c>
      <c r="G47" s="8" t="s">
        <v>99</v>
      </c>
      <c r="H47" s="9">
        <v>17500</v>
      </c>
      <c r="I47" s="16" t="s">
        <v>99</v>
      </c>
      <c r="J47" s="79" t="s">
        <v>99</v>
      </c>
      <c r="K47" s="67">
        <f t="shared" si="0"/>
        <v>17500</v>
      </c>
      <c r="M47" s="4"/>
      <c r="N47" s="4"/>
    </row>
    <row r="48" spans="1:14" ht="15.75" x14ac:dyDescent="0.25">
      <c r="A48" s="101"/>
      <c r="B48" s="66" t="s">
        <v>41</v>
      </c>
      <c r="C48" s="17" t="s">
        <v>42</v>
      </c>
      <c r="D48" s="9" t="s">
        <v>99</v>
      </c>
      <c r="E48" s="9" t="s">
        <v>99</v>
      </c>
      <c r="F48" s="10" t="s">
        <v>99</v>
      </c>
      <c r="G48" s="8" t="s">
        <v>99</v>
      </c>
      <c r="H48" s="9">
        <v>2000</v>
      </c>
      <c r="I48" s="16" t="s">
        <v>99</v>
      </c>
      <c r="J48" s="79" t="s">
        <v>99</v>
      </c>
      <c r="K48" s="67">
        <f t="shared" si="0"/>
        <v>2000</v>
      </c>
      <c r="M48" s="4"/>
      <c r="N48" s="4"/>
    </row>
    <row r="49" spans="1:14" ht="15.75" x14ac:dyDescent="0.25">
      <c r="A49" s="59">
        <v>12</v>
      </c>
      <c r="B49" s="85" t="s">
        <v>43</v>
      </c>
      <c r="C49" s="80"/>
      <c r="D49" s="19"/>
      <c r="E49" s="10"/>
      <c r="F49" s="10"/>
      <c r="G49" s="22"/>
      <c r="H49" s="10"/>
      <c r="I49" s="10"/>
      <c r="J49" s="77"/>
      <c r="K49" s="71"/>
      <c r="M49" s="4"/>
      <c r="N49" s="4"/>
    </row>
    <row r="50" spans="1:14" ht="15.75" x14ac:dyDescent="0.25">
      <c r="A50" s="59"/>
      <c r="B50" s="66" t="s">
        <v>44</v>
      </c>
      <c r="C50" s="86" t="s">
        <v>6</v>
      </c>
      <c r="D50" s="9">
        <v>10000</v>
      </c>
      <c r="E50" s="9">
        <v>8000</v>
      </c>
      <c r="F50" s="9">
        <v>10000</v>
      </c>
      <c r="G50" s="9">
        <v>10000</v>
      </c>
      <c r="H50" s="9">
        <v>15000</v>
      </c>
      <c r="I50" s="8">
        <v>15000</v>
      </c>
      <c r="J50" s="72">
        <v>15000</v>
      </c>
      <c r="K50" s="67">
        <f t="shared" si="0"/>
        <v>11857.142857142857</v>
      </c>
      <c r="M50" s="4"/>
      <c r="N50" s="4"/>
    </row>
    <row r="51" spans="1:14" ht="15.75" x14ac:dyDescent="0.25">
      <c r="A51" s="59"/>
      <c r="B51" s="66" t="s">
        <v>45</v>
      </c>
      <c r="C51" s="86" t="s">
        <v>6</v>
      </c>
      <c r="D51" s="9" t="s">
        <v>99</v>
      </c>
      <c r="E51" s="9">
        <v>10000</v>
      </c>
      <c r="F51" s="8">
        <v>9000</v>
      </c>
      <c r="G51" s="9">
        <v>10000</v>
      </c>
      <c r="H51" s="9">
        <v>12000</v>
      </c>
      <c r="I51" s="9">
        <v>12000</v>
      </c>
      <c r="J51" s="72">
        <v>10000</v>
      </c>
      <c r="K51" s="67">
        <f t="shared" si="0"/>
        <v>10500</v>
      </c>
      <c r="M51" s="4"/>
      <c r="N51" s="4"/>
    </row>
    <row r="52" spans="1:14" ht="15.75" x14ac:dyDescent="0.25">
      <c r="A52" s="101">
        <v>13</v>
      </c>
      <c r="B52" s="60" t="s">
        <v>46</v>
      </c>
      <c r="C52" s="73"/>
      <c r="D52" s="74"/>
      <c r="E52" s="17"/>
      <c r="F52" s="76"/>
      <c r="G52" s="76"/>
      <c r="H52" s="15"/>
      <c r="I52" s="15"/>
      <c r="J52" s="84"/>
      <c r="K52" s="71"/>
      <c r="M52" s="4"/>
      <c r="N52" s="4"/>
    </row>
    <row r="53" spans="1:14" ht="15.75" x14ac:dyDescent="0.25">
      <c r="A53" s="101"/>
      <c r="B53" s="66" t="s">
        <v>47</v>
      </c>
      <c r="C53" s="17" t="s">
        <v>125</v>
      </c>
      <c r="D53" s="9">
        <v>3000</v>
      </c>
      <c r="E53" s="9">
        <v>4000</v>
      </c>
      <c r="F53" s="9">
        <v>5000</v>
      </c>
      <c r="G53" s="9">
        <v>5000</v>
      </c>
      <c r="H53" s="9">
        <v>2500</v>
      </c>
      <c r="I53" s="16">
        <v>5000</v>
      </c>
      <c r="J53" s="72">
        <v>2500</v>
      </c>
      <c r="K53" s="67">
        <f t="shared" si="0"/>
        <v>3857.1428571428573</v>
      </c>
      <c r="M53" s="4" t="s">
        <v>101</v>
      </c>
      <c r="N53" s="4"/>
    </row>
    <row r="54" spans="1:14" ht="15.75" x14ac:dyDescent="0.25">
      <c r="A54" s="101">
        <v>14</v>
      </c>
      <c r="B54" s="60" t="s">
        <v>49</v>
      </c>
      <c r="C54" s="80"/>
      <c r="D54" s="62"/>
      <c r="E54" s="17"/>
      <c r="F54" s="20"/>
      <c r="G54" s="20"/>
      <c r="H54" s="17"/>
      <c r="I54" s="17"/>
      <c r="J54" s="87"/>
      <c r="K54" s="71"/>
      <c r="M54" s="4"/>
      <c r="N54" s="23"/>
    </row>
    <row r="55" spans="1:14" ht="15.75" x14ac:dyDescent="0.25">
      <c r="A55" s="101"/>
      <c r="B55" s="88" t="s">
        <v>50</v>
      </c>
      <c r="C55" s="86" t="s">
        <v>6</v>
      </c>
      <c r="D55" s="9">
        <v>10000</v>
      </c>
      <c r="E55" s="9">
        <v>10500</v>
      </c>
      <c r="F55" s="9">
        <v>10000</v>
      </c>
      <c r="G55" s="9">
        <v>11000</v>
      </c>
      <c r="H55" s="9">
        <v>12000</v>
      </c>
      <c r="I55" s="9">
        <v>10000</v>
      </c>
      <c r="J55" s="72">
        <v>10000</v>
      </c>
      <c r="K55" s="67">
        <f t="shared" si="0"/>
        <v>10500</v>
      </c>
      <c r="M55" s="4"/>
      <c r="N55" s="4"/>
    </row>
    <row r="56" spans="1:14" ht="15.75" x14ac:dyDescent="0.25">
      <c r="A56" s="101">
        <v>15</v>
      </c>
      <c r="B56" s="60" t="s">
        <v>51</v>
      </c>
      <c r="C56" s="73"/>
      <c r="D56" s="74"/>
      <c r="E56" s="17"/>
      <c r="F56" s="76"/>
      <c r="G56" s="15"/>
      <c r="H56" s="15"/>
      <c r="I56" s="15"/>
      <c r="J56" s="84"/>
      <c r="K56" s="71"/>
      <c r="M56" s="4"/>
      <c r="N56" s="4"/>
    </row>
    <row r="57" spans="1:14" ht="15.75" x14ac:dyDescent="0.25">
      <c r="A57" s="101"/>
      <c r="B57" s="66" t="s">
        <v>52</v>
      </c>
      <c r="C57" s="17" t="s">
        <v>6</v>
      </c>
      <c r="D57" s="9">
        <v>16000</v>
      </c>
      <c r="E57" s="9">
        <v>13000</v>
      </c>
      <c r="F57" s="9">
        <v>14000</v>
      </c>
      <c r="G57" s="9">
        <v>14000</v>
      </c>
      <c r="H57" s="9">
        <v>11500</v>
      </c>
      <c r="I57" s="9">
        <v>17000</v>
      </c>
      <c r="J57" s="72" t="s">
        <v>99</v>
      </c>
      <c r="K57" s="67">
        <f t="shared" si="0"/>
        <v>14250</v>
      </c>
      <c r="M57" s="4"/>
      <c r="N57" s="4"/>
    </row>
    <row r="58" spans="1:14" ht="15.75" x14ac:dyDescent="0.25">
      <c r="A58" s="101"/>
      <c r="B58" s="66" t="s">
        <v>53</v>
      </c>
      <c r="C58" s="17" t="s">
        <v>6</v>
      </c>
      <c r="D58" s="9" t="s">
        <v>99</v>
      </c>
      <c r="E58" s="9" t="s">
        <v>99</v>
      </c>
      <c r="F58" s="16">
        <v>15000</v>
      </c>
      <c r="G58" s="22" t="s">
        <v>99</v>
      </c>
      <c r="H58" s="9">
        <v>13000</v>
      </c>
      <c r="I58" s="8">
        <v>15000</v>
      </c>
      <c r="J58" s="72">
        <v>14000</v>
      </c>
      <c r="K58" s="67">
        <f t="shared" si="0"/>
        <v>14250</v>
      </c>
      <c r="M58" s="4"/>
      <c r="N58" s="4"/>
    </row>
    <row r="59" spans="1:14" ht="15.75" x14ac:dyDescent="0.25">
      <c r="A59" s="101"/>
      <c r="B59" s="66" t="s">
        <v>54</v>
      </c>
      <c r="C59" s="17" t="s">
        <v>6</v>
      </c>
      <c r="D59" s="9">
        <v>25000</v>
      </c>
      <c r="E59" s="9">
        <v>23000</v>
      </c>
      <c r="F59" s="9">
        <v>23000</v>
      </c>
      <c r="G59" s="9">
        <v>23000</v>
      </c>
      <c r="H59" s="9">
        <v>20000</v>
      </c>
      <c r="I59" s="9">
        <v>23000</v>
      </c>
      <c r="J59" s="72">
        <v>24000</v>
      </c>
      <c r="K59" s="67">
        <f t="shared" si="0"/>
        <v>23000</v>
      </c>
      <c r="M59" s="4"/>
      <c r="N59" s="4"/>
    </row>
    <row r="60" spans="1:14" ht="15.75" x14ac:dyDescent="0.25">
      <c r="A60" s="101"/>
      <c r="B60" s="66" t="s">
        <v>55</v>
      </c>
      <c r="C60" s="17" t="s">
        <v>6</v>
      </c>
      <c r="D60" s="9">
        <v>31000</v>
      </c>
      <c r="E60" s="9">
        <v>30000</v>
      </c>
      <c r="F60" s="9">
        <v>28000</v>
      </c>
      <c r="G60" s="9">
        <v>30000</v>
      </c>
      <c r="H60" s="9">
        <v>27000</v>
      </c>
      <c r="I60" s="9">
        <v>28000</v>
      </c>
      <c r="J60" s="72">
        <v>28000</v>
      </c>
      <c r="K60" s="67">
        <f t="shared" si="0"/>
        <v>28857.142857142859</v>
      </c>
      <c r="M60" s="4"/>
      <c r="N60" s="4"/>
    </row>
    <row r="61" spans="1:14" ht="15.75" x14ac:dyDescent="0.25">
      <c r="A61" s="17">
        <v>16</v>
      </c>
      <c r="B61" s="60" t="s">
        <v>56</v>
      </c>
      <c r="C61" s="80"/>
      <c r="D61" s="89"/>
      <c r="E61" s="10"/>
      <c r="F61" s="22"/>
      <c r="G61" s="10"/>
      <c r="H61" s="10"/>
      <c r="I61" s="10"/>
      <c r="J61" s="90"/>
      <c r="K61" s="71"/>
      <c r="M61" s="4"/>
      <c r="N61" s="4"/>
    </row>
    <row r="62" spans="1:14" ht="15.75" x14ac:dyDescent="0.25">
      <c r="A62" s="17"/>
      <c r="B62" s="66" t="s">
        <v>57</v>
      </c>
      <c r="C62" s="86" t="s">
        <v>58</v>
      </c>
      <c r="D62" s="9">
        <v>3000</v>
      </c>
      <c r="E62" s="9">
        <v>3200</v>
      </c>
      <c r="F62" s="9">
        <v>3000</v>
      </c>
      <c r="G62" s="9">
        <v>3000</v>
      </c>
      <c r="H62" s="10" t="s">
        <v>99</v>
      </c>
      <c r="I62" s="16">
        <v>3000</v>
      </c>
      <c r="J62" s="72">
        <v>3500</v>
      </c>
      <c r="K62" s="67">
        <f t="shared" si="0"/>
        <v>3116.6666666666665</v>
      </c>
      <c r="M62" s="4"/>
      <c r="N62" s="4"/>
    </row>
    <row r="63" spans="1:14" ht="15.75" x14ac:dyDescent="0.25">
      <c r="A63" s="101">
        <v>17</v>
      </c>
      <c r="B63" s="60" t="s">
        <v>59</v>
      </c>
      <c r="C63" s="73"/>
      <c r="D63" s="74"/>
      <c r="E63" s="17"/>
      <c r="F63" s="76"/>
      <c r="G63" s="76"/>
      <c r="H63" s="15"/>
      <c r="I63" s="15"/>
      <c r="J63" s="84"/>
      <c r="K63" s="71"/>
      <c r="M63" s="4"/>
      <c r="N63" s="4"/>
    </row>
    <row r="64" spans="1:14" ht="15.75" x14ac:dyDescent="0.25">
      <c r="A64" s="101"/>
      <c r="B64" s="66" t="s">
        <v>60</v>
      </c>
      <c r="C64" s="17" t="s">
        <v>6</v>
      </c>
      <c r="D64" s="9">
        <v>90000</v>
      </c>
      <c r="E64" s="9">
        <v>70000</v>
      </c>
      <c r="F64" s="9">
        <v>82000</v>
      </c>
      <c r="G64" s="9">
        <v>70000</v>
      </c>
      <c r="H64" s="9">
        <v>85000</v>
      </c>
      <c r="I64" s="9">
        <v>90000</v>
      </c>
      <c r="J64" s="72">
        <v>80000</v>
      </c>
      <c r="K64" s="67">
        <f t="shared" si="0"/>
        <v>81000</v>
      </c>
      <c r="M64" s="4"/>
      <c r="N64" s="4"/>
    </row>
    <row r="65" spans="1:14" ht="15.75" x14ac:dyDescent="0.25">
      <c r="A65" s="101"/>
      <c r="B65" s="66" t="s">
        <v>61</v>
      </c>
      <c r="C65" s="17" t="s">
        <v>6</v>
      </c>
      <c r="D65" s="9">
        <v>80000</v>
      </c>
      <c r="E65" s="9">
        <v>70000</v>
      </c>
      <c r="F65" s="9">
        <v>67000</v>
      </c>
      <c r="G65" s="9">
        <v>70000</v>
      </c>
      <c r="H65" s="9">
        <v>80000</v>
      </c>
      <c r="I65" s="8">
        <v>65000</v>
      </c>
      <c r="J65" s="72">
        <v>75000</v>
      </c>
      <c r="K65" s="67">
        <f t="shared" si="0"/>
        <v>72428.571428571435</v>
      </c>
      <c r="M65" s="4"/>
      <c r="N65" s="4"/>
    </row>
    <row r="66" spans="1:14" ht="15.75" x14ac:dyDescent="0.25">
      <c r="A66" s="101"/>
      <c r="B66" s="66" t="s">
        <v>62</v>
      </c>
      <c r="C66" s="17" t="s">
        <v>6</v>
      </c>
      <c r="D66" s="9">
        <v>50000</v>
      </c>
      <c r="E66" s="9">
        <v>60000</v>
      </c>
      <c r="F66" s="9">
        <v>47000</v>
      </c>
      <c r="G66" s="9">
        <v>60000</v>
      </c>
      <c r="H66" s="9">
        <v>60000</v>
      </c>
      <c r="I66" s="9">
        <v>80000</v>
      </c>
      <c r="J66" s="72">
        <v>44000</v>
      </c>
      <c r="K66" s="67">
        <f t="shared" si="0"/>
        <v>57285.714285714283</v>
      </c>
      <c r="M66" s="4"/>
      <c r="N66" s="4"/>
    </row>
    <row r="67" spans="1:14" ht="15.75" x14ac:dyDescent="0.25">
      <c r="A67" s="17">
        <v>18</v>
      </c>
      <c r="B67" s="60" t="s">
        <v>63</v>
      </c>
      <c r="C67" s="80"/>
      <c r="D67" s="24"/>
      <c r="E67" s="10"/>
      <c r="F67" s="22"/>
      <c r="G67" s="10"/>
      <c r="H67" s="10" t="s">
        <v>1</v>
      </c>
      <c r="I67" s="10"/>
      <c r="J67" s="77"/>
      <c r="K67" s="71"/>
      <c r="M67" s="4"/>
      <c r="N67" s="4"/>
    </row>
    <row r="68" spans="1:14" ht="15.75" x14ac:dyDescent="0.25">
      <c r="A68" s="17"/>
      <c r="B68" s="66" t="s">
        <v>64</v>
      </c>
      <c r="C68" s="17" t="s">
        <v>65</v>
      </c>
      <c r="D68" s="9">
        <v>20000</v>
      </c>
      <c r="E68" s="9">
        <v>18000</v>
      </c>
      <c r="F68" s="9">
        <v>18000</v>
      </c>
      <c r="G68" s="9">
        <v>18000</v>
      </c>
      <c r="H68" s="10" t="s">
        <v>99</v>
      </c>
      <c r="I68" s="9">
        <v>18000</v>
      </c>
      <c r="J68" s="79">
        <v>18000</v>
      </c>
      <c r="K68" s="67">
        <f t="shared" si="0"/>
        <v>18333.333333333332</v>
      </c>
      <c r="M68" s="4"/>
      <c r="N68" s="4"/>
    </row>
    <row r="69" spans="1:14" ht="15.75" x14ac:dyDescent="0.25">
      <c r="A69" s="101">
        <v>19</v>
      </c>
      <c r="B69" s="60" t="s">
        <v>66</v>
      </c>
      <c r="C69" s="60"/>
      <c r="D69" s="74"/>
      <c r="E69" s="17"/>
      <c r="F69" s="15"/>
      <c r="G69" s="15"/>
      <c r="H69" s="15"/>
      <c r="I69" s="15"/>
      <c r="J69" s="75"/>
      <c r="K69" s="71"/>
      <c r="M69" s="4"/>
      <c r="N69" s="4"/>
    </row>
    <row r="70" spans="1:14" ht="15.75" x14ac:dyDescent="0.25">
      <c r="A70" s="101"/>
      <c r="B70" s="66" t="s">
        <v>67</v>
      </c>
      <c r="C70" s="17" t="s">
        <v>6</v>
      </c>
      <c r="D70" s="9">
        <v>38000</v>
      </c>
      <c r="E70" s="9">
        <v>35000</v>
      </c>
      <c r="F70" s="9">
        <v>36000</v>
      </c>
      <c r="G70" s="9">
        <v>36000</v>
      </c>
      <c r="H70" s="9">
        <v>37000</v>
      </c>
      <c r="I70" s="9">
        <v>40000</v>
      </c>
      <c r="J70" s="72">
        <v>38000</v>
      </c>
      <c r="K70" s="67">
        <f t="shared" si="0"/>
        <v>37142.857142857145</v>
      </c>
      <c r="M70" s="4"/>
      <c r="N70" s="4"/>
    </row>
    <row r="71" spans="1:14" ht="15.75" x14ac:dyDescent="0.25">
      <c r="A71" s="101"/>
      <c r="B71" s="66" t="s">
        <v>68</v>
      </c>
      <c r="C71" s="17" t="s">
        <v>6</v>
      </c>
      <c r="D71" s="9">
        <v>34000</v>
      </c>
      <c r="E71" s="9">
        <v>32000</v>
      </c>
      <c r="F71" s="9">
        <v>33000</v>
      </c>
      <c r="G71" s="9">
        <v>32000</v>
      </c>
      <c r="H71" s="9">
        <v>34000</v>
      </c>
      <c r="I71" s="9">
        <v>32000</v>
      </c>
      <c r="J71" s="72">
        <v>32000</v>
      </c>
      <c r="K71" s="67">
        <f t="shared" si="0"/>
        <v>32714.285714285714</v>
      </c>
      <c r="M71" s="4"/>
      <c r="N71" s="4"/>
    </row>
    <row r="72" spans="1:14" ht="15.75" x14ac:dyDescent="0.25">
      <c r="A72" s="101"/>
      <c r="B72" s="66" t="s">
        <v>69</v>
      </c>
      <c r="C72" s="17" t="s">
        <v>6</v>
      </c>
      <c r="D72" s="9">
        <v>28000</v>
      </c>
      <c r="E72" s="9">
        <v>28000</v>
      </c>
      <c r="F72" s="9">
        <v>24000</v>
      </c>
      <c r="G72" s="9">
        <v>28000</v>
      </c>
      <c r="H72" s="9">
        <v>20000</v>
      </c>
      <c r="I72" s="9">
        <v>28000</v>
      </c>
      <c r="J72" s="72">
        <v>20000</v>
      </c>
      <c r="K72" s="67">
        <f t="shared" si="0"/>
        <v>25142.857142857141</v>
      </c>
      <c r="M72" s="4"/>
      <c r="N72" s="4"/>
    </row>
    <row r="73" spans="1:14" ht="15.75" x14ac:dyDescent="0.25">
      <c r="A73" s="101"/>
      <c r="B73" s="66" t="s">
        <v>70</v>
      </c>
      <c r="C73" s="17" t="s">
        <v>6</v>
      </c>
      <c r="D73" s="9">
        <v>28000</v>
      </c>
      <c r="E73" s="9">
        <v>25000</v>
      </c>
      <c r="F73" s="16">
        <v>28000</v>
      </c>
      <c r="G73" s="8">
        <v>30000</v>
      </c>
      <c r="H73" s="9">
        <v>25000</v>
      </c>
      <c r="I73" s="9">
        <v>35000</v>
      </c>
      <c r="J73" s="72">
        <v>28000</v>
      </c>
      <c r="K73" s="67">
        <f t="shared" si="0"/>
        <v>28428.571428571428</v>
      </c>
      <c r="M73" s="4"/>
      <c r="N73" s="4"/>
    </row>
    <row r="74" spans="1:14" ht="15.75" x14ac:dyDescent="0.25">
      <c r="A74" s="17">
        <v>20</v>
      </c>
      <c r="B74" s="60" t="s">
        <v>71</v>
      </c>
      <c r="C74" s="91"/>
      <c r="D74" s="24"/>
      <c r="E74" s="10"/>
      <c r="F74" s="10"/>
      <c r="G74" s="89"/>
      <c r="H74" s="10"/>
      <c r="I74" s="10"/>
      <c r="J74" s="90"/>
      <c r="K74" s="71"/>
      <c r="M74" s="4"/>
      <c r="N74" s="4"/>
    </row>
    <row r="75" spans="1:14" ht="15.75" x14ac:dyDescent="0.25">
      <c r="A75" s="17"/>
      <c r="B75" s="66" t="s">
        <v>72</v>
      </c>
      <c r="C75" s="86" t="s">
        <v>6</v>
      </c>
      <c r="D75" s="9">
        <v>7000</v>
      </c>
      <c r="E75" s="9">
        <v>7000</v>
      </c>
      <c r="F75" s="9">
        <v>5000</v>
      </c>
      <c r="G75" s="9">
        <v>6000</v>
      </c>
      <c r="H75" s="9">
        <v>5000</v>
      </c>
      <c r="I75" s="9">
        <v>5000</v>
      </c>
      <c r="J75" s="72">
        <v>5000</v>
      </c>
      <c r="K75" s="67">
        <f t="shared" si="0"/>
        <v>5714.2857142857147</v>
      </c>
      <c r="M75" s="4"/>
      <c r="N75" s="4"/>
    </row>
    <row r="76" spans="1:14" ht="15.75" x14ac:dyDescent="0.25">
      <c r="A76" s="17"/>
      <c r="B76" s="66" t="s">
        <v>73</v>
      </c>
      <c r="C76" s="86" t="s">
        <v>6</v>
      </c>
      <c r="D76" s="9">
        <v>7000</v>
      </c>
      <c r="E76" s="9">
        <v>6000</v>
      </c>
      <c r="F76" s="16">
        <v>6000</v>
      </c>
      <c r="G76" s="8">
        <v>6000</v>
      </c>
      <c r="H76" s="9">
        <v>5000</v>
      </c>
      <c r="I76" s="9">
        <v>6000</v>
      </c>
      <c r="J76" s="79">
        <v>6000</v>
      </c>
      <c r="K76" s="67">
        <f t="shared" si="0"/>
        <v>6000</v>
      </c>
      <c r="M76" s="4"/>
      <c r="N76" s="4"/>
    </row>
    <row r="77" spans="1:14" ht="15.75" x14ac:dyDescent="0.25">
      <c r="A77" s="17">
        <v>21</v>
      </c>
      <c r="B77" s="60" t="s">
        <v>74</v>
      </c>
      <c r="C77" s="91"/>
      <c r="D77" s="19"/>
      <c r="E77" s="10"/>
      <c r="F77" s="10"/>
      <c r="G77" s="22"/>
      <c r="H77" s="10"/>
      <c r="I77" s="10"/>
      <c r="J77" s="77"/>
      <c r="K77" s="71"/>
      <c r="M77" s="4"/>
      <c r="N77" s="4"/>
    </row>
    <row r="78" spans="1:14" ht="15.75" x14ac:dyDescent="0.25">
      <c r="A78" s="17"/>
      <c r="B78" s="66" t="s">
        <v>75</v>
      </c>
      <c r="C78" s="86" t="s">
        <v>6</v>
      </c>
      <c r="D78" s="9">
        <v>7000</v>
      </c>
      <c r="E78" s="9">
        <v>8000</v>
      </c>
      <c r="F78" s="9">
        <v>10000</v>
      </c>
      <c r="G78" s="9">
        <v>8000</v>
      </c>
      <c r="H78" s="9">
        <v>6000</v>
      </c>
      <c r="I78" s="16">
        <v>9000</v>
      </c>
      <c r="J78" s="72" t="s">
        <v>99</v>
      </c>
      <c r="K78" s="67">
        <f t="shared" si="0"/>
        <v>8000</v>
      </c>
      <c r="M78" s="4"/>
      <c r="N78" s="4"/>
    </row>
    <row r="79" spans="1:14" ht="15.75" x14ac:dyDescent="0.25">
      <c r="A79" s="17"/>
      <c r="B79" s="66" t="s">
        <v>76</v>
      </c>
      <c r="C79" s="86" t="s">
        <v>6</v>
      </c>
      <c r="D79" s="9">
        <v>14000</v>
      </c>
      <c r="E79" s="9">
        <v>10000</v>
      </c>
      <c r="F79" s="9">
        <v>20000</v>
      </c>
      <c r="G79" s="9">
        <v>10000</v>
      </c>
      <c r="H79" s="9">
        <v>6000</v>
      </c>
      <c r="I79" s="16">
        <v>15000</v>
      </c>
      <c r="J79" s="72">
        <v>15000</v>
      </c>
      <c r="K79" s="67">
        <f t="shared" si="0"/>
        <v>12857.142857142857</v>
      </c>
      <c r="M79" s="4"/>
      <c r="N79" s="4"/>
    </row>
    <row r="80" spans="1:14" ht="15.75" x14ac:dyDescent="0.25">
      <c r="A80" s="17"/>
      <c r="B80" s="66" t="s">
        <v>77</v>
      </c>
      <c r="C80" s="86" t="s">
        <v>6</v>
      </c>
      <c r="D80" s="9">
        <v>16000</v>
      </c>
      <c r="E80" s="9">
        <v>16000</v>
      </c>
      <c r="F80" s="9">
        <v>17000</v>
      </c>
      <c r="G80" s="9">
        <v>16000</v>
      </c>
      <c r="H80" s="9">
        <v>15000</v>
      </c>
      <c r="I80" s="9">
        <v>18000</v>
      </c>
      <c r="J80" s="72">
        <v>15000</v>
      </c>
      <c r="K80" s="67">
        <f t="shared" si="0"/>
        <v>16142.857142857143</v>
      </c>
      <c r="M80" s="4"/>
      <c r="N80" s="4"/>
    </row>
    <row r="81" spans="1:14" ht="15.75" x14ac:dyDescent="0.25">
      <c r="A81" s="17"/>
      <c r="B81" s="66" t="s">
        <v>78</v>
      </c>
      <c r="C81" s="86" t="s">
        <v>6</v>
      </c>
      <c r="D81" s="9">
        <v>15000</v>
      </c>
      <c r="E81" s="9">
        <v>15000</v>
      </c>
      <c r="F81" s="9">
        <v>10000</v>
      </c>
      <c r="G81" s="9">
        <v>18000</v>
      </c>
      <c r="H81" s="9">
        <v>16000</v>
      </c>
      <c r="I81" s="8">
        <v>20000</v>
      </c>
      <c r="J81" s="72">
        <v>20000</v>
      </c>
      <c r="K81" s="67">
        <f t="shared" ref="K81:K88" si="1">AVERAGE(D81:J81)</f>
        <v>16285.714285714286</v>
      </c>
      <c r="M81" s="4"/>
      <c r="N81" s="4"/>
    </row>
    <row r="82" spans="1:14" ht="15.75" x14ac:dyDescent="0.25">
      <c r="A82" s="17"/>
      <c r="B82" s="66" t="s">
        <v>79</v>
      </c>
      <c r="C82" s="86" t="s">
        <v>6</v>
      </c>
      <c r="D82" s="9">
        <v>14000</v>
      </c>
      <c r="E82" s="9">
        <v>12000</v>
      </c>
      <c r="F82" s="9">
        <v>14000</v>
      </c>
      <c r="G82" s="9">
        <v>12000</v>
      </c>
      <c r="H82" s="9">
        <v>10000</v>
      </c>
      <c r="I82" s="9">
        <v>16000</v>
      </c>
      <c r="J82" s="72">
        <v>10000</v>
      </c>
      <c r="K82" s="67">
        <f t="shared" si="1"/>
        <v>12571.428571428571</v>
      </c>
      <c r="M82" s="4"/>
      <c r="N82" s="4"/>
    </row>
    <row r="83" spans="1:14" ht="15.75" x14ac:dyDescent="0.25">
      <c r="A83" s="17"/>
      <c r="B83" s="66" t="s">
        <v>80</v>
      </c>
      <c r="C83" s="86" t="s">
        <v>6</v>
      </c>
      <c r="D83" s="9">
        <v>8000</v>
      </c>
      <c r="E83" s="9">
        <v>8000</v>
      </c>
      <c r="F83" s="16">
        <v>9000</v>
      </c>
      <c r="G83" s="8">
        <v>8000</v>
      </c>
      <c r="H83" s="9">
        <v>7000</v>
      </c>
      <c r="I83" s="16">
        <v>9000</v>
      </c>
      <c r="J83" s="72">
        <v>8000</v>
      </c>
      <c r="K83" s="67">
        <f t="shared" si="1"/>
        <v>8142.8571428571431</v>
      </c>
      <c r="M83" s="4"/>
      <c r="N83" s="4"/>
    </row>
    <row r="84" spans="1:14" ht="15.75" x14ac:dyDescent="0.25">
      <c r="A84" s="17"/>
      <c r="B84" s="66" t="s">
        <v>81</v>
      </c>
      <c r="C84" s="86" t="s">
        <v>82</v>
      </c>
      <c r="D84" s="9">
        <v>2000</v>
      </c>
      <c r="E84" s="9">
        <v>1500</v>
      </c>
      <c r="F84" s="9">
        <v>2000</v>
      </c>
      <c r="G84" s="8">
        <v>2000</v>
      </c>
      <c r="H84" s="9">
        <v>1500</v>
      </c>
      <c r="I84" s="9">
        <v>2000</v>
      </c>
      <c r="J84" s="79">
        <v>1500</v>
      </c>
      <c r="K84" s="67">
        <f t="shared" si="1"/>
        <v>1785.7142857142858</v>
      </c>
      <c r="M84" s="4"/>
      <c r="N84" s="4"/>
    </row>
    <row r="85" spans="1:14" ht="15.75" x14ac:dyDescent="0.25">
      <c r="A85" s="17"/>
      <c r="B85" s="66" t="s">
        <v>83</v>
      </c>
      <c r="C85" s="86" t="s">
        <v>82</v>
      </c>
      <c r="D85" s="9">
        <v>1500</v>
      </c>
      <c r="E85" s="9">
        <v>1500</v>
      </c>
      <c r="F85" s="9">
        <v>1500</v>
      </c>
      <c r="G85" s="8">
        <v>2000</v>
      </c>
      <c r="H85" s="9">
        <v>1500</v>
      </c>
      <c r="I85" s="9">
        <v>1500</v>
      </c>
      <c r="J85" s="79">
        <v>1000</v>
      </c>
      <c r="K85" s="67">
        <f t="shared" si="1"/>
        <v>1500</v>
      </c>
      <c r="M85" s="4"/>
      <c r="N85" s="4"/>
    </row>
    <row r="86" spans="1:14" ht="15.75" x14ac:dyDescent="0.25">
      <c r="A86" s="17"/>
      <c r="B86" s="66" t="s">
        <v>84</v>
      </c>
      <c r="C86" s="86" t="s">
        <v>82</v>
      </c>
      <c r="D86" s="9" t="s">
        <v>99</v>
      </c>
      <c r="E86" s="9">
        <v>2000</v>
      </c>
      <c r="F86" s="9" t="s">
        <v>99</v>
      </c>
      <c r="G86" s="8" t="s">
        <v>99</v>
      </c>
      <c r="H86" s="9">
        <v>2500</v>
      </c>
      <c r="I86" s="9" t="s">
        <v>99</v>
      </c>
      <c r="J86" s="79">
        <v>2000</v>
      </c>
      <c r="K86" s="67">
        <f t="shared" si="1"/>
        <v>2166.6666666666665</v>
      </c>
      <c r="M86" s="4"/>
      <c r="N86" s="4"/>
    </row>
    <row r="87" spans="1:14" ht="15.75" x14ac:dyDescent="0.25">
      <c r="A87" s="17">
        <v>22</v>
      </c>
      <c r="B87" s="60" t="s">
        <v>85</v>
      </c>
      <c r="C87" s="91"/>
      <c r="D87" s="22"/>
      <c r="E87" s="10"/>
      <c r="F87" s="10" t="s">
        <v>102</v>
      </c>
      <c r="G87" s="22"/>
      <c r="H87" s="10"/>
      <c r="I87" s="10"/>
      <c r="J87" s="77"/>
      <c r="K87" s="71"/>
      <c r="L87" s="4"/>
      <c r="M87" s="4"/>
      <c r="N87" s="4"/>
    </row>
    <row r="88" spans="1:14" x14ac:dyDescent="0.25">
      <c r="A88" s="17"/>
      <c r="B88" s="66" t="s">
        <v>86</v>
      </c>
      <c r="C88" s="86" t="s">
        <v>87</v>
      </c>
      <c r="D88" s="9" t="s">
        <v>99</v>
      </c>
      <c r="E88" s="9" t="s">
        <v>99</v>
      </c>
      <c r="F88" s="9">
        <v>18000</v>
      </c>
      <c r="G88" s="8">
        <v>17000</v>
      </c>
      <c r="H88" s="10" t="s">
        <v>99</v>
      </c>
      <c r="I88" s="16">
        <v>18000</v>
      </c>
      <c r="J88" s="79">
        <v>18000</v>
      </c>
      <c r="K88" s="67">
        <f t="shared" si="1"/>
        <v>17750</v>
      </c>
    </row>
  </sheetData>
  <mergeCells count="28">
    <mergeCell ref="A52:A53"/>
    <mergeCell ref="A54:A55"/>
    <mergeCell ref="A56:A60"/>
    <mergeCell ref="A63:A66"/>
    <mergeCell ref="A69:A73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26:A32"/>
    <mergeCell ref="A33:A35"/>
    <mergeCell ref="A43:A45"/>
    <mergeCell ref="A46:A48"/>
    <mergeCell ref="A7:A12"/>
    <mergeCell ref="A13:A15"/>
    <mergeCell ref="A16:A17"/>
    <mergeCell ref="A19:A20"/>
    <mergeCell ref="A21:A25"/>
  </mergeCells>
  <pageMargins left="0.7" right="0.7" top="0.75" bottom="0.75" header="0.3" footer="0.3"/>
  <drawing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C9412-2F4F-4937-9669-76E1EF7BEF54}">
  <dimension ref="A1:N88"/>
  <sheetViews>
    <sheetView workbookViewId="0">
      <selection activeCell="A7" sqref="A7:K88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02" t="s">
        <v>88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M1" s="4"/>
      <c r="N1" s="4"/>
    </row>
    <row r="2" spans="1:14" ht="27.75" customHeight="1" x14ac:dyDescent="0.25">
      <c r="A2" s="103" t="s">
        <v>89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M2" s="4"/>
      <c r="N2" s="4"/>
    </row>
    <row r="3" spans="1:14" ht="27.75" customHeight="1" thickBot="1" x14ac:dyDescent="0.3">
      <c r="A3" s="104" t="s">
        <v>152</v>
      </c>
      <c r="B3" s="104"/>
      <c r="C3" s="104"/>
      <c r="D3" s="104"/>
      <c r="E3" s="104"/>
      <c r="F3" s="104"/>
      <c r="G3" s="104"/>
      <c r="H3" s="104"/>
      <c r="I3" s="104"/>
      <c r="J3" s="104"/>
      <c r="K3" s="105"/>
      <c r="M3" s="4"/>
      <c r="N3" s="4"/>
    </row>
    <row r="4" spans="1:14" ht="25.5" customHeight="1" x14ac:dyDescent="0.25">
      <c r="A4" s="96" t="s">
        <v>1</v>
      </c>
      <c r="B4" s="99" t="s">
        <v>2</v>
      </c>
      <c r="C4" s="96" t="s">
        <v>90</v>
      </c>
      <c r="D4" s="110" t="s">
        <v>91</v>
      </c>
      <c r="E4" s="113" t="s">
        <v>92</v>
      </c>
      <c r="F4" s="125" t="s">
        <v>93</v>
      </c>
      <c r="G4" s="128" t="s">
        <v>94</v>
      </c>
      <c r="H4" s="147" t="s">
        <v>95</v>
      </c>
      <c r="I4" s="119" t="s">
        <v>96</v>
      </c>
      <c r="J4" s="106" t="s">
        <v>97</v>
      </c>
      <c r="K4" s="122" t="s">
        <v>98</v>
      </c>
      <c r="M4" s="4"/>
      <c r="N4" s="4"/>
    </row>
    <row r="5" spans="1:14" ht="15" customHeight="1" x14ac:dyDescent="0.25">
      <c r="A5" s="97"/>
      <c r="B5" s="100"/>
      <c r="C5" s="97"/>
      <c r="D5" s="111"/>
      <c r="E5" s="114"/>
      <c r="F5" s="126"/>
      <c r="G5" s="129"/>
      <c r="H5" s="148"/>
      <c r="I5" s="120"/>
      <c r="J5" s="107"/>
      <c r="K5" s="123"/>
      <c r="M5" s="4"/>
      <c r="N5" s="4"/>
    </row>
    <row r="6" spans="1:14" ht="16.5" thickBot="1" x14ac:dyDescent="0.3">
      <c r="A6" s="98"/>
      <c r="B6" s="109"/>
      <c r="C6" s="98"/>
      <c r="D6" s="112"/>
      <c r="E6" s="115"/>
      <c r="F6" s="127"/>
      <c r="G6" s="130"/>
      <c r="H6" s="149"/>
      <c r="I6" s="121"/>
      <c r="J6" s="108"/>
      <c r="K6" s="124"/>
      <c r="M6" s="4"/>
      <c r="N6" s="4"/>
    </row>
    <row r="7" spans="1:14" ht="15.75" x14ac:dyDescent="0.25">
      <c r="A7" s="101">
        <v>1</v>
      </c>
      <c r="B7" s="60" t="s">
        <v>4</v>
      </c>
      <c r="C7" s="61"/>
      <c r="D7" s="62"/>
      <c r="E7" s="17" t="s">
        <v>102</v>
      </c>
      <c r="F7" s="17"/>
      <c r="G7" s="63"/>
      <c r="H7" s="63" t="s">
        <v>1</v>
      </c>
      <c r="I7" s="64"/>
      <c r="J7" s="63"/>
      <c r="K7" s="65"/>
      <c r="M7" s="4"/>
      <c r="N7" s="4"/>
    </row>
    <row r="8" spans="1:14" ht="15.75" x14ac:dyDescent="0.25">
      <c r="A8" s="101"/>
      <c r="B8" s="66" t="s">
        <v>107</v>
      </c>
      <c r="C8" s="17" t="s">
        <v>6</v>
      </c>
      <c r="D8" s="9">
        <v>15500</v>
      </c>
      <c r="E8" s="9">
        <v>15500</v>
      </c>
      <c r="F8" s="9">
        <v>15500</v>
      </c>
      <c r="G8" s="9">
        <v>15600</v>
      </c>
      <c r="H8" s="9">
        <v>17000</v>
      </c>
      <c r="I8" s="9">
        <v>17000</v>
      </c>
      <c r="J8" s="16">
        <v>17000</v>
      </c>
      <c r="K8" s="67">
        <f>AVERAGE(D8:J8)</f>
        <v>16157.142857142857</v>
      </c>
      <c r="L8" s="1"/>
      <c r="M8" s="7"/>
      <c r="N8" s="4"/>
    </row>
    <row r="9" spans="1:14" ht="15.75" x14ac:dyDescent="0.25">
      <c r="A9" s="101"/>
      <c r="B9" s="66" t="s">
        <v>115</v>
      </c>
      <c r="C9" s="17" t="s">
        <v>6</v>
      </c>
      <c r="D9" s="9">
        <v>10900</v>
      </c>
      <c r="E9" s="9">
        <v>10900</v>
      </c>
      <c r="F9" s="9">
        <v>10900</v>
      </c>
      <c r="G9" s="8">
        <v>10900</v>
      </c>
      <c r="H9" s="9" t="s">
        <v>99</v>
      </c>
      <c r="I9" s="9" t="s">
        <v>99</v>
      </c>
      <c r="J9" s="16" t="s">
        <v>99</v>
      </c>
      <c r="K9" s="67">
        <f t="shared" ref="K9:K80" si="0">AVERAGE(D9:J9)</f>
        <v>10900</v>
      </c>
      <c r="M9" s="4"/>
      <c r="N9" s="4"/>
    </row>
    <row r="10" spans="1:14" ht="15.75" x14ac:dyDescent="0.25">
      <c r="A10" s="101"/>
      <c r="B10" s="66" t="s">
        <v>108</v>
      </c>
      <c r="C10" s="17" t="s">
        <v>6</v>
      </c>
      <c r="D10" s="9" t="s">
        <v>99</v>
      </c>
      <c r="E10" s="9" t="s">
        <v>99</v>
      </c>
      <c r="F10" s="9" t="s">
        <v>99</v>
      </c>
      <c r="G10" s="8" t="s">
        <v>99</v>
      </c>
      <c r="H10" s="9">
        <v>13000</v>
      </c>
      <c r="I10" s="9" t="s">
        <v>99</v>
      </c>
      <c r="J10" s="16" t="s">
        <v>99</v>
      </c>
      <c r="K10" s="67">
        <f t="shared" si="0"/>
        <v>13000</v>
      </c>
      <c r="M10" s="4"/>
      <c r="N10" s="4"/>
    </row>
    <row r="11" spans="1:14" ht="15.75" x14ac:dyDescent="0.25">
      <c r="A11" s="101"/>
      <c r="B11" s="66" t="s">
        <v>9</v>
      </c>
      <c r="C11" s="17" t="s">
        <v>6</v>
      </c>
      <c r="D11" s="9" t="s">
        <v>99</v>
      </c>
      <c r="E11" s="9">
        <v>10000</v>
      </c>
      <c r="F11" s="16">
        <v>12000</v>
      </c>
      <c r="G11" s="8">
        <v>10000</v>
      </c>
      <c r="H11" s="9">
        <v>10000</v>
      </c>
      <c r="I11" s="16">
        <v>12000</v>
      </c>
      <c r="J11" s="16">
        <v>10000</v>
      </c>
      <c r="K11" s="67">
        <f>AVERAGE(D11:J11)</f>
        <v>10666.666666666666</v>
      </c>
      <c r="M11" s="4"/>
      <c r="N11" s="4"/>
    </row>
    <row r="12" spans="1:14" ht="15.75" x14ac:dyDescent="0.25">
      <c r="A12" s="101"/>
      <c r="B12" s="66" t="s">
        <v>10</v>
      </c>
      <c r="C12" s="17" t="s">
        <v>6</v>
      </c>
      <c r="D12" s="9" t="s">
        <v>99</v>
      </c>
      <c r="E12" s="9">
        <v>21000</v>
      </c>
      <c r="F12" s="16">
        <v>16000</v>
      </c>
      <c r="G12" s="8">
        <v>18000</v>
      </c>
      <c r="H12" s="9">
        <v>25000</v>
      </c>
      <c r="I12" s="16">
        <v>17000</v>
      </c>
      <c r="J12" s="16">
        <v>17000</v>
      </c>
      <c r="K12" s="67">
        <f t="shared" si="0"/>
        <v>19000</v>
      </c>
      <c r="M12" s="4"/>
      <c r="N12" s="12"/>
    </row>
    <row r="13" spans="1:14" ht="15.75" x14ac:dyDescent="0.25">
      <c r="A13" s="101">
        <v>2</v>
      </c>
      <c r="B13" s="60" t="s">
        <v>11</v>
      </c>
      <c r="C13" s="68"/>
      <c r="D13" s="62"/>
      <c r="E13" s="92"/>
      <c r="F13" s="17"/>
      <c r="G13" s="70"/>
      <c r="H13" s="70"/>
      <c r="I13" s="70"/>
      <c r="J13" s="70"/>
      <c r="K13" s="71"/>
      <c r="M13" s="4"/>
      <c r="N13" s="4"/>
    </row>
    <row r="14" spans="1:14" ht="15.75" x14ac:dyDescent="0.25">
      <c r="A14" s="101"/>
      <c r="B14" s="66" t="s">
        <v>116</v>
      </c>
      <c r="C14" s="17" t="s">
        <v>6</v>
      </c>
      <c r="D14" s="9">
        <v>16000</v>
      </c>
      <c r="E14" s="9">
        <v>16500</v>
      </c>
      <c r="F14" s="9">
        <v>17000</v>
      </c>
      <c r="G14" s="16">
        <v>16000</v>
      </c>
      <c r="H14" s="9">
        <v>16500</v>
      </c>
      <c r="I14" s="9">
        <v>17500</v>
      </c>
      <c r="J14" s="72">
        <v>17000</v>
      </c>
      <c r="K14" s="67">
        <f t="shared" si="0"/>
        <v>16642.857142857141</v>
      </c>
      <c r="M14" s="4"/>
      <c r="N14" s="4"/>
    </row>
    <row r="15" spans="1:14" ht="15.75" x14ac:dyDescent="0.25">
      <c r="A15" s="101"/>
      <c r="B15" s="66" t="s">
        <v>13</v>
      </c>
      <c r="C15" s="17" t="s">
        <v>6</v>
      </c>
      <c r="D15" s="9">
        <v>17000</v>
      </c>
      <c r="E15" s="9">
        <v>16000</v>
      </c>
      <c r="F15" s="16">
        <v>16000</v>
      </c>
      <c r="G15" s="8">
        <v>16000</v>
      </c>
      <c r="H15" s="9">
        <v>17000</v>
      </c>
      <c r="I15" s="9">
        <v>18000</v>
      </c>
      <c r="J15" s="72">
        <v>18000</v>
      </c>
      <c r="K15" s="67">
        <f>AVERAGE(D15:J15)</f>
        <v>16857.142857142859</v>
      </c>
      <c r="M15" s="4"/>
      <c r="N15" s="4"/>
    </row>
    <row r="16" spans="1:14" ht="15.75" x14ac:dyDescent="0.25">
      <c r="A16" s="101">
        <v>3</v>
      </c>
      <c r="B16" s="60" t="s">
        <v>14</v>
      </c>
      <c r="C16" s="73"/>
      <c r="D16" s="74"/>
      <c r="E16" s="15"/>
      <c r="F16" s="15"/>
      <c r="G16" s="15"/>
      <c r="H16" s="15"/>
      <c r="I16" s="15" t="s">
        <v>130</v>
      </c>
      <c r="J16" s="75"/>
      <c r="K16" s="71"/>
      <c r="M16" s="4"/>
      <c r="N16" s="4"/>
    </row>
    <row r="17" spans="1:14" ht="15.75" x14ac:dyDescent="0.25">
      <c r="A17" s="101"/>
      <c r="B17" s="66" t="s">
        <v>15</v>
      </c>
      <c r="C17" s="17" t="s">
        <v>6</v>
      </c>
      <c r="D17" s="9">
        <v>15000</v>
      </c>
      <c r="E17" s="9">
        <v>15000</v>
      </c>
      <c r="F17" s="9">
        <v>16000</v>
      </c>
      <c r="G17" s="9">
        <v>15000</v>
      </c>
      <c r="H17" s="9">
        <v>16000</v>
      </c>
      <c r="I17" s="9">
        <v>16000</v>
      </c>
      <c r="J17" s="72">
        <v>16500</v>
      </c>
      <c r="K17" s="67">
        <f t="shared" si="0"/>
        <v>15642.857142857143</v>
      </c>
      <c r="M17" s="4"/>
      <c r="N17" s="4"/>
    </row>
    <row r="18" spans="1:14" ht="15.75" x14ac:dyDescent="0.25">
      <c r="A18" s="59"/>
      <c r="B18" s="66" t="s">
        <v>109</v>
      </c>
      <c r="C18" s="17" t="s">
        <v>110</v>
      </c>
      <c r="D18" s="9">
        <v>14000</v>
      </c>
      <c r="E18" s="9">
        <v>14000</v>
      </c>
      <c r="F18" s="9">
        <v>14000</v>
      </c>
      <c r="G18" s="9">
        <v>14000</v>
      </c>
      <c r="H18" s="9" t="s">
        <v>99</v>
      </c>
      <c r="I18" s="9">
        <v>14000</v>
      </c>
      <c r="J18" s="72">
        <v>14000</v>
      </c>
      <c r="K18" s="67">
        <f t="shared" si="0"/>
        <v>14000</v>
      </c>
      <c r="M18" s="4"/>
      <c r="N18" s="4"/>
    </row>
    <row r="19" spans="1:14" ht="17.25" customHeight="1" x14ac:dyDescent="0.25">
      <c r="A19" s="101">
        <v>4</v>
      </c>
      <c r="B19" s="60" t="s">
        <v>16</v>
      </c>
      <c r="C19" s="73"/>
      <c r="D19" s="74"/>
      <c r="E19" s="15"/>
      <c r="F19" s="15"/>
      <c r="G19" s="76"/>
      <c r="H19" s="15"/>
      <c r="I19" s="15"/>
      <c r="J19" s="75"/>
      <c r="K19" s="71"/>
      <c r="M19" s="4"/>
      <c r="N19" s="4"/>
    </row>
    <row r="20" spans="1:14" ht="15.75" x14ac:dyDescent="0.25">
      <c r="A20" s="101"/>
      <c r="B20" s="66" t="s">
        <v>17</v>
      </c>
      <c r="C20" s="17" t="s">
        <v>6</v>
      </c>
      <c r="D20" s="9">
        <v>20000</v>
      </c>
      <c r="E20" s="9">
        <v>20000</v>
      </c>
      <c r="F20" s="16">
        <v>20000</v>
      </c>
      <c r="G20" s="8">
        <v>22000</v>
      </c>
      <c r="H20" s="16">
        <v>33000</v>
      </c>
      <c r="I20" s="16">
        <v>20000</v>
      </c>
      <c r="J20" s="77" t="s">
        <v>99</v>
      </c>
      <c r="K20" s="67">
        <f t="shared" si="0"/>
        <v>22500</v>
      </c>
      <c r="M20" s="4"/>
      <c r="N20" s="4"/>
    </row>
    <row r="21" spans="1:14" ht="15.75" x14ac:dyDescent="0.25">
      <c r="A21" s="101">
        <v>5</v>
      </c>
      <c r="B21" s="60" t="s">
        <v>18</v>
      </c>
      <c r="C21" s="73"/>
      <c r="D21" s="74"/>
      <c r="E21" s="17"/>
      <c r="F21" s="15" t="s">
        <v>1</v>
      </c>
      <c r="G21" s="76"/>
      <c r="H21" s="15"/>
      <c r="I21" s="15"/>
      <c r="J21" s="75"/>
      <c r="K21" s="71"/>
      <c r="M21" s="4"/>
      <c r="N21" s="4"/>
    </row>
    <row r="22" spans="1:14" ht="15.75" x14ac:dyDescent="0.25">
      <c r="A22" s="101"/>
      <c r="B22" s="66" t="s">
        <v>19</v>
      </c>
      <c r="C22" s="17" t="s">
        <v>6</v>
      </c>
      <c r="D22" s="9">
        <v>120000</v>
      </c>
      <c r="E22" s="9">
        <v>120000</v>
      </c>
      <c r="F22" s="9">
        <v>120000</v>
      </c>
      <c r="G22" s="9">
        <v>120000</v>
      </c>
      <c r="H22" s="9">
        <v>120000</v>
      </c>
      <c r="I22" s="8">
        <v>120000</v>
      </c>
      <c r="J22" s="72" t="s">
        <v>99</v>
      </c>
      <c r="K22" s="67">
        <f t="shared" si="0"/>
        <v>120000</v>
      </c>
      <c r="M22" s="4"/>
      <c r="N22" s="4"/>
    </row>
    <row r="23" spans="1:14" ht="15.75" x14ac:dyDescent="0.25">
      <c r="A23" s="101"/>
      <c r="B23" s="66" t="s">
        <v>20</v>
      </c>
      <c r="C23" s="17" t="s">
        <v>6</v>
      </c>
      <c r="D23" s="9">
        <v>110000</v>
      </c>
      <c r="E23" s="9">
        <v>110000</v>
      </c>
      <c r="F23" s="9">
        <v>110000</v>
      </c>
      <c r="G23" s="9">
        <v>110000</v>
      </c>
      <c r="H23" s="9">
        <v>115000</v>
      </c>
      <c r="I23" s="9">
        <v>110000</v>
      </c>
      <c r="J23" s="72">
        <v>110000</v>
      </c>
      <c r="K23" s="67">
        <f t="shared" si="0"/>
        <v>110714.28571428571</v>
      </c>
      <c r="M23" s="4"/>
      <c r="N23" s="4"/>
    </row>
    <row r="24" spans="1:14" ht="15.75" x14ac:dyDescent="0.25">
      <c r="A24" s="101"/>
      <c r="B24" s="66" t="s">
        <v>21</v>
      </c>
      <c r="C24" s="17" t="s">
        <v>6</v>
      </c>
      <c r="D24" s="9">
        <v>90000</v>
      </c>
      <c r="E24" s="9">
        <v>90000</v>
      </c>
      <c r="F24" s="9">
        <v>100000</v>
      </c>
      <c r="G24" s="9">
        <v>105000</v>
      </c>
      <c r="H24" s="9">
        <v>120000</v>
      </c>
      <c r="I24" s="8">
        <v>100000</v>
      </c>
      <c r="J24" s="72">
        <v>105000</v>
      </c>
      <c r="K24" s="67">
        <f t="shared" si="0"/>
        <v>101428.57142857143</v>
      </c>
      <c r="M24" s="4"/>
      <c r="N24" s="4"/>
    </row>
    <row r="25" spans="1:14" ht="15.75" x14ac:dyDescent="0.25">
      <c r="A25" s="101"/>
      <c r="B25" s="66" t="s">
        <v>22</v>
      </c>
      <c r="C25" s="17" t="s">
        <v>6</v>
      </c>
      <c r="D25" s="9">
        <v>34000</v>
      </c>
      <c r="E25" s="9">
        <v>31000</v>
      </c>
      <c r="F25" s="9">
        <v>35000</v>
      </c>
      <c r="G25" s="9">
        <v>33000</v>
      </c>
      <c r="H25" s="72">
        <v>33000</v>
      </c>
      <c r="I25" s="9">
        <v>35000</v>
      </c>
      <c r="J25" s="72">
        <v>34000</v>
      </c>
      <c r="K25" s="67">
        <f t="shared" si="0"/>
        <v>33571.428571428572</v>
      </c>
      <c r="M25" s="4"/>
      <c r="N25" s="4"/>
    </row>
    <row r="26" spans="1:14" ht="15.75" x14ac:dyDescent="0.25">
      <c r="A26" s="101">
        <v>6</v>
      </c>
      <c r="B26" s="60" t="s">
        <v>23</v>
      </c>
      <c r="C26" s="73"/>
      <c r="D26" s="74"/>
      <c r="E26" s="17"/>
      <c r="F26" s="76"/>
      <c r="G26" s="15"/>
      <c r="H26" s="75"/>
      <c r="I26" s="15"/>
      <c r="J26" s="75"/>
      <c r="K26" s="71"/>
      <c r="M26" s="4"/>
      <c r="N26" s="4"/>
    </row>
    <row r="27" spans="1:14" ht="15.75" x14ac:dyDescent="0.25">
      <c r="A27" s="101"/>
      <c r="B27" s="66" t="s">
        <v>24</v>
      </c>
      <c r="C27" s="17" t="s">
        <v>6</v>
      </c>
      <c r="D27" s="9">
        <v>32000</v>
      </c>
      <c r="E27" s="9">
        <v>35000</v>
      </c>
      <c r="F27" s="9" t="s">
        <v>99</v>
      </c>
      <c r="G27" s="9">
        <v>40000</v>
      </c>
      <c r="H27" s="9">
        <v>28000</v>
      </c>
      <c r="I27" s="9" t="s">
        <v>99</v>
      </c>
      <c r="J27" s="72">
        <v>30000</v>
      </c>
      <c r="K27" s="67">
        <f t="shared" si="0"/>
        <v>33000</v>
      </c>
      <c r="L27" t="s">
        <v>100</v>
      </c>
      <c r="M27" s="4"/>
      <c r="N27" s="4"/>
    </row>
    <row r="28" spans="1:14" ht="15.75" x14ac:dyDescent="0.25">
      <c r="A28" s="101"/>
      <c r="B28" s="66" t="s">
        <v>25</v>
      </c>
      <c r="C28" s="17" t="s">
        <v>6</v>
      </c>
      <c r="D28" s="9">
        <v>30000</v>
      </c>
      <c r="E28" s="9">
        <v>28000</v>
      </c>
      <c r="F28" s="9">
        <v>35000</v>
      </c>
      <c r="G28" s="8">
        <v>30000</v>
      </c>
      <c r="H28" s="9">
        <v>22000</v>
      </c>
      <c r="I28" s="9">
        <v>26000</v>
      </c>
      <c r="J28" s="78">
        <v>30000</v>
      </c>
      <c r="K28" s="67">
        <f t="shared" si="0"/>
        <v>28714.285714285714</v>
      </c>
      <c r="M28" s="4"/>
      <c r="N28" s="4"/>
    </row>
    <row r="29" spans="1:14" ht="15.75" x14ac:dyDescent="0.25">
      <c r="A29" s="101"/>
      <c r="B29" s="66" t="s">
        <v>26</v>
      </c>
      <c r="C29" s="17" t="s">
        <v>6</v>
      </c>
      <c r="D29" s="9">
        <v>60000</v>
      </c>
      <c r="E29" s="9">
        <v>60000</v>
      </c>
      <c r="F29" s="16">
        <v>60000</v>
      </c>
      <c r="G29" s="8">
        <v>70000</v>
      </c>
      <c r="H29" s="9">
        <v>65000</v>
      </c>
      <c r="I29" s="9">
        <v>60000</v>
      </c>
      <c r="J29" s="79">
        <v>60000</v>
      </c>
      <c r="K29" s="67">
        <f t="shared" si="0"/>
        <v>62142.857142857145</v>
      </c>
      <c r="M29" s="4"/>
      <c r="N29" s="4"/>
    </row>
    <row r="30" spans="1:14" ht="15.75" x14ac:dyDescent="0.25">
      <c r="A30" s="101"/>
      <c r="B30" s="66" t="s">
        <v>27</v>
      </c>
      <c r="C30" s="17" t="s">
        <v>6</v>
      </c>
      <c r="D30" s="9">
        <v>25000</v>
      </c>
      <c r="E30" s="9" t="s">
        <v>99</v>
      </c>
      <c r="F30" s="10" t="s">
        <v>99</v>
      </c>
      <c r="G30" s="8">
        <v>25000</v>
      </c>
      <c r="H30" s="9">
        <v>23000</v>
      </c>
      <c r="I30" s="9" t="s">
        <v>99</v>
      </c>
      <c r="J30" s="79">
        <v>26000</v>
      </c>
      <c r="K30" s="67">
        <f t="shared" si="0"/>
        <v>24750</v>
      </c>
      <c r="M30" s="4"/>
      <c r="N30" s="4"/>
    </row>
    <row r="31" spans="1:14" ht="15.75" x14ac:dyDescent="0.25">
      <c r="A31" s="101"/>
      <c r="B31" s="66" t="s">
        <v>28</v>
      </c>
      <c r="C31" s="17" t="s">
        <v>6</v>
      </c>
      <c r="D31" s="9">
        <v>32000</v>
      </c>
      <c r="E31" s="9">
        <v>36000</v>
      </c>
      <c r="F31" s="9">
        <v>40000</v>
      </c>
      <c r="G31" s="9">
        <v>40000</v>
      </c>
      <c r="H31" s="9">
        <v>28000</v>
      </c>
      <c r="I31" s="9">
        <v>30000</v>
      </c>
      <c r="J31" s="72">
        <v>35000</v>
      </c>
      <c r="K31" s="67">
        <f t="shared" si="0"/>
        <v>34428.571428571428</v>
      </c>
      <c r="M31" s="4"/>
      <c r="N31" s="4"/>
    </row>
    <row r="32" spans="1:14" ht="15.75" x14ac:dyDescent="0.25">
      <c r="A32" s="101"/>
      <c r="B32" s="66" t="s">
        <v>29</v>
      </c>
      <c r="C32" s="17" t="s">
        <v>6</v>
      </c>
      <c r="D32" s="9" t="s">
        <v>99</v>
      </c>
      <c r="E32" s="9">
        <v>100000</v>
      </c>
      <c r="F32" s="9">
        <v>100000</v>
      </c>
      <c r="G32" s="9" t="s">
        <v>99</v>
      </c>
      <c r="H32" s="9">
        <v>80000</v>
      </c>
      <c r="I32" s="9">
        <v>100000</v>
      </c>
      <c r="J32" s="79">
        <v>70000</v>
      </c>
      <c r="K32" s="67">
        <f t="shared" si="0"/>
        <v>90000</v>
      </c>
      <c r="M32" s="4"/>
      <c r="N32" s="4"/>
    </row>
    <row r="33" spans="1:14" ht="15.75" x14ac:dyDescent="0.25">
      <c r="A33" s="101">
        <v>7</v>
      </c>
      <c r="B33" s="60" t="s">
        <v>30</v>
      </c>
      <c r="C33" s="73"/>
      <c r="D33" s="74"/>
      <c r="E33" s="17"/>
      <c r="F33" s="76"/>
      <c r="G33" s="76"/>
      <c r="H33" s="15"/>
      <c r="I33" s="15"/>
      <c r="J33" s="75"/>
      <c r="K33" s="71"/>
      <c r="M33" s="4"/>
      <c r="N33" s="4"/>
    </row>
    <row r="34" spans="1:14" ht="15.75" x14ac:dyDescent="0.25">
      <c r="A34" s="101"/>
      <c r="B34" s="66" t="s">
        <v>31</v>
      </c>
      <c r="C34" s="17" t="s">
        <v>6</v>
      </c>
      <c r="D34" s="9">
        <v>30000</v>
      </c>
      <c r="E34" s="9">
        <v>27000</v>
      </c>
      <c r="F34" s="9">
        <v>31000</v>
      </c>
      <c r="G34" s="9">
        <v>30000</v>
      </c>
      <c r="H34" s="9">
        <v>29000</v>
      </c>
      <c r="I34" s="9">
        <v>30000</v>
      </c>
      <c r="J34" s="72">
        <v>30000</v>
      </c>
      <c r="K34" s="67">
        <f t="shared" si="0"/>
        <v>29571.428571428572</v>
      </c>
      <c r="M34" s="4"/>
      <c r="N34" s="4"/>
    </row>
    <row r="35" spans="1:14" ht="15.75" x14ac:dyDescent="0.25">
      <c r="A35" s="101"/>
      <c r="B35" s="66" t="s">
        <v>32</v>
      </c>
      <c r="C35" s="17" t="s">
        <v>33</v>
      </c>
      <c r="D35" s="9">
        <v>3000</v>
      </c>
      <c r="E35" s="9">
        <v>2500</v>
      </c>
      <c r="F35" s="9">
        <v>2500</v>
      </c>
      <c r="G35" s="9">
        <v>2800</v>
      </c>
      <c r="H35" s="9">
        <v>2800</v>
      </c>
      <c r="I35" s="9">
        <v>3000</v>
      </c>
      <c r="J35" s="72">
        <v>3000</v>
      </c>
      <c r="K35" s="67">
        <f t="shared" si="0"/>
        <v>2800</v>
      </c>
      <c r="M35" s="4"/>
      <c r="N35" s="4"/>
    </row>
    <row r="36" spans="1:14" ht="15.75" x14ac:dyDescent="0.25">
      <c r="A36" s="59">
        <v>8</v>
      </c>
      <c r="B36" s="73" t="s">
        <v>117</v>
      </c>
      <c r="C36" s="80"/>
      <c r="D36" s="9"/>
      <c r="E36" s="9"/>
      <c r="F36" s="9"/>
      <c r="G36" s="9"/>
      <c r="H36" s="9"/>
      <c r="I36" s="9"/>
      <c r="J36" s="72"/>
      <c r="K36" s="81"/>
      <c r="M36" s="4"/>
      <c r="N36" s="4"/>
    </row>
    <row r="37" spans="1:14" ht="15.75" x14ac:dyDescent="0.25">
      <c r="A37" s="59"/>
      <c r="B37" s="66" t="s">
        <v>118</v>
      </c>
      <c r="C37" s="17" t="s">
        <v>6</v>
      </c>
      <c r="D37" s="9">
        <v>10000</v>
      </c>
      <c r="E37" s="9">
        <v>1250</v>
      </c>
      <c r="F37" s="9">
        <v>9000</v>
      </c>
      <c r="G37" s="9">
        <v>9000</v>
      </c>
      <c r="H37" s="9">
        <v>16000</v>
      </c>
      <c r="I37" s="9">
        <v>9000</v>
      </c>
      <c r="J37" s="72">
        <v>3000</v>
      </c>
      <c r="K37" s="67">
        <f t="shared" si="0"/>
        <v>8178.5714285714284</v>
      </c>
      <c r="M37" s="4"/>
      <c r="N37" s="4"/>
    </row>
    <row r="38" spans="1:14" ht="15.75" x14ac:dyDescent="0.25">
      <c r="A38" s="59"/>
      <c r="B38" s="66" t="s">
        <v>119</v>
      </c>
      <c r="C38" s="17" t="s">
        <v>6</v>
      </c>
      <c r="D38" s="9" t="s">
        <v>99</v>
      </c>
      <c r="E38" s="9">
        <v>10000</v>
      </c>
      <c r="F38" s="9">
        <v>12000</v>
      </c>
      <c r="G38" s="9">
        <v>14000</v>
      </c>
      <c r="H38" s="9" t="s">
        <v>99</v>
      </c>
      <c r="I38" s="9">
        <v>12000</v>
      </c>
      <c r="J38" s="72">
        <v>12000</v>
      </c>
      <c r="K38" s="67">
        <f>AVERAGE(D38:J38)</f>
        <v>12000</v>
      </c>
      <c r="M38" s="4"/>
      <c r="N38" s="4"/>
    </row>
    <row r="39" spans="1:14" ht="15.75" x14ac:dyDescent="0.25">
      <c r="A39" s="59">
        <v>9</v>
      </c>
      <c r="B39" s="82" t="s">
        <v>120</v>
      </c>
      <c r="C39" s="83"/>
      <c r="D39" s="9"/>
      <c r="E39" s="9"/>
      <c r="F39" s="9"/>
      <c r="G39" s="9"/>
      <c r="H39" s="9"/>
      <c r="I39" s="9"/>
      <c r="J39" s="72"/>
      <c r="K39" s="81"/>
      <c r="M39" s="4"/>
      <c r="N39" s="4"/>
    </row>
    <row r="40" spans="1:14" ht="15.75" x14ac:dyDescent="0.25">
      <c r="A40" s="59"/>
      <c r="B40" s="66" t="s">
        <v>121</v>
      </c>
      <c r="C40" s="17" t="s">
        <v>6</v>
      </c>
      <c r="D40" s="9" t="s">
        <v>99</v>
      </c>
      <c r="E40" s="9" t="s">
        <v>99</v>
      </c>
      <c r="F40" s="9" t="s">
        <v>99</v>
      </c>
      <c r="G40" s="9">
        <v>16000</v>
      </c>
      <c r="H40" s="9">
        <v>14000</v>
      </c>
      <c r="I40" s="9" t="s">
        <v>99</v>
      </c>
      <c r="J40" s="72">
        <v>15000</v>
      </c>
      <c r="K40" s="67">
        <f t="shared" si="0"/>
        <v>15000</v>
      </c>
      <c r="M40" s="4"/>
      <c r="N40" s="4"/>
    </row>
    <row r="41" spans="1:14" ht="15.75" x14ac:dyDescent="0.25">
      <c r="A41" s="59"/>
      <c r="B41" s="66" t="s">
        <v>122</v>
      </c>
      <c r="C41" s="17" t="s">
        <v>6</v>
      </c>
      <c r="D41" s="9" t="s">
        <v>99</v>
      </c>
      <c r="E41" s="9" t="s">
        <v>99</v>
      </c>
      <c r="F41" s="9">
        <v>6000</v>
      </c>
      <c r="G41" s="9" t="s">
        <v>99</v>
      </c>
      <c r="H41" s="9" t="s">
        <v>99</v>
      </c>
      <c r="I41" s="9">
        <v>6000</v>
      </c>
      <c r="J41" s="72" t="s">
        <v>99</v>
      </c>
      <c r="K41" s="67">
        <f t="shared" si="0"/>
        <v>6000</v>
      </c>
      <c r="M41" s="4"/>
      <c r="N41" s="4"/>
    </row>
    <row r="42" spans="1:14" ht="15.75" x14ac:dyDescent="0.25">
      <c r="A42" s="59"/>
      <c r="B42" s="66" t="s">
        <v>123</v>
      </c>
      <c r="C42" s="17" t="s">
        <v>6</v>
      </c>
      <c r="D42" s="9" t="s">
        <v>99</v>
      </c>
      <c r="E42" s="9">
        <v>2500</v>
      </c>
      <c r="F42" s="9" t="s">
        <v>99</v>
      </c>
      <c r="G42" s="9" t="s">
        <v>99</v>
      </c>
      <c r="H42" s="9" t="s">
        <v>99</v>
      </c>
      <c r="I42" s="9" t="s">
        <v>99</v>
      </c>
      <c r="J42" s="72" t="s">
        <v>99</v>
      </c>
      <c r="K42" s="67">
        <f t="shared" si="0"/>
        <v>2500</v>
      </c>
      <c r="M42" s="4"/>
      <c r="N42" s="4"/>
    </row>
    <row r="43" spans="1:14" ht="15.75" x14ac:dyDescent="0.25">
      <c r="A43" s="101">
        <v>10</v>
      </c>
      <c r="B43" s="60" t="s">
        <v>34</v>
      </c>
      <c r="C43" s="73"/>
      <c r="D43" s="74"/>
      <c r="E43" s="17"/>
      <c r="F43" s="76"/>
      <c r="G43" s="15"/>
      <c r="H43" s="15"/>
      <c r="I43" s="15"/>
      <c r="J43" s="84"/>
      <c r="K43" s="71"/>
      <c r="M43" s="4"/>
      <c r="N43" s="4"/>
    </row>
    <row r="44" spans="1:14" ht="15.75" x14ac:dyDescent="0.25">
      <c r="A44" s="101"/>
      <c r="B44" s="66" t="s">
        <v>35</v>
      </c>
      <c r="C44" s="17" t="s">
        <v>36</v>
      </c>
      <c r="D44" s="9">
        <v>12000</v>
      </c>
      <c r="E44" s="9">
        <v>12000</v>
      </c>
      <c r="F44" s="9">
        <v>12500</v>
      </c>
      <c r="G44" s="9">
        <v>12500</v>
      </c>
      <c r="H44" s="10" t="s">
        <v>99</v>
      </c>
      <c r="I44" s="16">
        <v>12500</v>
      </c>
      <c r="J44" s="72">
        <v>12500</v>
      </c>
      <c r="K44" s="67">
        <f t="shared" si="0"/>
        <v>12333.333333333334</v>
      </c>
      <c r="M44" s="4"/>
      <c r="N44" s="4"/>
    </row>
    <row r="45" spans="1:14" ht="15.75" x14ac:dyDescent="0.25">
      <c r="A45" s="101"/>
      <c r="B45" s="66" t="s">
        <v>124</v>
      </c>
      <c r="C45" s="17" t="s">
        <v>36</v>
      </c>
      <c r="D45" s="9">
        <v>12000</v>
      </c>
      <c r="E45" s="9">
        <v>13000</v>
      </c>
      <c r="F45" s="16">
        <v>12500</v>
      </c>
      <c r="G45" s="9">
        <v>12500</v>
      </c>
      <c r="H45" s="10" t="s">
        <v>99</v>
      </c>
      <c r="I45" s="16">
        <v>12500</v>
      </c>
      <c r="J45" s="79">
        <v>12500</v>
      </c>
      <c r="K45" s="67">
        <f>AVERAGE(D45:J45)</f>
        <v>12500</v>
      </c>
      <c r="M45" s="4"/>
      <c r="N45" s="4"/>
    </row>
    <row r="46" spans="1:14" ht="15.75" x14ac:dyDescent="0.25">
      <c r="A46" s="101">
        <v>11</v>
      </c>
      <c r="B46" s="60" t="s">
        <v>38</v>
      </c>
      <c r="C46" s="73"/>
      <c r="D46" s="74"/>
      <c r="E46" s="17"/>
      <c r="F46" s="15"/>
      <c r="G46" s="76"/>
      <c r="H46" s="15"/>
      <c r="I46" s="15"/>
      <c r="J46" s="75"/>
      <c r="K46" s="71"/>
      <c r="M46" s="4"/>
      <c r="N46" s="4"/>
    </row>
    <row r="47" spans="1:14" ht="15.75" x14ac:dyDescent="0.25">
      <c r="A47" s="101"/>
      <c r="B47" s="66" t="s">
        <v>39</v>
      </c>
      <c r="C47" s="17" t="s">
        <v>40</v>
      </c>
      <c r="D47" s="9" t="s">
        <v>99</v>
      </c>
      <c r="E47" s="9" t="s">
        <v>99</v>
      </c>
      <c r="F47" s="10" t="s">
        <v>99</v>
      </c>
      <c r="G47" s="8" t="s">
        <v>99</v>
      </c>
      <c r="H47" s="9">
        <v>17500</v>
      </c>
      <c r="I47" s="16" t="s">
        <v>99</v>
      </c>
      <c r="J47" s="79" t="s">
        <v>99</v>
      </c>
      <c r="K47" s="67">
        <f t="shared" si="0"/>
        <v>17500</v>
      </c>
      <c r="M47" s="4"/>
      <c r="N47" s="4"/>
    </row>
    <row r="48" spans="1:14" ht="15.75" x14ac:dyDescent="0.25">
      <c r="A48" s="101"/>
      <c r="B48" s="66" t="s">
        <v>41</v>
      </c>
      <c r="C48" s="17" t="s">
        <v>42</v>
      </c>
      <c r="D48" s="9" t="s">
        <v>99</v>
      </c>
      <c r="E48" s="9" t="s">
        <v>99</v>
      </c>
      <c r="F48" s="10" t="s">
        <v>99</v>
      </c>
      <c r="G48" s="8" t="s">
        <v>99</v>
      </c>
      <c r="H48" s="9">
        <v>2000</v>
      </c>
      <c r="I48" s="16" t="s">
        <v>99</v>
      </c>
      <c r="J48" s="79" t="s">
        <v>99</v>
      </c>
      <c r="K48" s="67">
        <f t="shared" si="0"/>
        <v>2000</v>
      </c>
      <c r="M48" s="4"/>
      <c r="N48" s="4"/>
    </row>
    <row r="49" spans="1:14" ht="15.75" x14ac:dyDescent="0.25">
      <c r="A49" s="59">
        <v>12</v>
      </c>
      <c r="B49" s="85" t="s">
        <v>43</v>
      </c>
      <c r="C49" s="80"/>
      <c r="D49" s="19"/>
      <c r="E49" s="10"/>
      <c r="F49" s="10"/>
      <c r="G49" s="22"/>
      <c r="H49" s="10"/>
      <c r="I49" s="10"/>
      <c r="J49" s="77"/>
      <c r="K49" s="71"/>
      <c r="M49" s="4"/>
      <c r="N49" s="4"/>
    </row>
    <row r="50" spans="1:14" ht="15.75" x14ac:dyDescent="0.25">
      <c r="A50" s="59"/>
      <c r="B50" s="66" t="s">
        <v>44</v>
      </c>
      <c r="C50" s="86" t="s">
        <v>6</v>
      </c>
      <c r="D50" s="9">
        <v>10000</v>
      </c>
      <c r="E50" s="9">
        <v>8000</v>
      </c>
      <c r="F50" s="9">
        <v>10000</v>
      </c>
      <c r="G50" s="9">
        <v>10000</v>
      </c>
      <c r="H50" s="9">
        <v>15000</v>
      </c>
      <c r="I50" s="8">
        <v>15000</v>
      </c>
      <c r="J50" s="72">
        <v>15000</v>
      </c>
      <c r="K50" s="67">
        <f t="shared" si="0"/>
        <v>11857.142857142857</v>
      </c>
      <c r="M50" s="4"/>
      <c r="N50" s="4"/>
    </row>
    <row r="51" spans="1:14" ht="15.75" x14ac:dyDescent="0.25">
      <c r="A51" s="59"/>
      <c r="B51" s="66" t="s">
        <v>45</v>
      </c>
      <c r="C51" s="86" t="s">
        <v>6</v>
      </c>
      <c r="D51" s="9" t="s">
        <v>99</v>
      </c>
      <c r="E51" s="9">
        <v>10000</v>
      </c>
      <c r="F51" s="8">
        <v>9000</v>
      </c>
      <c r="G51" s="9">
        <v>10000</v>
      </c>
      <c r="H51" s="9">
        <v>12000</v>
      </c>
      <c r="I51" s="9">
        <v>12000</v>
      </c>
      <c r="J51" s="72">
        <v>10000</v>
      </c>
      <c r="K51" s="67">
        <f t="shared" si="0"/>
        <v>10500</v>
      </c>
      <c r="M51" s="4"/>
      <c r="N51" s="4"/>
    </row>
    <row r="52" spans="1:14" ht="15.75" x14ac:dyDescent="0.25">
      <c r="A52" s="101">
        <v>13</v>
      </c>
      <c r="B52" s="60" t="s">
        <v>46</v>
      </c>
      <c r="C52" s="73"/>
      <c r="D52" s="74"/>
      <c r="E52" s="17"/>
      <c r="F52" s="76"/>
      <c r="G52" s="76"/>
      <c r="H52" s="15"/>
      <c r="I52" s="15"/>
      <c r="J52" s="84"/>
      <c r="K52" s="71"/>
      <c r="M52" s="4"/>
      <c r="N52" s="4"/>
    </row>
    <row r="53" spans="1:14" ht="15.75" x14ac:dyDescent="0.25">
      <c r="A53" s="101"/>
      <c r="B53" s="66" t="s">
        <v>47</v>
      </c>
      <c r="C53" s="17" t="s">
        <v>125</v>
      </c>
      <c r="D53" s="9">
        <v>3000</v>
      </c>
      <c r="E53" s="9">
        <v>4000</v>
      </c>
      <c r="F53" s="9">
        <v>5000</v>
      </c>
      <c r="G53" s="9">
        <v>5000</v>
      </c>
      <c r="H53" s="9">
        <v>2500</v>
      </c>
      <c r="I53" s="16">
        <v>5000</v>
      </c>
      <c r="J53" s="72">
        <v>2500</v>
      </c>
      <c r="K53" s="67">
        <f t="shared" si="0"/>
        <v>3857.1428571428573</v>
      </c>
      <c r="M53" s="4" t="s">
        <v>101</v>
      </c>
      <c r="N53" s="4"/>
    </row>
    <row r="54" spans="1:14" ht="15.75" x14ac:dyDescent="0.25">
      <c r="A54" s="101">
        <v>14</v>
      </c>
      <c r="B54" s="60" t="s">
        <v>49</v>
      </c>
      <c r="C54" s="80"/>
      <c r="D54" s="62"/>
      <c r="E54" s="17"/>
      <c r="F54" s="20"/>
      <c r="G54" s="20"/>
      <c r="H54" s="17"/>
      <c r="I54" s="17"/>
      <c r="J54" s="87"/>
      <c r="K54" s="71"/>
      <c r="M54" s="4"/>
      <c r="N54" s="23"/>
    </row>
    <row r="55" spans="1:14" ht="15.75" x14ac:dyDescent="0.25">
      <c r="A55" s="101"/>
      <c r="B55" s="88" t="s">
        <v>50</v>
      </c>
      <c r="C55" s="86" t="s">
        <v>6</v>
      </c>
      <c r="D55" s="9">
        <v>10000</v>
      </c>
      <c r="E55" s="9">
        <v>10500</v>
      </c>
      <c r="F55" s="9">
        <v>10000</v>
      </c>
      <c r="G55" s="9">
        <v>11000</v>
      </c>
      <c r="H55" s="9">
        <v>12000</v>
      </c>
      <c r="I55" s="9">
        <v>10000</v>
      </c>
      <c r="J55" s="72">
        <v>10000</v>
      </c>
      <c r="K55" s="67">
        <f t="shared" si="0"/>
        <v>10500</v>
      </c>
      <c r="M55" s="4"/>
      <c r="N55" s="4"/>
    </row>
    <row r="56" spans="1:14" ht="15.75" x14ac:dyDescent="0.25">
      <c r="A56" s="101">
        <v>15</v>
      </c>
      <c r="B56" s="60" t="s">
        <v>51</v>
      </c>
      <c r="C56" s="73"/>
      <c r="D56" s="74"/>
      <c r="E56" s="17"/>
      <c r="F56" s="76"/>
      <c r="G56" s="15"/>
      <c r="H56" s="15"/>
      <c r="I56" s="15"/>
      <c r="J56" s="84"/>
      <c r="K56" s="71"/>
      <c r="M56" s="4"/>
      <c r="N56" s="4"/>
    </row>
    <row r="57" spans="1:14" ht="15.75" x14ac:dyDescent="0.25">
      <c r="A57" s="101"/>
      <c r="B57" s="66" t="s">
        <v>52</v>
      </c>
      <c r="C57" s="17" t="s">
        <v>6</v>
      </c>
      <c r="D57" s="9">
        <v>16000</v>
      </c>
      <c r="E57" s="9">
        <v>13000</v>
      </c>
      <c r="F57" s="9">
        <v>14000</v>
      </c>
      <c r="G57" s="9">
        <v>14000</v>
      </c>
      <c r="H57" s="9">
        <v>11500</v>
      </c>
      <c r="I57" s="9">
        <v>17000</v>
      </c>
      <c r="J57" s="72" t="s">
        <v>99</v>
      </c>
      <c r="K57" s="67">
        <f t="shared" si="0"/>
        <v>14250</v>
      </c>
      <c r="M57" s="4"/>
      <c r="N57" s="4"/>
    </row>
    <row r="58" spans="1:14" ht="15.75" x14ac:dyDescent="0.25">
      <c r="A58" s="101"/>
      <c r="B58" s="66" t="s">
        <v>53</v>
      </c>
      <c r="C58" s="17" t="s">
        <v>6</v>
      </c>
      <c r="D58" s="9" t="s">
        <v>99</v>
      </c>
      <c r="E58" s="9" t="s">
        <v>99</v>
      </c>
      <c r="F58" s="16">
        <v>15000</v>
      </c>
      <c r="G58" s="22" t="s">
        <v>99</v>
      </c>
      <c r="H58" s="9">
        <v>13000</v>
      </c>
      <c r="I58" s="8">
        <v>15000</v>
      </c>
      <c r="J58" s="72">
        <v>14000</v>
      </c>
      <c r="K58" s="67">
        <f t="shared" si="0"/>
        <v>14250</v>
      </c>
      <c r="M58" s="4"/>
      <c r="N58" s="4"/>
    </row>
    <row r="59" spans="1:14" ht="15.75" x14ac:dyDescent="0.25">
      <c r="A59" s="101"/>
      <c r="B59" s="66" t="s">
        <v>54</v>
      </c>
      <c r="C59" s="17" t="s">
        <v>6</v>
      </c>
      <c r="D59" s="9">
        <v>25000</v>
      </c>
      <c r="E59" s="9">
        <v>23000</v>
      </c>
      <c r="F59" s="9">
        <v>23000</v>
      </c>
      <c r="G59" s="9">
        <v>23000</v>
      </c>
      <c r="H59" s="9">
        <v>20000</v>
      </c>
      <c r="I59" s="9">
        <v>23000</v>
      </c>
      <c r="J59" s="72">
        <v>24000</v>
      </c>
      <c r="K59" s="67">
        <f t="shared" si="0"/>
        <v>23000</v>
      </c>
      <c r="M59" s="4"/>
      <c r="N59" s="4"/>
    </row>
    <row r="60" spans="1:14" ht="15.75" x14ac:dyDescent="0.25">
      <c r="A60" s="101"/>
      <c r="B60" s="66" t="s">
        <v>55</v>
      </c>
      <c r="C60" s="17" t="s">
        <v>6</v>
      </c>
      <c r="D60" s="9">
        <v>31000</v>
      </c>
      <c r="E60" s="9">
        <v>30000</v>
      </c>
      <c r="F60" s="9">
        <v>28000</v>
      </c>
      <c r="G60" s="9">
        <v>30000</v>
      </c>
      <c r="H60" s="9">
        <v>27000</v>
      </c>
      <c r="I60" s="9">
        <v>28000</v>
      </c>
      <c r="J60" s="72">
        <v>28000</v>
      </c>
      <c r="K60" s="67">
        <f t="shared" si="0"/>
        <v>28857.142857142859</v>
      </c>
      <c r="M60" s="4"/>
      <c r="N60" s="4"/>
    </row>
    <row r="61" spans="1:14" ht="15.75" x14ac:dyDescent="0.25">
      <c r="A61" s="17">
        <v>16</v>
      </c>
      <c r="B61" s="60" t="s">
        <v>56</v>
      </c>
      <c r="C61" s="80"/>
      <c r="D61" s="89"/>
      <c r="E61" s="10"/>
      <c r="F61" s="22"/>
      <c r="G61" s="10"/>
      <c r="H61" s="10"/>
      <c r="I61" s="10"/>
      <c r="J61" s="90"/>
      <c r="K61" s="71"/>
      <c r="M61" s="4"/>
      <c r="N61" s="4"/>
    </row>
    <row r="62" spans="1:14" ht="15.75" x14ac:dyDescent="0.25">
      <c r="A62" s="17"/>
      <c r="B62" s="66" t="s">
        <v>57</v>
      </c>
      <c r="C62" s="86" t="s">
        <v>58</v>
      </c>
      <c r="D62" s="9">
        <v>3000</v>
      </c>
      <c r="E62" s="9">
        <v>3200</v>
      </c>
      <c r="F62" s="9">
        <v>3000</v>
      </c>
      <c r="G62" s="9">
        <v>3000</v>
      </c>
      <c r="H62" s="10" t="s">
        <v>99</v>
      </c>
      <c r="I62" s="16">
        <v>3000</v>
      </c>
      <c r="J62" s="72">
        <v>3500</v>
      </c>
      <c r="K62" s="67">
        <f t="shared" si="0"/>
        <v>3116.6666666666665</v>
      </c>
      <c r="M62" s="4"/>
      <c r="N62" s="4"/>
    </row>
    <row r="63" spans="1:14" ht="15.75" x14ac:dyDescent="0.25">
      <c r="A63" s="101">
        <v>17</v>
      </c>
      <c r="B63" s="60" t="s">
        <v>59</v>
      </c>
      <c r="C63" s="73"/>
      <c r="D63" s="74"/>
      <c r="E63" s="17"/>
      <c r="F63" s="76"/>
      <c r="G63" s="76"/>
      <c r="H63" s="15"/>
      <c r="I63" s="15"/>
      <c r="J63" s="84"/>
      <c r="K63" s="71"/>
      <c r="M63" s="4"/>
      <c r="N63" s="4"/>
    </row>
    <row r="64" spans="1:14" ht="15.75" x14ac:dyDescent="0.25">
      <c r="A64" s="101"/>
      <c r="B64" s="66" t="s">
        <v>60</v>
      </c>
      <c r="C64" s="17" t="s">
        <v>6</v>
      </c>
      <c r="D64" s="9">
        <v>85000</v>
      </c>
      <c r="E64" s="9">
        <v>70000</v>
      </c>
      <c r="F64" s="9">
        <v>82000</v>
      </c>
      <c r="G64" s="9">
        <v>75000</v>
      </c>
      <c r="H64" s="9">
        <v>70000</v>
      </c>
      <c r="I64" s="9">
        <v>90000</v>
      </c>
      <c r="J64" s="72">
        <v>80000</v>
      </c>
      <c r="K64" s="67">
        <f t="shared" si="0"/>
        <v>78857.142857142855</v>
      </c>
      <c r="M64" s="4"/>
      <c r="N64" s="4"/>
    </row>
    <row r="65" spans="1:14" ht="15.75" x14ac:dyDescent="0.25">
      <c r="A65" s="101"/>
      <c r="B65" s="66" t="s">
        <v>61</v>
      </c>
      <c r="C65" s="17" t="s">
        <v>6</v>
      </c>
      <c r="D65" s="9">
        <v>80000</v>
      </c>
      <c r="E65" s="9">
        <v>70000</v>
      </c>
      <c r="F65" s="9">
        <v>67000</v>
      </c>
      <c r="G65" s="9">
        <v>70000</v>
      </c>
      <c r="H65" s="9">
        <v>60000</v>
      </c>
      <c r="I65" s="8">
        <v>65000</v>
      </c>
      <c r="J65" s="72">
        <v>75000</v>
      </c>
      <c r="K65" s="67">
        <f t="shared" si="0"/>
        <v>69571.428571428565</v>
      </c>
      <c r="M65" s="4"/>
      <c r="N65" s="4"/>
    </row>
    <row r="66" spans="1:14" ht="15.75" x14ac:dyDescent="0.25">
      <c r="A66" s="101"/>
      <c r="B66" s="66" t="s">
        <v>62</v>
      </c>
      <c r="C66" s="17" t="s">
        <v>6</v>
      </c>
      <c r="D66" s="9">
        <v>55000</v>
      </c>
      <c r="E66" s="9">
        <v>60000</v>
      </c>
      <c r="F66" s="9">
        <v>47000</v>
      </c>
      <c r="G66" s="9">
        <v>60000</v>
      </c>
      <c r="H66" s="9">
        <v>50000</v>
      </c>
      <c r="I66" s="9">
        <v>80000</v>
      </c>
      <c r="J66" s="72">
        <v>44000</v>
      </c>
      <c r="K66" s="67">
        <f t="shared" si="0"/>
        <v>56571.428571428572</v>
      </c>
      <c r="M66" s="4"/>
      <c r="N66" s="4"/>
    </row>
    <row r="67" spans="1:14" ht="15.75" x14ac:dyDescent="0.25">
      <c r="A67" s="17">
        <v>18</v>
      </c>
      <c r="B67" s="60" t="s">
        <v>63</v>
      </c>
      <c r="C67" s="80"/>
      <c r="D67" s="24"/>
      <c r="E67" s="10"/>
      <c r="F67" s="22"/>
      <c r="G67" s="10"/>
      <c r="H67" s="10" t="s">
        <v>1</v>
      </c>
      <c r="I67" s="10"/>
      <c r="J67" s="77"/>
      <c r="K67" s="71"/>
      <c r="M67" s="4"/>
      <c r="N67" s="4"/>
    </row>
    <row r="68" spans="1:14" ht="15.75" x14ac:dyDescent="0.25">
      <c r="A68" s="17"/>
      <c r="B68" s="66" t="s">
        <v>64</v>
      </c>
      <c r="C68" s="17" t="s">
        <v>65</v>
      </c>
      <c r="D68" s="9">
        <v>20000</v>
      </c>
      <c r="E68" s="9">
        <v>18000</v>
      </c>
      <c r="F68" s="9">
        <v>18000</v>
      </c>
      <c r="G68" s="9">
        <v>18000</v>
      </c>
      <c r="H68" s="10" t="s">
        <v>99</v>
      </c>
      <c r="I68" s="9">
        <v>18000</v>
      </c>
      <c r="J68" s="79">
        <v>18000</v>
      </c>
      <c r="K68" s="67">
        <f t="shared" si="0"/>
        <v>18333.333333333332</v>
      </c>
      <c r="M68" s="4"/>
      <c r="N68" s="4"/>
    </row>
    <row r="69" spans="1:14" ht="15.75" x14ac:dyDescent="0.25">
      <c r="A69" s="101">
        <v>19</v>
      </c>
      <c r="B69" s="60" t="s">
        <v>66</v>
      </c>
      <c r="C69" s="60"/>
      <c r="D69" s="74"/>
      <c r="E69" s="17"/>
      <c r="F69" s="15"/>
      <c r="G69" s="15"/>
      <c r="H69" s="15"/>
      <c r="I69" s="15"/>
      <c r="J69" s="75"/>
      <c r="K69" s="71"/>
      <c r="M69" s="4"/>
      <c r="N69" s="4"/>
    </row>
    <row r="70" spans="1:14" ht="15.75" x14ac:dyDescent="0.25">
      <c r="A70" s="101"/>
      <c r="B70" s="66" t="s">
        <v>67</v>
      </c>
      <c r="C70" s="17" t="s">
        <v>6</v>
      </c>
      <c r="D70" s="9">
        <v>38000</v>
      </c>
      <c r="E70" s="9">
        <v>35000</v>
      </c>
      <c r="F70" s="9">
        <v>36000</v>
      </c>
      <c r="G70" s="9">
        <v>36000</v>
      </c>
      <c r="H70" s="9">
        <v>37000</v>
      </c>
      <c r="I70" s="9">
        <v>40000</v>
      </c>
      <c r="J70" s="72">
        <v>38000</v>
      </c>
      <c r="K70" s="67">
        <f t="shared" si="0"/>
        <v>37142.857142857145</v>
      </c>
      <c r="M70" s="4"/>
      <c r="N70" s="4"/>
    </row>
    <row r="71" spans="1:14" ht="15.75" x14ac:dyDescent="0.25">
      <c r="A71" s="101"/>
      <c r="B71" s="66" t="s">
        <v>68</v>
      </c>
      <c r="C71" s="17" t="s">
        <v>6</v>
      </c>
      <c r="D71" s="9">
        <v>34000</v>
      </c>
      <c r="E71" s="9">
        <v>32000</v>
      </c>
      <c r="F71" s="9">
        <v>33000</v>
      </c>
      <c r="G71" s="9">
        <v>32000</v>
      </c>
      <c r="H71" s="9">
        <v>34000</v>
      </c>
      <c r="I71" s="9">
        <v>32000</v>
      </c>
      <c r="J71" s="72">
        <v>32000</v>
      </c>
      <c r="K71" s="67">
        <f t="shared" si="0"/>
        <v>32714.285714285714</v>
      </c>
      <c r="M71" s="4"/>
      <c r="N71" s="4"/>
    </row>
    <row r="72" spans="1:14" ht="15.75" x14ac:dyDescent="0.25">
      <c r="A72" s="101"/>
      <c r="B72" s="66" t="s">
        <v>69</v>
      </c>
      <c r="C72" s="17" t="s">
        <v>6</v>
      </c>
      <c r="D72" s="9">
        <v>28000</v>
      </c>
      <c r="E72" s="9">
        <v>28000</v>
      </c>
      <c r="F72" s="9">
        <v>24000</v>
      </c>
      <c r="G72" s="9">
        <v>28000</v>
      </c>
      <c r="H72" s="9">
        <v>20000</v>
      </c>
      <c r="I72" s="9">
        <v>28000</v>
      </c>
      <c r="J72" s="72">
        <v>20000</v>
      </c>
      <c r="K72" s="67">
        <f t="shared" si="0"/>
        <v>25142.857142857141</v>
      </c>
      <c r="M72" s="4"/>
      <c r="N72" s="4"/>
    </row>
    <row r="73" spans="1:14" ht="15.75" x14ac:dyDescent="0.25">
      <c r="A73" s="101"/>
      <c r="B73" s="66" t="s">
        <v>70</v>
      </c>
      <c r="C73" s="17" t="s">
        <v>6</v>
      </c>
      <c r="D73" s="9">
        <v>28000</v>
      </c>
      <c r="E73" s="9">
        <v>25000</v>
      </c>
      <c r="F73" s="16">
        <v>28000</v>
      </c>
      <c r="G73" s="8">
        <v>30000</v>
      </c>
      <c r="H73" s="9">
        <v>25000</v>
      </c>
      <c r="I73" s="9">
        <v>35000</v>
      </c>
      <c r="J73" s="72">
        <v>28000</v>
      </c>
      <c r="K73" s="67">
        <f t="shared" si="0"/>
        <v>28428.571428571428</v>
      </c>
      <c r="M73" s="4"/>
      <c r="N73" s="4"/>
    </row>
    <row r="74" spans="1:14" ht="15.75" x14ac:dyDescent="0.25">
      <c r="A74" s="17">
        <v>20</v>
      </c>
      <c r="B74" s="60" t="s">
        <v>71</v>
      </c>
      <c r="C74" s="91"/>
      <c r="D74" s="24"/>
      <c r="E74" s="10"/>
      <c r="F74" s="10"/>
      <c r="G74" s="89"/>
      <c r="H74" s="10"/>
      <c r="I74" s="10"/>
      <c r="J74" s="90"/>
      <c r="K74" s="71"/>
      <c r="M74" s="4"/>
      <c r="N74" s="4"/>
    </row>
    <row r="75" spans="1:14" ht="15.75" x14ac:dyDescent="0.25">
      <c r="A75" s="17"/>
      <c r="B75" s="66" t="s">
        <v>72</v>
      </c>
      <c r="C75" s="86" t="s">
        <v>6</v>
      </c>
      <c r="D75" s="9">
        <v>7000</v>
      </c>
      <c r="E75" s="9">
        <v>7000</v>
      </c>
      <c r="F75" s="9">
        <v>5000</v>
      </c>
      <c r="G75" s="9">
        <v>6000</v>
      </c>
      <c r="H75" s="9">
        <v>5000</v>
      </c>
      <c r="I75" s="9">
        <v>5000</v>
      </c>
      <c r="J75" s="72">
        <v>5000</v>
      </c>
      <c r="K75" s="67">
        <f t="shared" si="0"/>
        <v>5714.2857142857147</v>
      </c>
      <c r="M75" s="4"/>
      <c r="N75" s="4"/>
    </row>
    <row r="76" spans="1:14" ht="15.75" x14ac:dyDescent="0.25">
      <c r="A76" s="17"/>
      <c r="B76" s="66" t="s">
        <v>73</v>
      </c>
      <c r="C76" s="86" t="s">
        <v>6</v>
      </c>
      <c r="D76" s="9">
        <v>7000</v>
      </c>
      <c r="E76" s="9">
        <v>6000</v>
      </c>
      <c r="F76" s="16">
        <v>6000</v>
      </c>
      <c r="G76" s="8">
        <v>6000</v>
      </c>
      <c r="H76" s="9">
        <v>5000</v>
      </c>
      <c r="I76" s="9">
        <v>6000</v>
      </c>
      <c r="J76" s="79">
        <v>6000</v>
      </c>
      <c r="K76" s="67">
        <f t="shared" si="0"/>
        <v>6000</v>
      </c>
      <c r="M76" s="4"/>
      <c r="N76" s="4"/>
    </row>
    <row r="77" spans="1:14" ht="15.75" x14ac:dyDescent="0.25">
      <c r="A77" s="17">
        <v>21</v>
      </c>
      <c r="B77" s="60" t="s">
        <v>74</v>
      </c>
      <c r="C77" s="91"/>
      <c r="D77" s="19"/>
      <c r="E77" s="10"/>
      <c r="F77" s="10"/>
      <c r="G77" s="22"/>
      <c r="H77" s="10"/>
      <c r="I77" s="10"/>
      <c r="J77" s="77"/>
      <c r="K77" s="71"/>
      <c r="M77" s="4"/>
      <c r="N77" s="4"/>
    </row>
    <row r="78" spans="1:14" ht="15.75" x14ac:dyDescent="0.25">
      <c r="A78" s="17"/>
      <c r="B78" s="66" t="s">
        <v>75</v>
      </c>
      <c r="C78" s="86" t="s">
        <v>6</v>
      </c>
      <c r="D78" s="9">
        <v>7000</v>
      </c>
      <c r="E78" s="9">
        <v>8000</v>
      </c>
      <c r="F78" s="9">
        <v>10000</v>
      </c>
      <c r="G78" s="9">
        <v>8000</v>
      </c>
      <c r="H78" s="9">
        <v>6000</v>
      </c>
      <c r="I78" s="16">
        <v>9000</v>
      </c>
      <c r="J78" s="72" t="s">
        <v>99</v>
      </c>
      <c r="K78" s="67">
        <f t="shared" si="0"/>
        <v>8000</v>
      </c>
      <c r="M78" s="4"/>
      <c r="N78" s="4"/>
    </row>
    <row r="79" spans="1:14" ht="15.75" x14ac:dyDescent="0.25">
      <c r="A79" s="17"/>
      <c r="B79" s="66" t="s">
        <v>76</v>
      </c>
      <c r="C79" s="86" t="s">
        <v>6</v>
      </c>
      <c r="D79" s="9">
        <v>14000</v>
      </c>
      <c r="E79" s="9">
        <v>10000</v>
      </c>
      <c r="F79" s="9">
        <v>20000</v>
      </c>
      <c r="G79" s="9">
        <v>10000</v>
      </c>
      <c r="H79" s="9">
        <v>6000</v>
      </c>
      <c r="I79" s="16">
        <v>15000</v>
      </c>
      <c r="J79" s="72">
        <v>15000</v>
      </c>
      <c r="K79" s="67">
        <f t="shared" si="0"/>
        <v>12857.142857142857</v>
      </c>
      <c r="M79" s="4"/>
      <c r="N79" s="4"/>
    </row>
    <row r="80" spans="1:14" ht="15.75" x14ac:dyDescent="0.25">
      <c r="A80" s="17"/>
      <c r="B80" s="66" t="s">
        <v>77</v>
      </c>
      <c r="C80" s="86" t="s">
        <v>6</v>
      </c>
      <c r="D80" s="9">
        <v>16000</v>
      </c>
      <c r="E80" s="9">
        <v>16000</v>
      </c>
      <c r="F80" s="9">
        <v>17000</v>
      </c>
      <c r="G80" s="9">
        <v>16000</v>
      </c>
      <c r="H80" s="9">
        <v>15000</v>
      </c>
      <c r="I80" s="9">
        <v>18000</v>
      </c>
      <c r="J80" s="72">
        <v>15000</v>
      </c>
      <c r="K80" s="67">
        <f t="shared" si="0"/>
        <v>16142.857142857143</v>
      </c>
      <c r="M80" s="4"/>
      <c r="N80" s="4"/>
    </row>
    <row r="81" spans="1:14" ht="15.75" x14ac:dyDescent="0.25">
      <c r="A81" s="17"/>
      <c r="B81" s="66" t="s">
        <v>78</v>
      </c>
      <c r="C81" s="86" t="s">
        <v>6</v>
      </c>
      <c r="D81" s="9">
        <v>15000</v>
      </c>
      <c r="E81" s="9">
        <v>15000</v>
      </c>
      <c r="F81" s="9">
        <v>10000</v>
      </c>
      <c r="G81" s="9">
        <v>18000</v>
      </c>
      <c r="H81" s="9">
        <v>16000</v>
      </c>
      <c r="I81" s="8">
        <v>20000</v>
      </c>
      <c r="J81" s="72">
        <v>20000</v>
      </c>
      <c r="K81" s="67">
        <f t="shared" ref="K81:K88" si="1">AVERAGE(D81:J81)</f>
        <v>16285.714285714286</v>
      </c>
      <c r="M81" s="4"/>
      <c r="N81" s="4"/>
    </row>
    <row r="82" spans="1:14" ht="15.75" x14ac:dyDescent="0.25">
      <c r="A82" s="17"/>
      <c r="B82" s="66" t="s">
        <v>79</v>
      </c>
      <c r="C82" s="86" t="s">
        <v>6</v>
      </c>
      <c r="D82" s="9">
        <v>14000</v>
      </c>
      <c r="E82" s="9">
        <v>12000</v>
      </c>
      <c r="F82" s="9">
        <v>14000</v>
      </c>
      <c r="G82" s="9">
        <v>12000</v>
      </c>
      <c r="H82" s="9">
        <v>10000</v>
      </c>
      <c r="I82" s="9">
        <v>16000</v>
      </c>
      <c r="J82" s="72">
        <v>10000</v>
      </c>
      <c r="K82" s="67">
        <f t="shared" si="1"/>
        <v>12571.428571428571</v>
      </c>
      <c r="M82" s="4"/>
      <c r="N82" s="4"/>
    </row>
    <row r="83" spans="1:14" ht="15.75" x14ac:dyDescent="0.25">
      <c r="A83" s="17"/>
      <c r="B83" s="66" t="s">
        <v>80</v>
      </c>
      <c r="C83" s="86" t="s">
        <v>6</v>
      </c>
      <c r="D83" s="9">
        <v>8000</v>
      </c>
      <c r="E83" s="9">
        <v>8000</v>
      </c>
      <c r="F83" s="16">
        <v>9000</v>
      </c>
      <c r="G83" s="8">
        <v>8000</v>
      </c>
      <c r="H83" s="9">
        <v>7000</v>
      </c>
      <c r="I83" s="16">
        <v>9000</v>
      </c>
      <c r="J83" s="72">
        <v>8000</v>
      </c>
      <c r="K83" s="67">
        <f t="shared" si="1"/>
        <v>8142.8571428571431</v>
      </c>
      <c r="M83" s="4"/>
      <c r="N83" s="4"/>
    </row>
    <row r="84" spans="1:14" ht="15.75" x14ac:dyDescent="0.25">
      <c r="A84" s="17"/>
      <c r="B84" s="66" t="s">
        <v>81</v>
      </c>
      <c r="C84" s="86" t="s">
        <v>82</v>
      </c>
      <c r="D84" s="9">
        <v>2000</v>
      </c>
      <c r="E84" s="9">
        <v>1500</v>
      </c>
      <c r="F84" s="9">
        <v>2000</v>
      </c>
      <c r="G84" s="8">
        <v>2000</v>
      </c>
      <c r="H84" s="9">
        <v>1500</v>
      </c>
      <c r="I84" s="9">
        <v>2000</v>
      </c>
      <c r="J84" s="79">
        <v>1500</v>
      </c>
      <c r="K84" s="67">
        <f t="shared" si="1"/>
        <v>1785.7142857142858</v>
      </c>
      <c r="M84" s="4"/>
      <c r="N84" s="4"/>
    </row>
    <row r="85" spans="1:14" ht="15.75" x14ac:dyDescent="0.25">
      <c r="A85" s="17"/>
      <c r="B85" s="66" t="s">
        <v>83</v>
      </c>
      <c r="C85" s="86" t="s">
        <v>82</v>
      </c>
      <c r="D85" s="9">
        <v>1500</v>
      </c>
      <c r="E85" s="9">
        <v>1500</v>
      </c>
      <c r="F85" s="9">
        <v>1500</v>
      </c>
      <c r="G85" s="8">
        <v>2000</v>
      </c>
      <c r="H85" s="9">
        <v>1500</v>
      </c>
      <c r="I85" s="9">
        <v>1500</v>
      </c>
      <c r="J85" s="79">
        <v>1000</v>
      </c>
      <c r="K85" s="67">
        <f t="shared" si="1"/>
        <v>1500</v>
      </c>
      <c r="M85" s="4"/>
      <c r="N85" s="4"/>
    </row>
    <row r="86" spans="1:14" ht="15.75" x14ac:dyDescent="0.25">
      <c r="A86" s="17"/>
      <c r="B86" s="66" t="s">
        <v>84</v>
      </c>
      <c r="C86" s="86" t="s">
        <v>82</v>
      </c>
      <c r="D86" s="9" t="s">
        <v>99</v>
      </c>
      <c r="E86" s="9">
        <v>2000</v>
      </c>
      <c r="F86" s="9" t="s">
        <v>99</v>
      </c>
      <c r="G86" s="8" t="s">
        <v>99</v>
      </c>
      <c r="H86" s="9">
        <v>2500</v>
      </c>
      <c r="I86" s="9" t="s">
        <v>99</v>
      </c>
      <c r="J86" s="79">
        <v>2000</v>
      </c>
      <c r="K86" s="67">
        <f t="shared" si="1"/>
        <v>2166.6666666666665</v>
      </c>
      <c r="M86" s="4"/>
      <c r="N86" s="4"/>
    </row>
    <row r="87" spans="1:14" ht="15.75" x14ac:dyDescent="0.25">
      <c r="A87" s="17">
        <v>22</v>
      </c>
      <c r="B87" s="60" t="s">
        <v>85</v>
      </c>
      <c r="C87" s="91"/>
      <c r="D87" s="22"/>
      <c r="E87" s="10"/>
      <c r="F87" s="10" t="s">
        <v>102</v>
      </c>
      <c r="G87" s="22"/>
      <c r="H87" s="10"/>
      <c r="I87" s="10"/>
      <c r="J87" s="77"/>
      <c r="K87" s="71"/>
      <c r="L87" s="4"/>
      <c r="M87" s="4"/>
      <c r="N87" s="4"/>
    </row>
    <row r="88" spans="1:14" x14ac:dyDescent="0.25">
      <c r="A88" s="17"/>
      <c r="B88" s="66" t="s">
        <v>86</v>
      </c>
      <c r="C88" s="86" t="s">
        <v>87</v>
      </c>
      <c r="D88" s="9" t="s">
        <v>99</v>
      </c>
      <c r="E88" s="9" t="s">
        <v>99</v>
      </c>
      <c r="F88" s="9">
        <v>18000</v>
      </c>
      <c r="G88" s="8">
        <v>17000</v>
      </c>
      <c r="H88" s="10" t="s">
        <v>99</v>
      </c>
      <c r="I88" s="16">
        <v>18000</v>
      </c>
      <c r="J88" s="79">
        <v>18000</v>
      </c>
      <c r="K88" s="67">
        <f t="shared" si="1"/>
        <v>17750</v>
      </c>
    </row>
  </sheetData>
  <mergeCells count="28"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A46:A48"/>
    <mergeCell ref="J4:J6"/>
    <mergeCell ref="K4:K6"/>
    <mergeCell ref="A7:A12"/>
    <mergeCell ref="A13:A15"/>
    <mergeCell ref="A16:A17"/>
    <mergeCell ref="A19:A20"/>
    <mergeCell ref="A21:A25"/>
    <mergeCell ref="A26:A32"/>
    <mergeCell ref="A33:A35"/>
    <mergeCell ref="A43:A45"/>
    <mergeCell ref="A52:A53"/>
    <mergeCell ref="A54:A55"/>
    <mergeCell ref="A56:A60"/>
    <mergeCell ref="A63:A66"/>
    <mergeCell ref="A69:A73"/>
  </mergeCells>
  <pageMargins left="0.7" right="0.7" top="0.75" bottom="0.75" header="0.3" footer="0.3"/>
  <drawing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7C3F8-84A6-46C1-819B-AACC55A465EB}">
  <dimension ref="A1:N88"/>
  <sheetViews>
    <sheetView workbookViewId="0">
      <selection activeCell="A7" sqref="A7:K88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02" t="s">
        <v>88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M1" s="4"/>
      <c r="N1" s="4"/>
    </row>
    <row r="2" spans="1:14" ht="27.75" customHeight="1" x14ac:dyDescent="0.25">
      <c r="A2" s="103" t="s">
        <v>89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M2" s="4"/>
      <c r="N2" s="4"/>
    </row>
    <row r="3" spans="1:14" ht="27.75" customHeight="1" thickBot="1" x14ac:dyDescent="0.3">
      <c r="A3" s="104" t="s">
        <v>153</v>
      </c>
      <c r="B3" s="104"/>
      <c r="C3" s="104"/>
      <c r="D3" s="104"/>
      <c r="E3" s="104"/>
      <c r="F3" s="104"/>
      <c r="G3" s="104"/>
      <c r="H3" s="104"/>
      <c r="I3" s="104"/>
      <c r="J3" s="104"/>
      <c r="K3" s="105"/>
      <c r="M3" s="4"/>
      <c r="N3" s="4"/>
    </row>
    <row r="4" spans="1:14" ht="25.5" customHeight="1" x14ac:dyDescent="0.25">
      <c r="A4" s="96" t="s">
        <v>1</v>
      </c>
      <c r="B4" s="99" t="s">
        <v>2</v>
      </c>
      <c r="C4" s="96" t="s">
        <v>90</v>
      </c>
      <c r="D4" s="110" t="s">
        <v>91</v>
      </c>
      <c r="E4" s="113" t="s">
        <v>92</v>
      </c>
      <c r="F4" s="125" t="s">
        <v>93</v>
      </c>
      <c r="G4" s="128" t="s">
        <v>94</v>
      </c>
      <c r="H4" s="147" t="s">
        <v>95</v>
      </c>
      <c r="I4" s="119" t="s">
        <v>96</v>
      </c>
      <c r="J4" s="106" t="s">
        <v>97</v>
      </c>
      <c r="K4" s="122" t="s">
        <v>98</v>
      </c>
      <c r="M4" s="4"/>
      <c r="N4" s="4"/>
    </row>
    <row r="5" spans="1:14" ht="15" customHeight="1" x14ac:dyDescent="0.25">
      <c r="A5" s="97"/>
      <c r="B5" s="100"/>
      <c r="C5" s="97"/>
      <c r="D5" s="111"/>
      <c r="E5" s="114"/>
      <c r="F5" s="126"/>
      <c r="G5" s="129"/>
      <c r="H5" s="148"/>
      <c r="I5" s="120"/>
      <c r="J5" s="107"/>
      <c r="K5" s="123"/>
      <c r="M5" s="4"/>
      <c r="N5" s="4"/>
    </row>
    <row r="6" spans="1:14" ht="16.5" thickBot="1" x14ac:dyDescent="0.3">
      <c r="A6" s="98"/>
      <c r="B6" s="109"/>
      <c r="C6" s="98"/>
      <c r="D6" s="112"/>
      <c r="E6" s="115"/>
      <c r="F6" s="127"/>
      <c r="G6" s="130"/>
      <c r="H6" s="149"/>
      <c r="I6" s="121"/>
      <c r="J6" s="108"/>
      <c r="K6" s="124"/>
      <c r="M6" s="4"/>
      <c r="N6" s="4"/>
    </row>
    <row r="7" spans="1:14" ht="15.75" x14ac:dyDescent="0.25">
      <c r="A7" s="101">
        <v>1</v>
      </c>
      <c r="B7" s="60" t="s">
        <v>4</v>
      </c>
      <c r="C7" s="61"/>
      <c r="D7" s="62"/>
      <c r="E7" s="17" t="s">
        <v>102</v>
      </c>
      <c r="F7" s="17"/>
      <c r="G7" s="63"/>
      <c r="H7" s="63" t="s">
        <v>1</v>
      </c>
      <c r="I7" s="64"/>
      <c r="J7" s="63"/>
      <c r="K7" s="65"/>
      <c r="M7" s="4"/>
      <c r="N7" s="4"/>
    </row>
    <row r="8" spans="1:14" ht="15.75" x14ac:dyDescent="0.25">
      <c r="A8" s="101"/>
      <c r="B8" s="66" t="s">
        <v>107</v>
      </c>
      <c r="C8" s="17" t="s">
        <v>6</v>
      </c>
      <c r="D8" s="9">
        <v>15500</v>
      </c>
      <c r="E8" s="9">
        <v>15500</v>
      </c>
      <c r="F8" s="9">
        <v>15600</v>
      </c>
      <c r="G8" s="9">
        <v>15600</v>
      </c>
      <c r="H8" s="9">
        <v>17000</v>
      </c>
      <c r="I8" s="9">
        <v>17000</v>
      </c>
      <c r="J8" s="16">
        <v>17000</v>
      </c>
      <c r="K8" s="67">
        <f>AVERAGE(D8:J8)</f>
        <v>16171.428571428571</v>
      </c>
      <c r="L8" s="1"/>
      <c r="M8" s="7"/>
      <c r="N8" s="4"/>
    </row>
    <row r="9" spans="1:14" ht="15.75" x14ac:dyDescent="0.25">
      <c r="A9" s="101"/>
      <c r="B9" s="66" t="s">
        <v>115</v>
      </c>
      <c r="C9" s="17" t="s">
        <v>6</v>
      </c>
      <c r="D9" s="9">
        <v>10900</v>
      </c>
      <c r="E9" s="9">
        <v>10900</v>
      </c>
      <c r="F9" s="9">
        <v>10900</v>
      </c>
      <c r="G9" s="8">
        <v>10900</v>
      </c>
      <c r="H9" s="9" t="s">
        <v>99</v>
      </c>
      <c r="I9" s="9" t="s">
        <v>99</v>
      </c>
      <c r="J9" s="16" t="s">
        <v>99</v>
      </c>
      <c r="K9" s="67">
        <f t="shared" ref="K9:K80" si="0">AVERAGE(D9:J9)</f>
        <v>10900</v>
      </c>
      <c r="M9" s="4"/>
      <c r="N9" s="4"/>
    </row>
    <row r="10" spans="1:14" ht="15.75" x14ac:dyDescent="0.25">
      <c r="A10" s="101"/>
      <c r="B10" s="66" t="s">
        <v>108</v>
      </c>
      <c r="C10" s="17" t="s">
        <v>6</v>
      </c>
      <c r="D10" s="9" t="s">
        <v>99</v>
      </c>
      <c r="E10" s="9" t="s">
        <v>99</v>
      </c>
      <c r="F10" s="9" t="s">
        <v>99</v>
      </c>
      <c r="G10" s="8" t="s">
        <v>99</v>
      </c>
      <c r="H10" s="9">
        <v>13000</v>
      </c>
      <c r="I10" s="9" t="s">
        <v>99</v>
      </c>
      <c r="J10" s="16" t="s">
        <v>99</v>
      </c>
      <c r="K10" s="67">
        <f t="shared" si="0"/>
        <v>13000</v>
      </c>
      <c r="M10" s="4"/>
      <c r="N10" s="4"/>
    </row>
    <row r="11" spans="1:14" ht="15.75" x14ac:dyDescent="0.25">
      <c r="A11" s="101"/>
      <c r="B11" s="66" t="s">
        <v>9</v>
      </c>
      <c r="C11" s="17" t="s">
        <v>6</v>
      </c>
      <c r="D11" s="9" t="s">
        <v>99</v>
      </c>
      <c r="E11" s="9">
        <v>10000</v>
      </c>
      <c r="F11" s="16">
        <v>12000</v>
      </c>
      <c r="G11" s="8">
        <v>10000</v>
      </c>
      <c r="H11" s="9">
        <v>10000</v>
      </c>
      <c r="I11" s="16">
        <v>12000</v>
      </c>
      <c r="J11" s="16">
        <v>10000</v>
      </c>
      <c r="K11" s="67">
        <f>AVERAGE(D11:J11)</f>
        <v>10666.666666666666</v>
      </c>
      <c r="M11" s="4"/>
      <c r="N11" s="4"/>
    </row>
    <row r="12" spans="1:14" ht="15.75" x14ac:dyDescent="0.25">
      <c r="A12" s="101"/>
      <c r="B12" s="66" t="s">
        <v>10</v>
      </c>
      <c r="C12" s="17" t="s">
        <v>6</v>
      </c>
      <c r="D12" s="9" t="s">
        <v>99</v>
      </c>
      <c r="E12" s="9">
        <v>21000</v>
      </c>
      <c r="F12" s="16">
        <v>16000</v>
      </c>
      <c r="G12" s="8">
        <v>18000</v>
      </c>
      <c r="H12" s="9">
        <v>25000</v>
      </c>
      <c r="I12" s="16">
        <v>17000</v>
      </c>
      <c r="J12" s="16">
        <v>17000</v>
      </c>
      <c r="K12" s="67">
        <f t="shared" si="0"/>
        <v>19000</v>
      </c>
      <c r="M12" s="4"/>
      <c r="N12" s="12"/>
    </row>
    <row r="13" spans="1:14" ht="15.75" x14ac:dyDescent="0.25">
      <c r="A13" s="101">
        <v>2</v>
      </c>
      <c r="B13" s="60" t="s">
        <v>11</v>
      </c>
      <c r="C13" s="68"/>
      <c r="D13" s="62"/>
      <c r="E13" s="92"/>
      <c r="F13" s="17"/>
      <c r="G13" s="70"/>
      <c r="H13" s="70"/>
      <c r="I13" s="70"/>
      <c r="J13" s="70"/>
      <c r="K13" s="71"/>
      <c r="M13" s="4"/>
      <c r="N13" s="4"/>
    </row>
    <row r="14" spans="1:14" ht="15.75" x14ac:dyDescent="0.25">
      <c r="A14" s="101"/>
      <c r="B14" s="66" t="s">
        <v>116</v>
      </c>
      <c r="C14" s="17" t="s">
        <v>6</v>
      </c>
      <c r="D14" s="9">
        <v>16000</v>
      </c>
      <c r="E14" s="9">
        <v>16500</v>
      </c>
      <c r="F14" s="9">
        <v>17000</v>
      </c>
      <c r="G14" s="16">
        <v>16000</v>
      </c>
      <c r="H14" s="9">
        <v>16500</v>
      </c>
      <c r="I14" s="9">
        <v>17500</v>
      </c>
      <c r="J14" s="72">
        <v>17000</v>
      </c>
      <c r="K14" s="67">
        <f t="shared" si="0"/>
        <v>16642.857142857141</v>
      </c>
      <c r="M14" s="4"/>
      <c r="N14" s="4"/>
    </row>
    <row r="15" spans="1:14" ht="15.75" x14ac:dyDescent="0.25">
      <c r="A15" s="101"/>
      <c r="B15" s="66" t="s">
        <v>13</v>
      </c>
      <c r="C15" s="17" t="s">
        <v>6</v>
      </c>
      <c r="D15" s="9">
        <v>17000</v>
      </c>
      <c r="E15" s="9">
        <v>16000</v>
      </c>
      <c r="F15" s="16">
        <v>16000</v>
      </c>
      <c r="G15" s="8">
        <v>16000</v>
      </c>
      <c r="H15" s="9">
        <v>17000</v>
      </c>
      <c r="I15" s="9">
        <v>18000</v>
      </c>
      <c r="J15" s="72">
        <v>18000</v>
      </c>
      <c r="K15" s="67">
        <f>AVERAGE(D15:J15)</f>
        <v>16857.142857142859</v>
      </c>
      <c r="M15" s="4"/>
      <c r="N15" s="4"/>
    </row>
    <row r="16" spans="1:14" ht="15.75" x14ac:dyDescent="0.25">
      <c r="A16" s="101">
        <v>3</v>
      </c>
      <c r="B16" s="60" t="s">
        <v>14</v>
      </c>
      <c r="C16" s="73"/>
      <c r="D16" s="74"/>
      <c r="E16" s="15"/>
      <c r="F16" s="15"/>
      <c r="G16" s="15"/>
      <c r="H16" s="15"/>
      <c r="I16" s="15" t="s">
        <v>130</v>
      </c>
      <c r="J16" s="75"/>
      <c r="K16" s="71"/>
      <c r="M16" s="4"/>
      <c r="N16" s="4"/>
    </row>
    <row r="17" spans="1:14" ht="15.75" x14ac:dyDescent="0.25">
      <c r="A17" s="101"/>
      <c r="B17" s="66" t="s">
        <v>15</v>
      </c>
      <c r="C17" s="17" t="s">
        <v>6</v>
      </c>
      <c r="D17" s="9">
        <v>15000</v>
      </c>
      <c r="E17" s="9">
        <v>15000</v>
      </c>
      <c r="F17" s="9">
        <v>16000</v>
      </c>
      <c r="G17" s="9">
        <v>15000</v>
      </c>
      <c r="H17" s="9">
        <v>16000</v>
      </c>
      <c r="I17" s="9">
        <v>16000</v>
      </c>
      <c r="J17" s="72">
        <v>16500</v>
      </c>
      <c r="K17" s="67">
        <f t="shared" si="0"/>
        <v>15642.857142857143</v>
      </c>
      <c r="M17" s="4"/>
      <c r="N17" s="4"/>
    </row>
    <row r="18" spans="1:14" ht="15.75" x14ac:dyDescent="0.25">
      <c r="A18" s="59"/>
      <c r="B18" s="66" t="s">
        <v>109</v>
      </c>
      <c r="C18" s="17" t="s">
        <v>110</v>
      </c>
      <c r="D18" s="9">
        <v>14000</v>
      </c>
      <c r="E18" s="9">
        <v>14000</v>
      </c>
      <c r="F18" s="9">
        <v>14000</v>
      </c>
      <c r="G18" s="9">
        <v>14000</v>
      </c>
      <c r="H18" s="9" t="s">
        <v>99</v>
      </c>
      <c r="I18" s="9">
        <v>14000</v>
      </c>
      <c r="J18" s="72">
        <v>14000</v>
      </c>
      <c r="K18" s="67">
        <f t="shared" si="0"/>
        <v>14000</v>
      </c>
      <c r="M18" s="4"/>
      <c r="N18" s="4"/>
    </row>
    <row r="19" spans="1:14" ht="17.25" customHeight="1" x14ac:dyDescent="0.25">
      <c r="A19" s="101">
        <v>4</v>
      </c>
      <c r="B19" s="60" t="s">
        <v>16</v>
      </c>
      <c r="C19" s="73"/>
      <c r="D19" s="74"/>
      <c r="E19" s="15"/>
      <c r="F19" s="15"/>
      <c r="G19" s="76"/>
      <c r="H19" s="15"/>
      <c r="I19" s="15"/>
      <c r="J19" s="75"/>
      <c r="K19" s="71"/>
      <c r="M19" s="4"/>
      <c r="N19" s="4"/>
    </row>
    <row r="20" spans="1:14" ht="15.75" x14ac:dyDescent="0.25">
      <c r="A20" s="101"/>
      <c r="B20" s="66" t="s">
        <v>17</v>
      </c>
      <c r="C20" s="17" t="s">
        <v>6</v>
      </c>
      <c r="D20" s="9">
        <v>20000</v>
      </c>
      <c r="E20" s="9">
        <v>20000</v>
      </c>
      <c r="F20" s="16">
        <v>20000</v>
      </c>
      <c r="G20" s="8">
        <v>22000</v>
      </c>
      <c r="H20" s="16">
        <v>33000</v>
      </c>
      <c r="I20" s="16">
        <v>20000</v>
      </c>
      <c r="J20" s="77" t="s">
        <v>99</v>
      </c>
      <c r="K20" s="67">
        <f t="shared" si="0"/>
        <v>22500</v>
      </c>
      <c r="M20" s="4"/>
      <c r="N20" s="4"/>
    </row>
    <row r="21" spans="1:14" ht="15.75" x14ac:dyDescent="0.25">
      <c r="A21" s="101">
        <v>5</v>
      </c>
      <c r="B21" s="60" t="s">
        <v>18</v>
      </c>
      <c r="C21" s="73"/>
      <c r="D21" s="74"/>
      <c r="E21" s="17"/>
      <c r="F21" s="15" t="s">
        <v>1</v>
      </c>
      <c r="G21" s="76"/>
      <c r="H21" s="15"/>
      <c r="I21" s="15"/>
      <c r="J21" s="75"/>
      <c r="K21" s="71"/>
      <c r="M21" s="4"/>
      <c r="N21" s="4"/>
    </row>
    <row r="22" spans="1:14" ht="15.75" x14ac:dyDescent="0.25">
      <c r="A22" s="101"/>
      <c r="B22" s="66" t="s">
        <v>19</v>
      </c>
      <c r="C22" s="17" t="s">
        <v>6</v>
      </c>
      <c r="D22" s="9">
        <v>120000</v>
      </c>
      <c r="E22" s="9">
        <v>120000</v>
      </c>
      <c r="F22" s="9">
        <v>120000</v>
      </c>
      <c r="G22" s="9">
        <v>120000</v>
      </c>
      <c r="H22" s="9">
        <v>120000</v>
      </c>
      <c r="I22" s="8">
        <v>120000</v>
      </c>
      <c r="J22" s="72" t="s">
        <v>99</v>
      </c>
      <c r="K22" s="67">
        <f t="shared" si="0"/>
        <v>120000</v>
      </c>
      <c r="M22" s="4"/>
      <c r="N22" s="4"/>
    </row>
    <row r="23" spans="1:14" ht="15.75" x14ac:dyDescent="0.25">
      <c r="A23" s="101"/>
      <c r="B23" s="66" t="s">
        <v>20</v>
      </c>
      <c r="C23" s="17" t="s">
        <v>6</v>
      </c>
      <c r="D23" s="9">
        <v>110000</v>
      </c>
      <c r="E23" s="9">
        <v>110000</v>
      </c>
      <c r="F23" s="9">
        <v>110000</v>
      </c>
      <c r="G23" s="9">
        <v>110000</v>
      </c>
      <c r="H23" s="9">
        <v>115000</v>
      </c>
      <c r="I23" s="9">
        <v>110000</v>
      </c>
      <c r="J23" s="72">
        <v>110000</v>
      </c>
      <c r="K23" s="67">
        <f t="shared" si="0"/>
        <v>110714.28571428571</v>
      </c>
      <c r="M23" s="4"/>
      <c r="N23" s="4"/>
    </row>
    <row r="24" spans="1:14" ht="15.75" x14ac:dyDescent="0.25">
      <c r="A24" s="101"/>
      <c r="B24" s="66" t="s">
        <v>21</v>
      </c>
      <c r="C24" s="17" t="s">
        <v>6</v>
      </c>
      <c r="D24" s="9">
        <v>90000</v>
      </c>
      <c r="E24" s="9">
        <v>90000</v>
      </c>
      <c r="F24" s="9">
        <v>100000</v>
      </c>
      <c r="G24" s="9">
        <v>105000</v>
      </c>
      <c r="H24" s="9">
        <v>110000</v>
      </c>
      <c r="I24" s="8">
        <v>100000</v>
      </c>
      <c r="J24" s="72">
        <v>105000</v>
      </c>
      <c r="K24" s="67">
        <f t="shared" si="0"/>
        <v>100000</v>
      </c>
      <c r="M24" s="4"/>
      <c r="N24" s="4"/>
    </row>
    <row r="25" spans="1:14" ht="15.75" x14ac:dyDescent="0.25">
      <c r="A25" s="101"/>
      <c r="B25" s="66" t="s">
        <v>22</v>
      </c>
      <c r="C25" s="17" t="s">
        <v>6</v>
      </c>
      <c r="D25" s="9">
        <v>34000</v>
      </c>
      <c r="E25" s="9">
        <v>31000</v>
      </c>
      <c r="F25" s="9">
        <v>34000</v>
      </c>
      <c r="G25" s="9">
        <v>33000</v>
      </c>
      <c r="H25" s="72">
        <v>33000</v>
      </c>
      <c r="I25" s="9">
        <v>35000</v>
      </c>
      <c r="J25" s="72">
        <v>34000</v>
      </c>
      <c r="K25" s="67">
        <f t="shared" si="0"/>
        <v>33428.571428571428</v>
      </c>
      <c r="M25" s="4"/>
      <c r="N25" s="4"/>
    </row>
    <row r="26" spans="1:14" ht="15.75" x14ac:dyDescent="0.25">
      <c r="A26" s="101">
        <v>6</v>
      </c>
      <c r="B26" s="60" t="s">
        <v>23</v>
      </c>
      <c r="C26" s="73"/>
      <c r="D26" s="74"/>
      <c r="E26" s="17"/>
      <c r="F26" s="76"/>
      <c r="G26" s="15"/>
      <c r="H26" s="75"/>
      <c r="I26" s="15"/>
      <c r="J26" s="75"/>
      <c r="K26" s="71"/>
      <c r="M26" s="4"/>
      <c r="N26" s="4"/>
    </row>
    <row r="27" spans="1:14" ht="15.75" x14ac:dyDescent="0.25">
      <c r="A27" s="101"/>
      <c r="B27" s="66" t="s">
        <v>24</v>
      </c>
      <c r="C27" s="17" t="s">
        <v>6</v>
      </c>
      <c r="D27" s="9">
        <v>32000</v>
      </c>
      <c r="E27" s="9">
        <v>35000</v>
      </c>
      <c r="F27" s="9" t="s">
        <v>99</v>
      </c>
      <c r="G27" s="9">
        <v>40000</v>
      </c>
      <c r="H27" s="9">
        <v>28000</v>
      </c>
      <c r="I27" s="9" t="s">
        <v>99</v>
      </c>
      <c r="J27" s="72">
        <v>30000</v>
      </c>
      <c r="K27" s="67">
        <f t="shared" si="0"/>
        <v>33000</v>
      </c>
      <c r="L27" t="s">
        <v>100</v>
      </c>
      <c r="M27" s="4"/>
      <c r="N27" s="4"/>
    </row>
    <row r="28" spans="1:14" ht="15.75" x14ac:dyDescent="0.25">
      <c r="A28" s="101"/>
      <c r="B28" s="66" t="s">
        <v>25</v>
      </c>
      <c r="C28" s="17" t="s">
        <v>6</v>
      </c>
      <c r="D28" s="9">
        <v>30000</v>
      </c>
      <c r="E28" s="9">
        <v>28000</v>
      </c>
      <c r="F28" s="9">
        <v>35000</v>
      </c>
      <c r="G28" s="8">
        <v>30000</v>
      </c>
      <c r="H28" s="9">
        <v>22000</v>
      </c>
      <c r="I28" s="9">
        <v>35000</v>
      </c>
      <c r="J28" s="78">
        <v>30000</v>
      </c>
      <c r="K28" s="67">
        <f t="shared" si="0"/>
        <v>30000</v>
      </c>
      <c r="M28" s="4"/>
      <c r="N28" s="4"/>
    </row>
    <row r="29" spans="1:14" ht="15.75" x14ac:dyDescent="0.25">
      <c r="A29" s="101"/>
      <c r="B29" s="66" t="s">
        <v>26</v>
      </c>
      <c r="C29" s="17" t="s">
        <v>6</v>
      </c>
      <c r="D29" s="9">
        <v>60000</v>
      </c>
      <c r="E29" s="9">
        <v>60000</v>
      </c>
      <c r="F29" s="16">
        <v>60000</v>
      </c>
      <c r="G29" s="8">
        <v>70000</v>
      </c>
      <c r="H29" s="9">
        <v>65000</v>
      </c>
      <c r="I29" s="9">
        <v>60000</v>
      </c>
      <c r="J29" s="79">
        <v>60000</v>
      </c>
      <c r="K29" s="67">
        <f t="shared" si="0"/>
        <v>62142.857142857145</v>
      </c>
      <c r="M29" s="4"/>
      <c r="N29" s="4"/>
    </row>
    <row r="30" spans="1:14" ht="15.75" x14ac:dyDescent="0.25">
      <c r="A30" s="101"/>
      <c r="B30" s="66" t="s">
        <v>27</v>
      </c>
      <c r="C30" s="17" t="s">
        <v>6</v>
      </c>
      <c r="D30" s="9">
        <v>25000</v>
      </c>
      <c r="E30" s="9" t="s">
        <v>99</v>
      </c>
      <c r="F30" s="10" t="s">
        <v>99</v>
      </c>
      <c r="G30" s="8">
        <v>25000</v>
      </c>
      <c r="H30" s="9">
        <v>23000</v>
      </c>
      <c r="I30" s="9" t="s">
        <v>99</v>
      </c>
      <c r="J30" s="79">
        <v>26000</v>
      </c>
      <c r="K30" s="67">
        <f t="shared" si="0"/>
        <v>24750</v>
      </c>
      <c r="M30" s="4"/>
      <c r="N30" s="4"/>
    </row>
    <row r="31" spans="1:14" ht="15.75" x14ac:dyDescent="0.25">
      <c r="A31" s="101"/>
      <c r="B31" s="66" t="s">
        <v>28</v>
      </c>
      <c r="C31" s="17" t="s">
        <v>6</v>
      </c>
      <c r="D31" s="9">
        <v>32000</v>
      </c>
      <c r="E31" s="9">
        <v>36000</v>
      </c>
      <c r="F31" s="9">
        <v>40000</v>
      </c>
      <c r="G31" s="9">
        <v>40000</v>
      </c>
      <c r="H31" s="9">
        <v>28000</v>
      </c>
      <c r="I31" s="9">
        <v>38000</v>
      </c>
      <c r="J31" s="72">
        <v>35000</v>
      </c>
      <c r="K31" s="67">
        <f t="shared" si="0"/>
        <v>35571.428571428572</v>
      </c>
      <c r="M31" s="4"/>
      <c r="N31" s="4"/>
    </row>
    <row r="32" spans="1:14" ht="15.75" x14ac:dyDescent="0.25">
      <c r="A32" s="101"/>
      <c r="B32" s="66" t="s">
        <v>29</v>
      </c>
      <c r="C32" s="17" t="s">
        <v>6</v>
      </c>
      <c r="D32" s="9" t="s">
        <v>99</v>
      </c>
      <c r="E32" s="9">
        <v>100000</v>
      </c>
      <c r="F32" s="9">
        <v>100000</v>
      </c>
      <c r="G32" s="9" t="s">
        <v>99</v>
      </c>
      <c r="H32" s="9">
        <v>80000</v>
      </c>
      <c r="I32" s="9">
        <v>100000</v>
      </c>
      <c r="J32" s="79">
        <v>70000</v>
      </c>
      <c r="K32" s="67">
        <f t="shared" si="0"/>
        <v>90000</v>
      </c>
      <c r="M32" s="4"/>
      <c r="N32" s="4"/>
    </row>
    <row r="33" spans="1:14" ht="15.75" x14ac:dyDescent="0.25">
      <c r="A33" s="101">
        <v>7</v>
      </c>
      <c r="B33" s="60" t="s">
        <v>30</v>
      </c>
      <c r="C33" s="73"/>
      <c r="D33" s="74"/>
      <c r="E33" s="17"/>
      <c r="F33" s="76"/>
      <c r="G33" s="76"/>
      <c r="H33" s="15"/>
      <c r="I33" s="15"/>
      <c r="J33" s="75"/>
      <c r="K33" s="71"/>
      <c r="M33" s="4"/>
      <c r="N33" s="4"/>
    </row>
    <row r="34" spans="1:14" ht="15.75" x14ac:dyDescent="0.25">
      <c r="A34" s="101"/>
      <c r="B34" s="66" t="s">
        <v>31</v>
      </c>
      <c r="C34" s="17" t="s">
        <v>6</v>
      </c>
      <c r="D34" s="9">
        <v>30000</v>
      </c>
      <c r="E34" s="9">
        <v>30000</v>
      </c>
      <c r="F34" s="9">
        <v>31000</v>
      </c>
      <c r="G34" s="9">
        <v>30000</v>
      </c>
      <c r="H34" s="9">
        <v>29000</v>
      </c>
      <c r="I34" s="9">
        <v>30000</v>
      </c>
      <c r="J34" s="72">
        <v>30000</v>
      </c>
      <c r="K34" s="67">
        <f t="shared" si="0"/>
        <v>30000</v>
      </c>
      <c r="M34" s="4"/>
      <c r="N34" s="4"/>
    </row>
    <row r="35" spans="1:14" ht="15.75" x14ac:dyDescent="0.25">
      <c r="A35" s="101"/>
      <c r="B35" s="66" t="s">
        <v>32</v>
      </c>
      <c r="C35" s="17" t="s">
        <v>33</v>
      </c>
      <c r="D35" s="9">
        <v>3000</v>
      </c>
      <c r="E35" s="9">
        <v>2500</v>
      </c>
      <c r="F35" s="9">
        <v>2500</v>
      </c>
      <c r="G35" s="9">
        <v>2800</v>
      </c>
      <c r="H35" s="9">
        <v>2800</v>
      </c>
      <c r="I35" s="9">
        <v>3000</v>
      </c>
      <c r="J35" s="72">
        <v>3000</v>
      </c>
      <c r="K35" s="67">
        <f t="shared" si="0"/>
        <v>2800</v>
      </c>
      <c r="M35" s="4"/>
      <c r="N35" s="4"/>
    </row>
    <row r="36" spans="1:14" ht="15.75" x14ac:dyDescent="0.25">
      <c r="A36" s="59">
        <v>8</v>
      </c>
      <c r="B36" s="73" t="s">
        <v>117</v>
      </c>
      <c r="C36" s="80"/>
      <c r="D36" s="9"/>
      <c r="E36" s="9"/>
      <c r="F36" s="9"/>
      <c r="G36" s="9"/>
      <c r="H36" s="9"/>
      <c r="I36" s="9"/>
      <c r="J36" s="72"/>
      <c r="K36" s="81"/>
      <c r="M36" s="4"/>
      <c r="N36" s="4"/>
    </row>
    <row r="37" spans="1:14" ht="15.75" x14ac:dyDescent="0.25">
      <c r="A37" s="59"/>
      <c r="B37" s="66" t="s">
        <v>118</v>
      </c>
      <c r="C37" s="17" t="s">
        <v>6</v>
      </c>
      <c r="D37" s="9">
        <v>10000</v>
      </c>
      <c r="E37" s="9">
        <v>1250</v>
      </c>
      <c r="F37" s="9">
        <v>9000</v>
      </c>
      <c r="G37" s="9">
        <v>9000</v>
      </c>
      <c r="H37" s="9">
        <v>16000</v>
      </c>
      <c r="I37" s="9">
        <v>9000</v>
      </c>
      <c r="J37" s="72">
        <v>3000</v>
      </c>
      <c r="K37" s="67">
        <f t="shared" si="0"/>
        <v>8178.5714285714284</v>
      </c>
      <c r="M37" s="4"/>
      <c r="N37" s="4"/>
    </row>
    <row r="38" spans="1:14" ht="15.75" x14ac:dyDescent="0.25">
      <c r="A38" s="59"/>
      <c r="B38" s="66" t="s">
        <v>119</v>
      </c>
      <c r="C38" s="17" t="s">
        <v>6</v>
      </c>
      <c r="D38" s="9" t="s">
        <v>99</v>
      </c>
      <c r="E38" s="9">
        <v>10000</v>
      </c>
      <c r="F38" s="9">
        <v>12000</v>
      </c>
      <c r="G38" s="9">
        <v>14000</v>
      </c>
      <c r="H38" s="9" t="s">
        <v>99</v>
      </c>
      <c r="I38" s="9">
        <v>12000</v>
      </c>
      <c r="J38" s="72">
        <v>12000</v>
      </c>
      <c r="K38" s="67">
        <f>AVERAGE(D38:J38)</f>
        <v>12000</v>
      </c>
      <c r="M38" s="4"/>
      <c r="N38" s="4"/>
    </row>
    <row r="39" spans="1:14" ht="15.75" x14ac:dyDescent="0.25">
      <c r="A39" s="59">
        <v>9</v>
      </c>
      <c r="B39" s="82" t="s">
        <v>120</v>
      </c>
      <c r="C39" s="83"/>
      <c r="D39" s="9"/>
      <c r="E39" s="9"/>
      <c r="F39" s="9"/>
      <c r="G39" s="9"/>
      <c r="H39" s="9"/>
      <c r="I39" s="9"/>
      <c r="J39" s="72"/>
      <c r="K39" s="81"/>
      <c r="M39" s="4"/>
      <c r="N39" s="4"/>
    </row>
    <row r="40" spans="1:14" ht="15.75" x14ac:dyDescent="0.25">
      <c r="A40" s="59"/>
      <c r="B40" s="66" t="s">
        <v>121</v>
      </c>
      <c r="C40" s="17" t="s">
        <v>6</v>
      </c>
      <c r="D40" s="9" t="s">
        <v>99</v>
      </c>
      <c r="E40" s="9" t="s">
        <v>99</v>
      </c>
      <c r="F40" s="9" t="s">
        <v>99</v>
      </c>
      <c r="G40" s="9">
        <v>16000</v>
      </c>
      <c r="H40" s="9">
        <v>14000</v>
      </c>
      <c r="I40" s="9" t="s">
        <v>99</v>
      </c>
      <c r="J40" s="72">
        <v>15000</v>
      </c>
      <c r="K40" s="67">
        <f t="shared" si="0"/>
        <v>15000</v>
      </c>
      <c r="M40" s="4"/>
      <c r="N40" s="4"/>
    </row>
    <row r="41" spans="1:14" ht="15.75" x14ac:dyDescent="0.25">
      <c r="A41" s="59"/>
      <c r="B41" s="66" t="s">
        <v>122</v>
      </c>
      <c r="C41" s="17" t="s">
        <v>6</v>
      </c>
      <c r="D41" s="9" t="s">
        <v>99</v>
      </c>
      <c r="E41" s="9" t="s">
        <v>99</v>
      </c>
      <c r="F41" s="9">
        <v>6000</v>
      </c>
      <c r="G41" s="9" t="s">
        <v>99</v>
      </c>
      <c r="H41" s="9" t="s">
        <v>99</v>
      </c>
      <c r="I41" s="9">
        <v>6000</v>
      </c>
      <c r="J41" s="72" t="s">
        <v>99</v>
      </c>
      <c r="K41" s="67">
        <f t="shared" si="0"/>
        <v>6000</v>
      </c>
      <c r="M41" s="4"/>
      <c r="N41" s="4"/>
    </row>
    <row r="42" spans="1:14" ht="15.75" x14ac:dyDescent="0.25">
      <c r="A42" s="59"/>
      <c r="B42" s="66" t="s">
        <v>123</v>
      </c>
      <c r="C42" s="17" t="s">
        <v>6</v>
      </c>
      <c r="D42" s="9" t="s">
        <v>99</v>
      </c>
      <c r="E42" s="9">
        <v>2500</v>
      </c>
      <c r="F42" s="9" t="s">
        <v>99</v>
      </c>
      <c r="G42" s="9" t="s">
        <v>99</v>
      </c>
      <c r="H42" s="9" t="s">
        <v>99</v>
      </c>
      <c r="I42" s="9" t="s">
        <v>99</v>
      </c>
      <c r="J42" s="72" t="s">
        <v>99</v>
      </c>
      <c r="K42" s="67">
        <f t="shared" si="0"/>
        <v>2500</v>
      </c>
      <c r="M42" s="4"/>
      <c r="N42" s="4"/>
    </row>
    <row r="43" spans="1:14" ht="15.75" x14ac:dyDescent="0.25">
      <c r="A43" s="101">
        <v>10</v>
      </c>
      <c r="B43" s="60" t="s">
        <v>34</v>
      </c>
      <c r="C43" s="73"/>
      <c r="D43" s="74"/>
      <c r="E43" s="17"/>
      <c r="F43" s="76"/>
      <c r="G43" s="15"/>
      <c r="H43" s="15"/>
      <c r="I43" s="15"/>
      <c r="J43" s="84"/>
      <c r="K43" s="71"/>
      <c r="M43" s="4"/>
      <c r="N43" s="4"/>
    </row>
    <row r="44" spans="1:14" ht="15.75" x14ac:dyDescent="0.25">
      <c r="A44" s="101"/>
      <c r="B44" s="66" t="s">
        <v>35</v>
      </c>
      <c r="C44" s="17" t="s">
        <v>36</v>
      </c>
      <c r="D44" s="9">
        <v>12000</v>
      </c>
      <c r="E44" s="9">
        <v>12000</v>
      </c>
      <c r="F44" s="9">
        <v>12500</v>
      </c>
      <c r="G44" s="9">
        <v>12500</v>
      </c>
      <c r="H44" s="10" t="s">
        <v>99</v>
      </c>
      <c r="I44" s="16">
        <v>12500</v>
      </c>
      <c r="J44" s="72">
        <v>12500</v>
      </c>
      <c r="K44" s="67">
        <f t="shared" si="0"/>
        <v>12333.333333333334</v>
      </c>
      <c r="M44" s="4"/>
      <c r="N44" s="4"/>
    </row>
    <row r="45" spans="1:14" ht="15.75" x14ac:dyDescent="0.25">
      <c r="A45" s="101"/>
      <c r="B45" s="66" t="s">
        <v>124</v>
      </c>
      <c r="C45" s="17" t="s">
        <v>36</v>
      </c>
      <c r="D45" s="9">
        <v>12000</v>
      </c>
      <c r="E45" s="9">
        <v>13000</v>
      </c>
      <c r="F45" s="16">
        <v>12500</v>
      </c>
      <c r="G45" s="9">
        <v>12500</v>
      </c>
      <c r="H45" s="10" t="s">
        <v>99</v>
      </c>
      <c r="I45" s="16">
        <v>12500</v>
      </c>
      <c r="J45" s="79">
        <v>12500</v>
      </c>
      <c r="K45" s="67">
        <f>AVERAGE(D45:J45)</f>
        <v>12500</v>
      </c>
      <c r="M45" s="4"/>
      <c r="N45" s="4"/>
    </row>
    <row r="46" spans="1:14" ht="15.75" x14ac:dyDescent="0.25">
      <c r="A46" s="101">
        <v>11</v>
      </c>
      <c r="B46" s="60" t="s">
        <v>38</v>
      </c>
      <c r="C46" s="73"/>
      <c r="D46" s="74"/>
      <c r="E46" s="17"/>
      <c r="F46" s="15"/>
      <c r="G46" s="76"/>
      <c r="H46" s="15"/>
      <c r="I46" s="15"/>
      <c r="J46" s="75"/>
      <c r="K46" s="71"/>
      <c r="M46" s="4"/>
      <c r="N46" s="4"/>
    </row>
    <row r="47" spans="1:14" ht="15.75" x14ac:dyDescent="0.25">
      <c r="A47" s="101"/>
      <c r="B47" s="66" t="s">
        <v>39</v>
      </c>
      <c r="C47" s="17" t="s">
        <v>40</v>
      </c>
      <c r="D47" s="9" t="s">
        <v>99</v>
      </c>
      <c r="E47" s="9" t="s">
        <v>99</v>
      </c>
      <c r="F47" s="10" t="s">
        <v>99</v>
      </c>
      <c r="G47" s="8" t="s">
        <v>99</v>
      </c>
      <c r="H47" s="9">
        <v>17500</v>
      </c>
      <c r="I47" s="16" t="s">
        <v>99</v>
      </c>
      <c r="J47" s="79" t="s">
        <v>99</v>
      </c>
      <c r="K47" s="67">
        <f t="shared" si="0"/>
        <v>17500</v>
      </c>
      <c r="M47" s="4"/>
      <c r="N47" s="4"/>
    </row>
    <row r="48" spans="1:14" ht="15.75" x14ac:dyDescent="0.25">
      <c r="A48" s="101"/>
      <c r="B48" s="66" t="s">
        <v>41</v>
      </c>
      <c r="C48" s="17" t="s">
        <v>42</v>
      </c>
      <c r="D48" s="9" t="s">
        <v>99</v>
      </c>
      <c r="E48" s="9" t="s">
        <v>99</v>
      </c>
      <c r="F48" s="10" t="s">
        <v>99</v>
      </c>
      <c r="G48" s="8" t="s">
        <v>99</v>
      </c>
      <c r="H48" s="9">
        <v>2000</v>
      </c>
      <c r="I48" s="16" t="s">
        <v>99</v>
      </c>
      <c r="J48" s="79" t="s">
        <v>99</v>
      </c>
      <c r="K48" s="67">
        <f t="shared" si="0"/>
        <v>2000</v>
      </c>
      <c r="M48" s="4"/>
      <c r="N48" s="4"/>
    </row>
    <row r="49" spans="1:14" ht="15.75" x14ac:dyDescent="0.25">
      <c r="A49" s="59">
        <v>12</v>
      </c>
      <c r="B49" s="85" t="s">
        <v>43</v>
      </c>
      <c r="C49" s="80"/>
      <c r="D49" s="19"/>
      <c r="E49" s="10"/>
      <c r="F49" s="10"/>
      <c r="G49" s="22"/>
      <c r="H49" s="10"/>
      <c r="I49" s="10"/>
      <c r="J49" s="77"/>
      <c r="K49" s="71"/>
      <c r="M49" s="4"/>
      <c r="N49" s="4"/>
    </row>
    <row r="50" spans="1:14" ht="15.75" x14ac:dyDescent="0.25">
      <c r="A50" s="59"/>
      <c r="B50" s="66" t="s">
        <v>44</v>
      </c>
      <c r="C50" s="86" t="s">
        <v>6</v>
      </c>
      <c r="D50" s="9">
        <v>10000</v>
      </c>
      <c r="E50" s="9">
        <v>8000</v>
      </c>
      <c r="F50" s="9">
        <v>10000</v>
      </c>
      <c r="G50" s="9">
        <v>10000</v>
      </c>
      <c r="H50" s="9">
        <v>15000</v>
      </c>
      <c r="I50" s="8">
        <v>15000</v>
      </c>
      <c r="J50" s="72">
        <v>15000</v>
      </c>
      <c r="K50" s="67">
        <f t="shared" si="0"/>
        <v>11857.142857142857</v>
      </c>
      <c r="M50" s="4"/>
      <c r="N50" s="4"/>
    </row>
    <row r="51" spans="1:14" ht="15.75" x14ac:dyDescent="0.25">
      <c r="A51" s="59"/>
      <c r="B51" s="66" t="s">
        <v>45</v>
      </c>
      <c r="C51" s="86" t="s">
        <v>6</v>
      </c>
      <c r="D51" s="9" t="s">
        <v>99</v>
      </c>
      <c r="E51" s="9">
        <v>10000</v>
      </c>
      <c r="F51" s="8">
        <v>9000</v>
      </c>
      <c r="G51" s="9">
        <v>10000</v>
      </c>
      <c r="H51" s="9">
        <v>12000</v>
      </c>
      <c r="I51" s="9">
        <v>12000</v>
      </c>
      <c r="J51" s="72">
        <v>10000</v>
      </c>
      <c r="K51" s="67">
        <f t="shared" si="0"/>
        <v>10500</v>
      </c>
      <c r="M51" s="4"/>
      <c r="N51" s="4"/>
    </row>
    <row r="52" spans="1:14" ht="15.75" x14ac:dyDescent="0.25">
      <c r="A52" s="101">
        <v>13</v>
      </c>
      <c r="B52" s="60" t="s">
        <v>46</v>
      </c>
      <c r="C52" s="73"/>
      <c r="D52" s="74"/>
      <c r="E52" s="17"/>
      <c r="F52" s="76"/>
      <c r="G52" s="76"/>
      <c r="H52" s="15"/>
      <c r="I52" s="15"/>
      <c r="J52" s="84"/>
      <c r="K52" s="71"/>
      <c r="M52" s="4"/>
      <c r="N52" s="4"/>
    </row>
    <row r="53" spans="1:14" ht="15.75" x14ac:dyDescent="0.25">
      <c r="A53" s="101"/>
      <c r="B53" s="66" t="s">
        <v>47</v>
      </c>
      <c r="C53" s="17" t="s">
        <v>125</v>
      </c>
      <c r="D53" s="9">
        <v>3000</v>
      </c>
      <c r="E53" s="9">
        <v>4000</v>
      </c>
      <c r="F53" s="9">
        <v>5000</v>
      </c>
      <c r="G53" s="9">
        <v>5000</v>
      </c>
      <c r="H53" s="9">
        <v>2500</v>
      </c>
      <c r="I53" s="16">
        <v>5000</v>
      </c>
      <c r="J53" s="72">
        <v>2500</v>
      </c>
      <c r="K53" s="67">
        <f t="shared" si="0"/>
        <v>3857.1428571428573</v>
      </c>
      <c r="M53" s="4" t="s">
        <v>101</v>
      </c>
      <c r="N53" s="4"/>
    </row>
    <row r="54" spans="1:14" ht="15.75" x14ac:dyDescent="0.25">
      <c r="A54" s="101">
        <v>14</v>
      </c>
      <c r="B54" s="60" t="s">
        <v>49</v>
      </c>
      <c r="C54" s="80"/>
      <c r="D54" s="62"/>
      <c r="E54" s="17"/>
      <c r="F54" s="20"/>
      <c r="G54" s="20"/>
      <c r="H54" s="17"/>
      <c r="I54" s="17"/>
      <c r="J54" s="87"/>
      <c r="K54" s="71"/>
      <c r="M54" s="4"/>
      <c r="N54" s="23"/>
    </row>
    <row r="55" spans="1:14" ht="15.75" x14ac:dyDescent="0.25">
      <c r="A55" s="101"/>
      <c r="B55" s="88" t="s">
        <v>50</v>
      </c>
      <c r="C55" s="86" t="s">
        <v>6</v>
      </c>
      <c r="D55" s="9">
        <v>10000</v>
      </c>
      <c r="E55" s="9">
        <v>10500</v>
      </c>
      <c r="F55" s="9">
        <v>10000</v>
      </c>
      <c r="G55" s="9">
        <v>11000</v>
      </c>
      <c r="H55" s="9">
        <v>12000</v>
      </c>
      <c r="I55" s="9">
        <v>10000</v>
      </c>
      <c r="J55" s="72">
        <v>10000</v>
      </c>
      <c r="K55" s="67">
        <f t="shared" si="0"/>
        <v>10500</v>
      </c>
      <c r="M55" s="4"/>
      <c r="N55" s="4"/>
    </row>
    <row r="56" spans="1:14" ht="15.75" x14ac:dyDescent="0.25">
      <c r="A56" s="101">
        <v>15</v>
      </c>
      <c r="B56" s="60" t="s">
        <v>51</v>
      </c>
      <c r="C56" s="73"/>
      <c r="D56" s="74"/>
      <c r="E56" s="17"/>
      <c r="F56" s="76"/>
      <c r="G56" s="15"/>
      <c r="H56" s="15"/>
      <c r="I56" s="15"/>
      <c r="J56" s="84"/>
      <c r="K56" s="71"/>
      <c r="M56" s="4"/>
      <c r="N56" s="4"/>
    </row>
    <row r="57" spans="1:14" ht="15.75" x14ac:dyDescent="0.25">
      <c r="A57" s="101"/>
      <c r="B57" s="66" t="s">
        <v>52</v>
      </c>
      <c r="C57" s="17" t="s">
        <v>6</v>
      </c>
      <c r="D57" s="9">
        <v>16000</v>
      </c>
      <c r="E57" s="9">
        <v>13000</v>
      </c>
      <c r="F57" s="9">
        <v>14000</v>
      </c>
      <c r="G57" s="9">
        <v>14000</v>
      </c>
      <c r="H57" s="9">
        <v>11500</v>
      </c>
      <c r="I57" s="9">
        <v>17000</v>
      </c>
      <c r="J57" s="72" t="s">
        <v>99</v>
      </c>
      <c r="K57" s="67">
        <f t="shared" si="0"/>
        <v>14250</v>
      </c>
      <c r="M57" s="4"/>
      <c r="N57" s="4"/>
    </row>
    <row r="58" spans="1:14" ht="15.75" x14ac:dyDescent="0.25">
      <c r="A58" s="101"/>
      <c r="B58" s="66" t="s">
        <v>53</v>
      </c>
      <c r="C58" s="17" t="s">
        <v>6</v>
      </c>
      <c r="D58" s="9" t="s">
        <v>99</v>
      </c>
      <c r="E58" s="9" t="s">
        <v>99</v>
      </c>
      <c r="F58" s="16">
        <v>15000</v>
      </c>
      <c r="G58" s="22" t="s">
        <v>99</v>
      </c>
      <c r="H58" s="9">
        <v>13000</v>
      </c>
      <c r="I58" s="8">
        <v>15000</v>
      </c>
      <c r="J58" s="72">
        <v>14000</v>
      </c>
      <c r="K58" s="67">
        <f t="shared" si="0"/>
        <v>14250</v>
      </c>
      <c r="M58" s="4"/>
      <c r="N58" s="4"/>
    </row>
    <row r="59" spans="1:14" ht="15.75" x14ac:dyDescent="0.25">
      <c r="A59" s="101"/>
      <c r="B59" s="66" t="s">
        <v>54</v>
      </c>
      <c r="C59" s="17" t="s">
        <v>6</v>
      </c>
      <c r="D59" s="9">
        <v>25000</v>
      </c>
      <c r="E59" s="9">
        <v>23000</v>
      </c>
      <c r="F59" s="9">
        <v>23000</v>
      </c>
      <c r="G59" s="9">
        <v>23000</v>
      </c>
      <c r="H59" s="9">
        <v>20000</v>
      </c>
      <c r="I59" s="9">
        <v>23000</v>
      </c>
      <c r="J59" s="72">
        <v>24000</v>
      </c>
      <c r="K59" s="67">
        <f t="shared" si="0"/>
        <v>23000</v>
      </c>
      <c r="M59" s="4"/>
      <c r="N59" s="4"/>
    </row>
    <row r="60" spans="1:14" ht="15.75" x14ac:dyDescent="0.25">
      <c r="A60" s="101"/>
      <c r="B60" s="66" t="s">
        <v>55</v>
      </c>
      <c r="C60" s="17" t="s">
        <v>6</v>
      </c>
      <c r="D60" s="9">
        <v>31000</v>
      </c>
      <c r="E60" s="9">
        <v>30000</v>
      </c>
      <c r="F60" s="9">
        <v>28000</v>
      </c>
      <c r="G60" s="9">
        <v>30000</v>
      </c>
      <c r="H60" s="9">
        <v>27000</v>
      </c>
      <c r="I60" s="9">
        <v>28000</v>
      </c>
      <c r="J60" s="72">
        <v>28000</v>
      </c>
      <c r="K60" s="67">
        <f t="shared" si="0"/>
        <v>28857.142857142859</v>
      </c>
      <c r="M60" s="4"/>
      <c r="N60" s="4"/>
    </row>
    <row r="61" spans="1:14" ht="15.75" x14ac:dyDescent="0.25">
      <c r="A61" s="17">
        <v>16</v>
      </c>
      <c r="B61" s="60" t="s">
        <v>56</v>
      </c>
      <c r="C61" s="80"/>
      <c r="D61" s="89"/>
      <c r="E61" s="10"/>
      <c r="F61" s="22"/>
      <c r="G61" s="10"/>
      <c r="H61" s="10"/>
      <c r="I61" s="10"/>
      <c r="J61" s="90"/>
      <c r="K61" s="71"/>
      <c r="M61" s="4"/>
      <c r="N61" s="4"/>
    </row>
    <row r="62" spans="1:14" ht="15.75" x14ac:dyDescent="0.25">
      <c r="A62" s="17"/>
      <c r="B62" s="66" t="s">
        <v>57</v>
      </c>
      <c r="C62" s="86" t="s">
        <v>58</v>
      </c>
      <c r="D62" s="9">
        <v>3000</v>
      </c>
      <c r="E62" s="9">
        <v>3200</v>
      </c>
      <c r="F62" s="9">
        <v>3000</v>
      </c>
      <c r="G62" s="9">
        <v>3000</v>
      </c>
      <c r="H62" s="10" t="s">
        <v>99</v>
      </c>
      <c r="I62" s="16">
        <v>3000</v>
      </c>
      <c r="J62" s="72">
        <v>3500</v>
      </c>
      <c r="K62" s="67">
        <f t="shared" si="0"/>
        <v>3116.6666666666665</v>
      </c>
      <c r="M62" s="4"/>
      <c r="N62" s="4"/>
    </row>
    <row r="63" spans="1:14" ht="15.75" x14ac:dyDescent="0.25">
      <c r="A63" s="101">
        <v>17</v>
      </c>
      <c r="B63" s="60" t="s">
        <v>59</v>
      </c>
      <c r="C63" s="73"/>
      <c r="D63" s="74"/>
      <c r="E63" s="17"/>
      <c r="F63" s="76"/>
      <c r="G63" s="76"/>
      <c r="H63" s="15"/>
      <c r="I63" s="15"/>
      <c r="J63" s="84"/>
      <c r="K63" s="71"/>
      <c r="M63" s="4"/>
      <c r="N63" s="4"/>
    </row>
    <row r="64" spans="1:14" ht="15.75" x14ac:dyDescent="0.25">
      <c r="A64" s="101"/>
      <c r="B64" s="66" t="s">
        <v>60</v>
      </c>
      <c r="C64" s="17" t="s">
        <v>6</v>
      </c>
      <c r="D64" s="9">
        <v>85000</v>
      </c>
      <c r="E64" s="9">
        <v>70000</v>
      </c>
      <c r="F64" s="9">
        <v>93000</v>
      </c>
      <c r="G64" s="9">
        <v>70000</v>
      </c>
      <c r="H64" s="9">
        <v>70000</v>
      </c>
      <c r="I64" s="9">
        <v>90000</v>
      </c>
      <c r="J64" s="72">
        <v>80000</v>
      </c>
      <c r="K64" s="67">
        <f t="shared" si="0"/>
        <v>79714.28571428571</v>
      </c>
      <c r="M64" s="4"/>
      <c r="N64" s="4"/>
    </row>
    <row r="65" spans="1:14" ht="15.75" x14ac:dyDescent="0.25">
      <c r="A65" s="101"/>
      <c r="B65" s="66" t="s">
        <v>61</v>
      </c>
      <c r="C65" s="17" t="s">
        <v>6</v>
      </c>
      <c r="D65" s="9">
        <v>80000</v>
      </c>
      <c r="E65" s="9">
        <v>70000</v>
      </c>
      <c r="F65" s="9">
        <v>52000</v>
      </c>
      <c r="G65" s="9">
        <v>60000</v>
      </c>
      <c r="H65" s="9">
        <v>60000</v>
      </c>
      <c r="I65" s="8">
        <v>65000</v>
      </c>
      <c r="J65" s="72">
        <v>70000</v>
      </c>
      <c r="K65" s="67">
        <f t="shared" si="0"/>
        <v>65285.714285714283</v>
      </c>
      <c r="M65" s="4"/>
      <c r="N65" s="4"/>
    </row>
    <row r="66" spans="1:14" ht="15.75" x14ac:dyDescent="0.25">
      <c r="A66" s="101"/>
      <c r="B66" s="66" t="s">
        <v>62</v>
      </c>
      <c r="C66" s="17" t="s">
        <v>6</v>
      </c>
      <c r="D66" s="9">
        <v>55000</v>
      </c>
      <c r="E66" s="9">
        <v>60000</v>
      </c>
      <c r="F66" s="9">
        <v>47000</v>
      </c>
      <c r="G66" s="9">
        <v>40000</v>
      </c>
      <c r="H66" s="9">
        <v>50000</v>
      </c>
      <c r="I66" s="9">
        <v>80000</v>
      </c>
      <c r="J66" s="72">
        <v>55000</v>
      </c>
      <c r="K66" s="67">
        <f t="shared" si="0"/>
        <v>55285.714285714283</v>
      </c>
      <c r="M66" s="4"/>
      <c r="N66" s="4"/>
    </row>
    <row r="67" spans="1:14" ht="15.75" x14ac:dyDescent="0.25">
      <c r="A67" s="17">
        <v>18</v>
      </c>
      <c r="B67" s="60" t="s">
        <v>63</v>
      </c>
      <c r="C67" s="80"/>
      <c r="D67" s="24"/>
      <c r="E67" s="10"/>
      <c r="F67" s="22"/>
      <c r="G67" s="10"/>
      <c r="H67" s="10" t="s">
        <v>1</v>
      </c>
      <c r="I67" s="10"/>
      <c r="J67" s="77"/>
      <c r="K67" s="71"/>
      <c r="M67" s="4"/>
      <c r="N67" s="4"/>
    </row>
    <row r="68" spans="1:14" ht="15.75" x14ac:dyDescent="0.25">
      <c r="A68" s="17"/>
      <c r="B68" s="66" t="s">
        <v>64</v>
      </c>
      <c r="C68" s="17" t="s">
        <v>65</v>
      </c>
      <c r="D68" s="9">
        <v>20000</v>
      </c>
      <c r="E68" s="9">
        <v>18000</v>
      </c>
      <c r="F68" s="9">
        <v>18000</v>
      </c>
      <c r="G68" s="9">
        <v>18000</v>
      </c>
      <c r="H68" s="10" t="s">
        <v>99</v>
      </c>
      <c r="I68" s="9">
        <v>18000</v>
      </c>
      <c r="J68" s="79">
        <v>18000</v>
      </c>
      <c r="K68" s="67">
        <f t="shared" si="0"/>
        <v>18333.333333333332</v>
      </c>
      <c r="M68" s="4"/>
      <c r="N68" s="4"/>
    </row>
    <row r="69" spans="1:14" ht="15.75" x14ac:dyDescent="0.25">
      <c r="A69" s="101">
        <v>19</v>
      </c>
      <c r="B69" s="60" t="s">
        <v>66</v>
      </c>
      <c r="C69" s="60"/>
      <c r="D69" s="74"/>
      <c r="E69" s="17"/>
      <c r="F69" s="15"/>
      <c r="G69" s="15"/>
      <c r="H69" s="15"/>
      <c r="I69" s="15"/>
      <c r="J69" s="75"/>
      <c r="K69" s="71"/>
      <c r="M69" s="4"/>
      <c r="N69" s="4"/>
    </row>
    <row r="70" spans="1:14" ht="15.75" x14ac:dyDescent="0.25">
      <c r="A70" s="101"/>
      <c r="B70" s="66" t="s">
        <v>67</v>
      </c>
      <c r="C70" s="17" t="s">
        <v>6</v>
      </c>
      <c r="D70" s="9">
        <v>38000</v>
      </c>
      <c r="E70" s="9">
        <v>35000</v>
      </c>
      <c r="F70" s="9">
        <v>36000</v>
      </c>
      <c r="G70" s="9">
        <v>36000</v>
      </c>
      <c r="H70" s="9">
        <v>37000</v>
      </c>
      <c r="I70" s="9">
        <v>40000</v>
      </c>
      <c r="J70" s="72">
        <v>38000</v>
      </c>
      <c r="K70" s="67">
        <f t="shared" si="0"/>
        <v>37142.857142857145</v>
      </c>
      <c r="M70" s="4"/>
      <c r="N70" s="4"/>
    </row>
    <row r="71" spans="1:14" ht="15.75" x14ac:dyDescent="0.25">
      <c r="A71" s="101"/>
      <c r="B71" s="66" t="s">
        <v>68</v>
      </c>
      <c r="C71" s="17" t="s">
        <v>6</v>
      </c>
      <c r="D71" s="9">
        <v>34000</v>
      </c>
      <c r="E71" s="9">
        <v>32000</v>
      </c>
      <c r="F71" s="9">
        <v>33000</v>
      </c>
      <c r="G71" s="9">
        <v>32000</v>
      </c>
      <c r="H71" s="9">
        <v>34000</v>
      </c>
      <c r="I71" s="9">
        <v>32000</v>
      </c>
      <c r="J71" s="72">
        <v>32000</v>
      </c>
      <c r="K71" s="67">
        <f t="shared" si="0"/>
        <v>32714.285714285714</v>
      </c>
      <c r="M71" s="4"/>
      <c r="N71" s="4"/>
    </row>
    <row r="72" spans="1:14" ht="15.75" x14ac:dyDescent="0.25">
      <c r="A72" s="101"/>
      <c r="B72" s="66" t="s">
        <v>69</v>
      </c>
      <c r="C72" s="17" t="s">
        <v>6</v>
      </c>
      <c r="D72" s="9">
        <v>28000</v>
      </c>
      <c r="E72" s="9">
        <v>28000</v>
      </c>
      <c r="F72" s="9">
        <v>24000</v>
      </c>
      <c r="G72" s="9">
        <v>28000</v>
      </c>
      <c r="H72" s="9">
        <v>20000</v>
      </c>
      <c r="I72" s="9">
        <v>28000</v>
      </c>
      <c r="J72" s="72">
        <v>20000</v>
      </c>
      <c r="K72" s="67">
        <f t="shared" si="0"/>
        <v>25142.857142857141</v>
      </c>
      <c r="M72" s="4"/>
      <c r="N72" s="4"/>
    </row>
    <row r="73" spans="1:14" ht="15.75" x14ac:dyDescent="0.25">
      <c r="A73" s="101"/>
      <c r="B73" s="66" t="s">
        <v>70</v>
      </c>
      <c r="C73" s="17" t="s">
        <v>6</v>
      </c>
      <c r="D73" s="9">
        <v>28000</v>
      </c>
      <c r="E73" s="9">
        <v>25000</v>
      </c>
      <c r="F73" s="16">
        <v>28000</v>
      </c>
      <c r="G73" s="8">
        <v>30000</v>
      </c>
      <c r="H73" s="9">
        <v>25000</v>
      </c>
      <c r="I73" s="9">
        <v>35000</v>
      </c>
      <c r="J73" s="72">
        <v>28000</v>
      </c>
      <c r="K73" s="67">
        <f t="shared" si="0"/>
        <v>28428.571428571428</v>
      </c>
      <c r="M73" s="4"/>
      <c r="N73" s="4"/>
    </row>
    <row r="74" spans="1:14" ht="15.75" x14ac:dyDescent="0.25">
      <c r="A74" s="17">
        <v>20</v>
      </c>
      <c r="B74" s="60" t="s">
        <v>71</v>
      </c>
      <c r="C74" s="91"/>
      <c r="D74" s="24"/>
      <c r="E74" s="10"/>
      <c r="F74" s="10"/>
      <c r="G74" s="89"/>
      <c r="H74" s="10"/>
      <c r="I74" s="10"/>
      <c r="J74" s="90"/>
      <c r="K74" s="71"/>
      <c r="M74" s="4"/>
      <c r="N74" s="4"/>
    </row>
    <row r="75" spans="1:14" ht="15.75" x14ac:dyDescent="0.25">
      <c r="A75" s="17"/>
      <c r="B75" s="66" t="s">
        <v>72</v>
      </c>
      <c r="C75" s="86" t="s">
        <v>6</v>
      </c>
      <c r="D75" s="9">
        <v>7000</v>
      </c>
      <c r="E75" s="9">
        <v>7000</v>
      </c>
      <c r="F75" s="9">
        <v>5000</v>
      </c>
      <c r="G75" s="9">
        <v>6000</v>
      </c>
      <c r="H75" s="9">
        <v>5000</v>
      </c>
      <c r="I75" s="9">
        <v>5000</v>
      </c>
      <c r="J75" s="72">
        <v>5000</v>
      </c>
      <c r="K75" s="67">
        <f t="shared" si="0"/>
        <v>5714.2857142857147</v>
      </c>
      <c r="M75" s="4"/>
      <c r="N75" s="4"/>
    </row>
    <row r="76" spans="1:14" ht="15.75" x14ac:dyDescent="0.25">
      <c r="A76" s="17"/>
      <c r="B76" s="66" t="s">
        <v>73</v>
      </c>
      <c r="C76" s="86" t="s">
        <v>6</v>
      </c>
      <c r="D76" s="9">
        <v>7000</v>
      </c>
      <c r="E76" s="9">
        <v>6000</v>
      </c>
      <c r="F76" s="16">
        <v>6000</v>
      </c>
      <c r="G76" s="8">
        <v>6000</v>
      </c>
      <c r="H76" s="9">
        <v>5000</v>
      </c>
      <c r="I76" s="9">
        <v>6000</v>
      </c>
      <c r="J76" s="79">
        <v>6000</v>
      </c>
      <c r="K76" s="67">
        <f t="shared" si="0"/>
        <v>6000</v>
      </c>
      <c r="M76" s="4"/>
      <c r="N76" s="4"/>
    </row>
    <row r="77" spans="1:14" ht="15.75" x14ac:dyDescent="0.25">
      <c r="A77" s="17">
        <v>21</v>
      </c>
      <c r="B77" s="60" t="s">
        <v>74</v>
      </c>
      <c r="C77" s="91"/>
      <c r="D77" s="19"/>
      <c r="E77" s="10"/>
      <c r="F77" s="10"/>
      <c r="G77" s="22"/>
      <c r="H77" s="10"/>
      <c r="I77" s="10"/>
      <c r="J77" s="77"/>
      <c r="K77" s="71"/>
      <c r="M77" s="4"/>
      <c r="N77" s="4"/>
    </row>
    <row r="78" spans="1:14" ht="15.75" x14ac:dyDescent="0.25">
      <c r="A78" s="17"/>
      <c r="B78" s="66" t="s">
        <v>75</v>
      </c>
      <c r="C78" s="86" t="s">
        <v>6</v>
      </c>
      <c r="D78" s="9">
        <v>7000</v>
      </c>
      <c r="E78" s="9">
        <v>8000</v>
      </c>
      <c r="F78" s="9">
        <v>10000</v>
      </c>
      <c r="G78" s="9">
        <v>8000</v>
      </c>
      <c r="H78" s="9">
        <v>6000</v>
      </c>
      <c r="I78" s="16">
        <v>9000</v>
      </c>
      <c r="J78" s="72" t="s">
        <v>99</v>
      </c>
      <c r="K78" s="67">
        <f t="shared" si="0"/>
        <v>8000</v>
      </c>
      <c r="M78" s="4"/>
      <c r="N78" s="4"/>
    </row>
    <row r="79" spans="1:14" ht="15.75" x14ac:dyDescent="0.25">
      <c r="A79" s="17"/>
      <c r="B79" s="66" t="s">
        <v>76</v>
      </c>
      <c r="C79" s="86" t="s">
        <v>6</v>
      </c>
      <c r="D79" s="9">
        <v>14000</v>
      </c>
      <c r="E79" s="9">
        <v>10000</v>
      </c>
      <c r="F79" s="9">
        <v>20000</v>
      </c>
      <c r="G79" s="9">
        <v>10000</v>
      </c>
      <c r="H79" s="9">
        <v>6000</v>
      </c>
      <c r="I79" s="16">
        <v>15000</v>
      </c>
      <c r="J79" s="72">
        <v>15000</v>
      </c>
      <c r="K79" s="67">
        <f t="shared" si="0"/>
        <v>12857.142857142857</v>
      </c>
      <c r="M79" s="4"/>
      <c r="N79" s="4"/>
    </row>
    <row r="80" spans="1:14" ht="15.75" x14ac:dyDescent="0.25">
      <c r="A80" s="17"/>
      <c r="B80" s="66" t="s">
        <v>77</v>
      </c>
      <c r="C80" s="86" t="s">
        <v>6</v>
      </c>
      <c r="D80" s="9">
        <v>16000</v>
      </c>
      <c r="E80" s="9">
        <v>16000</v>
      </c>
      <c r="F80" s="9">
        <v>17000</v>
      </c>
      <c r="G80" s="9">
        <v>14000</v>
      </c>
      <c r="H80" s="9">
        <v>15000</v>
      </c>
      <c r="I80" s="9">
        <v>18000</v>
      </c>
      <c r="J80" s="72">
        <v>15000</v>
      </c>
      <c r="K80" s="67">
        <f t="shared" si="0"/>
        <v>15857.142857142857</v>
      </c>
      <c r="M80" s="4"/>
      <c r="N80" s="4"/>
    </row>
    <row r="81" spans="1:14" ht="15.75" x14ac:dyDescent="0.25">
      <c r="A81" s="17"/>
      <c r="B81" s="66" t="s">
        <v>78</v>
      </c>
      <c r="C81" s="86" t="s">
        <v>6</v>
      </c>
      <c r="D81" s="9">
        <v>15000</v>
      </c>
      <c r="E81" s="9">
        <v>15000</v>
      </c>
      <c r="F81" s="9">
        <v>10000</v>
      </c>
      <c r="G81" s="9">
        <v>12000</v>
      </c>
      <c r="H81" s="9">
        <v>10000</v>
      </c>
      <c r="I81" s="8">
        <v>20000</v>
      </c>
      <c r="J81" s="72">
        <v>20000</v>
      </c>
      <c r="K81" s="67">
        <f t="shared" ref="K81:K88" si="1">AVERAGE(D81:J81)</f>
        <v>14571.428571428571</v>
      </c>
      <c r="M81" s="4"/>
      <c r="N81" s="4"/>
    </row>
    <row r="82" spans="1:14" ht="15.75" x14ac:dyDescent="0.25">
      <c r="A82" s="17"/>
      <c r="B82" s="66" t="s">
        <v>79</v>
      </c>
      <c r="C82" s="86" t="s">
        <v>6</v>
      </c>
      <c r="D82" s="9">
        <v>14000</v>
      </c>
      <c r="E82" s="9">
        <v>12000</v>
      </c>
      <c r="F82" s="9">
        <v>14000</v>
      </c>
      <c r="G82" s="9">
        <v>12000</v>
      </c>
      <c r="H82" s="9">
        <v>10000</v>
      </c>
      <c r="I82" s="9">
        <v>16000</v>
      </c>
      <c r="J82" s="72">
        <v>10000</v>
      </c>
      <c r="K82" s="67">
        <f t="shared" si="1"/>
        <v>12571.428571428571</v>
      </c>
      <c r="M82" s="4"/>
      <c r="N82" s="4"/>
    </row>
    <row r="83" spans="1:14" ht="15.75" x14ac:dyDescent="0.25">
      <c r="A83" s="17"/>
      <c r="B83" s="66" t="s">
        <v>80</v>
      </c>
      <c r="C83" s="86" t="s">
        <v>6</v>
      </c>
      <c r="D83" s="9">
        <v>8000</v>
      </c>
      <c r="E83" s="9">
        <v>8000</v>
      </c>
      <c r="F83" s="16">
        <v>9000</v>
      </c>
      <c r="G83" s="8">
        <v>8000</v>
      </c>
      <c r="H83" s="9">
        <v>7000</v>
      </c>
      <c r="I83" s="16">
        <v>9000</v>
      </c>
      <c r="J83" s="72">
        <v>8000</v>
      </c>
      <c r="K83" s="67">
        <f t="shared" si="1"/>
        <v>8142.8571428571431</v>
      </c>
      <c r="M83" s="4"/>
      <c r="N83" s="4"/>
    </row>
    <row r="84" spans="1:14" ht="15.75" x14ac:dyDescent="0.25">
      <c r="A84" s="17"/>
      <c r="B84" s="66" t="s">
        <v>81</v>
      </c>
      <c r="C84" s="86" t="s">
        <v>82</v>
      </c>
      <c r="D84" s="9">
        <v>2000</v>
      </c>
      <c r="E84" s="9">
        <v>1500</v>
      </c>
      <c r="F84" s="9">
        <v>2000</v>
      </c>
      <c r="G84" s="8">
        <v>2000</v>
      </c>
      <c r="H84" s="9">
        <v>1500</v>
      </c>
      <c r="I84" s="9">
        <v>2000</v>
      </c>
      <c r="J84" s="79">
        <v>1500</v>
      </c>
      <c r="K84" s="67">
        <f t="shared" si="1"/>
        <v>1785.7142857142858</v>
      </c>
      <c r="M84" s="4"/>
      <c r="N84" s="4"/>
    </row>
    <row r="85" spans="1:14" ht="15.75" x14ac:dyDescent="0.25">
      <c r="A85" s="17"/>
      <c r="B85" s="66" t="s">
        <v>83</v>
      </c>
      <c r="C85" s="86" t="s">
        <v>82</v>
      </c>
      <c r="D85" s="9">
        <v>1500</v>
      </c>
      <c r="E85" s="9">
        <v>1500</v>
      </c>
      <c r="F85" s="9">
        <v>1500</v>
      </c>
      <c r="G85" s="8">
        <v>2000</v>
      </c>
      <c r="H85" s="9">
        <v>1500</v>
      </c>
      <c r="I85" s="9">
        <v>1500</v>
      </c>
      <c r="J85" s="79">
        <v>1000</v>
      </c>
      <c r="K85" s="67">
        <f t="shared" si="1"/>
        <v>1500</v>
      </c>
      <c r="M85" s="4"/>
      <c r="N85" s="4"/>
    </row>
    <row r="86" spans="1:14" ht="15.75" x14ac:dyDescent="0.25">
      <c r="A86" s="17"/>
      <c r="B86" s="66" t="s">
        <v>84</v>
      </c>
      <c r="C86" s="86" t="s">
        <v>82</v>
      </c>
      <c r="D86" s="9" t="s">
        <v>99</v>
      </c>
      <c r="E86" s="9">
        <v>2000</v>
      </c>
      <c r="F86" s="9" t="s">
        <v>99</v>
      </c>
      <c r="G86" s="8" t="s">
        <v>99</v>
      </c>
      <c r="H86" s="9">
        <v>2500</v>
      </c>
      <c r="I86" s="9" t="s">
        <v>99</v>
      </c>
      <c r="J86" s="79">
        <v>2000</v>
      </c>
      <c r="K86" s="67">
        <f t="shared" si="1"/>
        <v>2166.6666666666665</v>
      </c>
      <c r="M86" s="4"/>
      <c r="N86" s="4"/>
    </row>
    <row r="87" spans="1:14" ht="15.75" x14ac:dyDescent="0.25">
      <c r="A87" s="17">
        <v>22</v>
      </c>
      <c r="B87" s="60" t="s">
        <v>85</v>
      </c>
      <c r="C87" s="91"/>
      <c r="D87" s="22"/>
      <c r="E87" s="10"/>
      <c r="F87" s="10" t="s">
        <v>102</v>
      </c>
      <c r="G87" s="22"/>
      <c r="H87" s="10"/>
      <c r="I87" s="10"/>
      <c r="J87" s="77"/>
      <c r="K87" s="71"/>
      <c r="L87" s="4"/>
      <c r="M87" s="4"/>
      <c r="N87" s="4"/>
    </row>
    <row r="88" spans="1:14" x14ac:dyDescent="0.25">
      <c r="A88" s="17"/>
      <c r="B88" s="66" t="s">
        <v>86</v>
      </c>
      <c r="C88" s="86" t="s">
        <v>87</v>
      </c>
      <c r="D88" s="9" t="s">
        <v>99</v>
      </c>
      <c r="E88" s="9" t="s">
        <v>99</v>
      </c>
      <c r="F88" s="9">
        <v>18000</v>
      </c>
      <c r="G88" s="8">
        <v>17000</v>
      </c>
      <c r="H88" s="10" t="s">
        <v>99</v>
      </c>
      <c r="I88" s="16">
        <v>18000</v>
      </c>
      <c r="J88" s="79">
        <v>18000</v>
      </c>
      <c r="K88" s="67">
        <f t="shared" si="1"/>
        <v>17750</v>
      </c>
    </row>
  </sheetData>
  <mergeCells count="28">
    <mergeCell ref="A52:A53"/>
    <mergeCell ref="A54:A55"/>
    <mergeCell ref="A56:A60"/>
    <mergeCell ref="A63:A66"/>
    <mergeCell ref="A69:A73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13:A15"/>
    <mergeCell ref="A16:A17"/>
    <mergeCell ref="A19:A20"/>
    <mergeCell ref="A21:A25"/>
    <mergeCell ref="A26:A32"/>
    <mergeCell ref="A33:A35"/>
    <mergeCell ref="A43:A45"/>
    <mergeCell ref="A46:A48"/>
  </mergeCells>
  <pageMargins left="0.7" right="0.7" top="0.75" bottom="0.75" header="0.3" footer="0.3"/>
  <drawing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83787-0A48-436C-8503-CCCDA541B63C}">
  <dimension ref="A1:N88"/>
  <sheetViews>
    <sheetView workbookViewId="0">
      <selection activeCell="A7" sqref="A7:K88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02" t="s">
        <v>88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M1" s="4"/>
      <c r="N1" s="4"/>
    </row>
    <row r="2" spans="1:14" ht="27.75" customHeight="1" x14ac:dyDescent="0.25">
      <c r="A2" s="103" t="s">
        <v>89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M2" s="4"/>
      <c r="N2" s="4"/>
    </row>
    <row r="3" spans="1:14" ht="27.75" customHeight="1" thickBot="1" x14ac:dyDescent="0.3">
      <c r="A3" s="104" t="s">
        <v>154</v>
      </c>
      <c r="B3" s="104"/>
      <c r="C3" s="104"/>
      <c r="D3" s="104"/>
      <c r="E3" s="104"/>
      <c r="F3" s="104"/>
      <c r="G3" s="104"/>
      <c r="H3" s="104"/>
      <c r="I3" s="104"/>
      <c r="J3" s="104"/>
      <c r="K3" s="105"/>
      <c r="M3" s="4"/>
      <c r="N3" s="4"/>
    </row>
    <row r="4" spans="1:14" ht="25.5" customHeight="1" x14ac:dyDescent="0.25">
      <c r="A4" s="96" t="s">
        <v>1</v>
      </c>
      <c r="B4" s="99" t="s">
        <v>2</v>
      </c>
      <c r="C4" s="96" t="s">
        <v>90</v>
      </c>
      <c r="D4" s="110" t="s">
        <v>91</v>
      </c>
      <c r="E4" s="113" t="s">
        <v>92</v>
      </c>
      <c r="F4" s="125" t="s">
        <v>93</v>
      </c>
      <c r="G4" s="128" t="s">
        <v>94</v>
      </c>
      <c r="H4" s="147" t="s">
        <v>95</v>
      </c>
      <c r="I4" s="119" t="s">
        <v>96</v>
      </c>
      <c r="J4" s="106" t="s">
        <v>97</v>
      </c>
      <c r="K4" s="122" t="s">
        <v>98</v>
      </c>
      <c r="M4" s="4"/>
      <c r="N4" s="4"/>
    </row>
    <row r="5" spans="1:14" ht="15" customHeight="1" x14ac:dyDescent="0.25">
      <c r="A5" s="97"/>
      <c r="B5" s="100"/>
      <c r="C5" s="97"/>
      <c r="D5" s="111"/>
      <c r="E5" s="114"/>
      <c r="F5" s="126"/>
      <c r="G5" s="129"/>
      <c r="H5" s="148"/>
      <c r="I5" s="120"/>
      <c r="J5" s="107"/>
      <c r="K5" s="123"/>
      <c r="M5" s="4"/>
      <c r="N5" s="4"/>
    </row>
    <row r="6" spans="1:14" ht="16.5" thickBot="1" x14ac:dyDescent="0.3">
      <c r="A6" s="98"/>
      <c r="B6" s="109"/>
      <c r="C6" s="98"/>
      <c r="D6" s="112"/>
      <c r="E6" s="115"/>
      <c r="F6" s="127"/>
      <c r="G6" s="130"/>
      <c r="H6" s="149"/>
      <c r="I6" s="121"/>
      <c r="J6" s="108"/>
      <c r="K6" s="124"/>
      <c r="M6" s="4"/>
      <c r="N6" s="4"/>
    </row>
    <row r="7" spans="1:14" ht="15.75" x14ac:dyDescent="0.25">
      <c r="A7" s="101">
        <v>1</v>
      </c>
      <c r="B7" s="60" t="s">
        <v>4</v>
      </c>
      <c r="C7" s="61"/>
      <c r="D7" s="62"/>
      <c r="E7" s="17" t="s">
        <v>102</v>
      </c>
      <c r="F7" s="17"/>
      <c r="G7" s="63"/>
      <c r="H7" s="63" t="s">
        <v>1</v>
      </c>
      <c r="I7" s="64"/>
      <c r="J7" s="63"/>
      <c r="K7" s="65"/>
      <c r="M7" s="4"/>
      <c r="N7" s="4"/>
    </row>
    <row r="8" spans="1:14" ht="15.75" x14ac:dyDescent="0.25">
      <c r="A8" s="101"/>
      <c r="B8" s="66" t="s">
        <v>107</v>
      </c>
      <c r="C8" s="17" t="s">
        <v>6</v>
      </c>
      <c r="D8" s="9">
        <v>15500</v>
      </c>
      <c r="E8" s="9">
        <v>15500</v>
      </c>
      <c r="F8" s="9">
        <v>15600</v>
      </c>
      <c r="G8" s="9">
        <v>15600</v>
      </c>
      <c r="H8" s="9">
        <v>17000</v>
      </c>
      <c r="I8" s="9">
        <v>17000</v>
      </c>
      <c r="J8" s="16">
        <v>17000</v>
      </c>
      <c r="K8" s="67">
        <f>AVERAGE(D8:J8)</f>
        <v>16171.428571428571</v>
      </c>
      <c r="L8" s="1"/>
      <c r="M8" s="7"/>
      <c r="N8" s="4"/>
    </row>
    <row r="9" spans="1:14" ht="15.75" x14ac:dyDescent="0.25">
      <c r="A9" s="101"/>
      <c r="B9" s="66" t="s">
        <v>115</v>
      </c>
      <c r="C9" s="17" t="s">
        <v>6</v>
      </c>
      <c r="D9" s="9">
        <v>10900</v>
      </c>
      <c r="E9" s="9">
        <v>10900</v>
      </c>
      <c r="F9" s="9">
        <v>10900</v>
      </c>
      <c r="G9" s="8">
        <v>10900</v>
      </c>
      <c r="H9" s="9" t="s">
        <v>99</v>
      </c>
      <c r="I9" s="9" t="s">
        <v>99</v>
      </c>
      <c r="J9" s="16" t="s">
        <v>99</v>
      </c>
      <c r="K9" s="67">
        <f t="shared" ref="K9:K80" si="0">AVERAGE(D9:J9)</f>
        <v>10900</v>
      </c>
      <c r="M9" s="4"/>
      <c r="N9" s="4"/>
    </row>
    <row r="10" spans="1:14" ht="15.75" x14ac:dyDescent="0.25">
      <c r="A10" s="101"/>
      <c r="B10" s="66" t="s">
        <v>108</v>
      </c>
      <c r="C10" s="17" t="s">
        <v>6</v>
      </c>
      <c r="D10" s="9" t="s">
        <v>99</v>
      </c>
      <c r="E10" s="9" t="s">
        <v>99</v>
      </c>
      <c r="F10" s="9" t="s">
        <v>99</v>
      </c>
      <c r="G10" s="8" t="s">
        <v>99</v>
      </c>
      <c r="H10" s="9">
        <v>13000</v>
      </c>
      <c r="I10" s="9" t="s">
        <v>99</v>
      </c>
      <c r="J10" s="16" t="s">
        <v>99</v>
      </c>
      <c r="K10" s="67">
        <f t="shared" si="0"/>
        <v>13000</v>
      </c>
      <c r="M10" s="4"/>
      <c r="N10" s="4"/>
    </row>
    <row r="11" spans="1:14" ht="15.75" x14ac:dyDescent="0.25">
      <c r="A11" s="101"/>
      <c r="B11" s="66" t="s">
        <v>9</v>
      </c>
      <c r="C11" s="17" t="s">
        <v>6</v>
      </c>
      <c r="D11" s="9" t="s">
        <v>99</v>
      </c>
      <c r="E11" s="9">
        <v>10000</v>
      </c>
      <c r="F11" s="16">
        <v>12000</v>
      </c>
      <c r="G11" s="8">
        <v>10000</v>
      </c>
      <c r="H11" s="9">
        <v>10000</v>
      </c>
      <c r="I11" s="16">
        <v>12000</v>
      </c>
      <c r="J11" s="16">
        <v>10000</v>
      </c>
      <c r="K11" s="67">
        <f>AVERAGE(D11:J11)</f>
        <v>10666.666666666666</v>
      </c>
      <c r="M11" s="4"/>
      <c r="N11" s="4"/>
    </row>
    <row r="12" spans="1:14" ht="15.75" x14ac:dyDescent="0.25">
      <c r="A12" s="101"/>
      <c r="B12" s="66" t="s">
        <v>10</v>
      </c>
      <c r="C12" s="17" t="s">
        <v>6</v>
      </c>
      <c r="D12" s="9" t="s">
        <v>99</v>
      </c>
      <c r="E12" s="9">
        <v>21000</v>
      </c>
      <c r="F12" s="16">
        <v>16000</v>
      </c>
      <c r="G12" s="8">
        <v>18000</v>
      </c>
      <c r="H12" s="9">
        <v>25000</v>
      </c>
      <c r="I12" s="16">
        <v>17000</v>
      </c>
      <c r="J12" s="16">
        <v>17000</v>
      </c>
      <c r="K12" s="67">
        <f t="shared" si="0"/>
        <v>19000</v>
      </c>
      <c r="M12" s="4"/>
      <c r="N12" s="12"/>
    </row>
    <row r="13" spans="1:14" ht="15.75" x14ac:dyDescent="0.25">
      <c r="A13" s="101">
        <v>2</v>
      </c>
      <c r="B13" s="60" t="s">
        <v>11</v>
      </c>
      <c r="C13" s="68"/>
      <c r="D13" s="62"/>
      <c r="E13" s="92"/>
      <c r="F13" s="17"/>
      <c r="G13" s="70"/>
      <c r="H13" s="70"/>
      <c r="I13" s="70"/>
      <c r="J13" s="70"/>
      <c r="K13" s="71"/>
      <c r="M13" s="4"/>
      <c r="N13" s="4"/>
    </row>
    <row r="14" spans="1:14" ht="15.75" x14ac:dyDescent="0.25">
      <c r="A14" s="101"/>
      <c r="B14" s="66" t="s">
        <v>116</v>
      </c>
      <c r="C14" s="17" t="s">
        <v>6</v>
      </c>
      <c r="D14" s="9">
        <v>16000</v>
      </c>
      <c r="E14" s="9">
        <v>16500</v>
      </c>
      <c r="F14" s="9">
        <v>17000</v>
      </c>
      <c r="G14" s="16">
        <v>16000</v>
      </c>
      <c r="H14" s="9">
        <v>16500</v>
      </c>
      <c r="I14" s="9">
        <v>17500</v>
      </c>
      <c r="J14" s="72">
        <v>17000</v>
      </c>
      <c r="K14" s="67">
        <f t="shared" si="0"/>
        <v>16642.857142857141</v>
      </c>
      <c r="M14" s="4"/>
      <c r="N14" s="4"/>
    </row>
    <row r="15" spans="1:14" ht="15.75" x14ac:dyDescent="0.25">
      <c r="A15" s="101"/>
      <c r="B15" s="66" t="s">
        <v>13</v>
      </c>
      <c r="C15" s="17" t="s">
        <v>6</v>
      </c>
      <c r="D15" s="9">
        <v>17000</v>
      </c>
      <c r="E15" s="9">
        <v>16000</v>
      </c>
      <c r="F15" s="16">
        <v>16000</v>
      </c>
      <c r="G15" s="8">
        <v>16000</v>
      </c>
      <c r="H15" s="9">
        <v>17000</v>
      </c>
      <c r="I15" s="9">
        <v>18000</v>
      </c>
      <c r="J15" s="72">
        <v>18000</v>
      </c>
      <c r="K15" s="67">
        <f>AVERAGE(D15:J15)</f>
        <v>16857.142857142859</v>
      </c>
      <c r="M15" s="4"/>
      <c r="N15" s="4"/>
    </row>
    <row r="16" spans="1:14" ht="15.75" x14ac:dyDescent="0.25">
      <c r="A16" s="101">
        <v>3</v>
      </c>
      <c r="B16" s="60" t="s">
        <v>14</v>
      </c>
      <c r="C16" s="73"/>
      <c r="D16" s="74"/>
      <c r="E16" s="15"/>
      <c r="F16" s="15"/>
      <c r="G16" s="15"/>
      <c r="H16" s="15"/>
      <c r="I16" s="15" t="s">
        <v>130</v>
      </c>
      <c r="J16" s="75"/>
      <c r="K16" s="71"/>
      <c r="M16" s="4"/>
      <c r="N16" s="4"/>
    </row>
    <row r="17" spans="1:14" ht="15.75" x14ac:dyDescent="0.25">
      <c r="A17" s="101"/>
      <c r="B17" s="66" t="s">
        <v>15</v>
      </c>
      <c r="C17" s="17" t="s">
        <v>6</v>
      </c>
      <c r="D17" s="9">
        <v>15000</v>
      </c>
      <c r="E17" s="9">
        <v>15000</v>
      </c>
      <c r="F17" s="9">
        <v>16000</v>
      </c>
      <c r="G17" s="9">
        <v>15000</v>
      </c>
      <c r="H17" s="9">
        <v>16000</v>
      </c>
      <c r="I17" s="9">
        <v>16000</v>
      </c>
      <c r="J17" s="72">
        <v>16500</v>
      </c>
      <c r="K17" s="67">
        <f t="shared" si="0"/>
        <v>15642.857142857143</v>
      </c>
      <c r="M17" s="4"/>
      <c r="N17" s="4"/>
    </row>
    <row r="18" spans="1:14" ht="15.75" x14ac:dyDescent="0.25">
      <c r="A18" s="59"/>
      <c r="B18" s="66" t="s">
        <v>109</v>
      </c>
      <c r="C18" s="17" t="s">
        <v>110</v>
      </c>
      <c r="D18" s="9">
        <v>14000</v>
      </c>
      <c r="E18" s="9">
        <v>14000</v>
      </c>
      <c r="F18" s="9">
        <v>14000</v>
      </c>
      <c r="G18" s="9">
        <v>14000</v>
      </c>
      <c r="H18" s="9" t="s">
        <v>99</v>
      </c>
      <c r="I18" s="9">
        <v>14000</v>
      </c>
      <c r="J18" s="72">
        <v>14000</v>
      </c>
      <c r="K18" s="67">
        <f t="shared" si="0"/>
        <v>14000</v>
      </c>
      <c r="M18" s="4"/>
      <c r="N18" s="4"/>
    </row>
    <row r="19" spans="1:14" ht="17.25" customHeight="1" x14ac:dyDescent="0.25">
      <c r="A19" s="101">
        <v>4</v>
      </c>
      <c r="B19" s="60" t="s">
        <v>16</v>
      </c>
      <c r="C19" s="73"/>
      <c r="D19" s="74"/>
      <c r="E19" s="15"/>
      <c r="F19" s="15"/>
      <c r="G19" s="76"/>
      <c r="H19" s="15"/>
      <c r="I19" s="15"/>
      <c r="J19" s="75"/>
      <c r="K19" s="71"/>
      <c r="M19" s="4"/>
      <c r="N19" s="4"/>
    </row>
    <row r="20" spans="1:14" ht="15.75" x14ac:dyDescent="0.25">
      <c r="A20" s="101"/>
      <c r="B20" s="66" t="s">
        <v>17</v>
      </c>
      <c r="C20" s="17" t="s">
        <v>6</v>
      </c>
      <c r="D20" s="9">
        <v>20000</v>
      </c>
      <c r="E20" s="9">
        <v>20000</v>
      </c>
      <c r="F20" s="16">
        <v>20000</v>
      </c>
      <c r="G20" s="8">
        <v>22000</v>
      </c>
      <c r="H20" s="16">
        <v>33000</v>
      </c>
      <c r="I20" s="16">
        <v>20000</v>
      </c>
      <c r="J20" s="77" t="s">
        <v>99</v>
      </c>
      <c r="K20" s="67">
        <f t="shared" si="0"/>
        <v>22500</v>
      </c>
      <c r="M20" s="4"/>
      <c r="N20" s="4"/>
    </row>
    <row r="21" spans="1:14" ht="15.75" x14ac:dyDescent="0.25">
      <c r="A21" s="101">
        <v>5</v>
      </c>
      <c r="B21" s="60" t="s">
        <v>18</v>
      </c>
      <c r="C21" s="73"/>
      <c r="D21" s="74"/>
      <c r="E21" s="17"/>
      <c r="F21" s="15" t="s">
        <v>1</v>
      </c>
      <c r="G21" s="76"/>
      <c r="H21" s="15"/>
      <c r="I21" s="15"/>
      <c r="J21" s="75"/>
      <c r="K21" s="71"/>
      <c r="M21" s="4"/>
      <c r="N21" s="4"/>
    </row>
    <row r="22" spans="1:14" ht="15.75" x14ac:dyDescent="0.25">
      <c r="A22" s="101"/>
      <c r="B22" s="66" t="s">
        <v>19</v>
      </c>
      <c r="C22" s="17" t="s">
        <v>6</v>
      </c>
      <c r="D22" s="9">
        <v>120000</v>
      </c>
      <c r="E22" s="9">
        <v>120000</v>
      </c>
      <c r="F22" s="9">
        <v>120000</v>
      </c>
      <c r="G22" s="9">
        <v>120000</v>
      </c>
      <c r="H22" s="9">
        <v>120000</v>
      </c>
      <c r="I22" s="8">
        <v>120000</v>
      </c>
      <c r="J22" s="72" t="s">
        <v>99</v>
      </c>
      <c r="K22" s="67">
        <f t="shared" si="0"/>
        <v>120000</v>
      </c>
      <c r="M22" s="4"/>
      <c r="N22" s="4"/>
    </row>
    <row r="23" spans="1:14" ht="15.75" x14ac:dyDescent="0.25">
      <c r="A23" s="101"/>
      <c r="B23" s="66" t="s">
        <v>20</v>
      </c>
      <c r="C23" s="17" t="s">
        <v>6</v>
      </c>
      <c r="D23" s="9">
        <v>110000</v>
      </c>
      <c r="E23" s="9">
        <v>110000</v>
      </c>
      <c r="F23" s="9">
        <v>110000</v>
      </c>
      <c r="G23" s="9">
        <v>110000</v>
      </c>
      <c r="H23" s="9">
        <v>115000</v>
      </c>
      <c r="I23" s="9">
        <v>110000</v>
      </c>
      <c r="J23" s="72">
        <v>110000</v>
      </c>
      <c r="K23" s="67">
        <f t="shared" si="0"/>
        <v>110714.28571428571</v>
      </c>
      <c r="M23" s="4"/>
      <c r="N23" s="4"/>
    </row>
    <row r="24" spans="1:14" ht="15.75" x14ac:dyDescent="0.25">
      <c r="A24" s="101"/>
      <c r="B24" s="66" t="s">
        <v>21</v>
      </c>
      <c r="C24" s="17" t="s">
        <v>6</v>
      </c>
      <c r="D24" s="9">
        <v>90000</v>
      </c>
      <c r="E24" s="9">
        <v>90000</v>
      </c>
      <c r="F24" s="9">
        <v>100000</v>
      </c>
      <c r="G24" s="9">
        <v>105000</v>
      </c>
      <c r="H24" s="9">
        <v>110000</v>
      </c>
      <c r="I24" s="8">
        <v>100000</v>
      </c>
      <c r="J24" s="72">
        <v>105000</v>
      </c>
      <c r="K24" s="67">
        <f t="shared" si="0"/>
        <v>100000</v>
      </c>
      <c r="M24" s="4"/>
      <c r="N24" s="4"/>
    </row>
    <row r="25" spans="1:14" ht="15.75" x14ac:dyDescent="0.25">
      <c r="A25" s="101"/>
      <c r="B25" s="66" t="s">
        <v>22</v>
      </c>
      <c r="C25" s="17" t="s">
        <v>6</v>
      </c>
      <c r="D25" s="9">
        <v>34000</v>
      </c>
      <c r="E25" s="9">
        <v>31000</v>
      </c>
      <c r="F25" s="9">
        <v>34000</v>
      </c>
      <c r="G25" s="9">
        <v>33000</v>
      </c>
      <c r="H25" s="72">
        <v>34000</v>
      </c>
      <c r="I25" s="9">
        <v>35000</v>
      </c>
      <c r="J25" s="72">
        <v>34000</v>
      </c>
      <c r="K25" s="67">
        <f t="shared" si="0"/>
        <v>33571.428571428572</v>
      </c>
      <c r="M25" s="4"/>
      <c r="N25" s="4"/>
    </row>
    <row r="26" spans="1:14" ht="15.75" x14ac:dyDescent="0.25">
      <c r="A26" s="101">
        <v>6</v>
      </c>
      <c r="B26" s="60" t="s">
        <v>23</v>
      </c>
      <c r="C26" s="73"/>
      <c r="D26" s="74"/>
      <c r="E26" s="17"/>
      <c r="F26" s="76"/>
      <c r="G26" s="15"/>
      <c r="H26" s="75"/>
      <c r="I26" s="15"/>
      <c r="J26" s="75"/>
      <c r="K26" s="71"/>
      <c r="M26" s="4"/>
      <c r="N26" s="4"/>
    </row>
    <row r="27" spans="1:14" ht="15.75" x14ac:dyDescent="0.25">
      <c r="A27" s="101"/>
      <c r="B27" s="66" t="s">
        <v>24</v>
      </c>
      <c r="C27" s="17" t="s">
        <v>6</v>
      </c>
      <c r="D27" s="9">
        <v>32000</v>
      </c>
      <c r="E27" s="9">
        <v>35000</v>
      </c>
      <c r="F27" s="9" t="s">
        <v>99</v>
      </c>
      <c r="G27" s="9">
        <v>40000</v>
      </c>
      <c r="H27" s="9">
        <v>28000</v>
      </c>
      <c r="I27" s="9" t="s">
        <v>99</v>
      </c>
      <c r="J27" s="72">
        <v>30000</v>
      </c>
      <c r="K27" s="67">
        <f t="shared" si="0"/>
        <v>33000</v>
      </c>
      <c r="L27" t="s">
        <v>100</v>
      </c>
      <c r="M27" s="4"/>
      <c r="N27" s="4"/>
    </row>
    <row r="28" spans="1:14" ht="15.75" x14ac:dyDescent="0.25">
      <c r="A28" s="101"/>
      <c r="B28" s="66" t="s">
        <v>25</v>
      </c>
      <c r="C28" s="17" t="s">
        <v>6</v>
      </c>
      <c r="D28" s="9">
        <v>30000</v>
      </c>
      <c r="E28" s="9">
        <v>28000</v>
      </c>
      <c r="F28" s="9">
        <v>35000</v>
      </c>
      <c r="G28" s="8">
        <v>30000</v>
      </c>
      <c r="H28" s="9">
        <v>22000</v>
      </c>
      <c r="I28" s="9">
        <v>26000</v>
      </c>
      <c r="J28" s="78">
        <v>30000</v>
      </c>
      <c r="K28" s="67">
        <f t="shared" si="0"/>
        <v>28714.285714285714</v>
      </c>
      <c r="M28" s="4"/>
      <c r="N28" s="4"/>
    </row>
    <row r="29" spans="1:14" ht="15.75" x14ac:dyDescent="0.25">
      <c r="A29" s="101"/>
      <c r="B29" s="66" t="s">
        <v>26</v>
      </c>
      <c r="C29" s="17" t="s">
        <v>6</v>
      </c>
      <c r="D29" s="9">
        <v>60000</v>
      </c>
      <c r="E29" s="9">
        <v>60000</v>
      </c>
      <c r="F29" s="16">
        <v>60000</v>
      </c>
      <c r="G29" s="8">
        <v>70000</v>
      </c>
      <c r="H29" s="9">
        <v>65000</v>
      </c>
      <c r="I29" s="9">
        <v>60000</v>
      </c>
      <c r="J29" s="79">
        <v>60000</v>
      </c>
      <c r="K29" s="67">
        <f t="shared" si="0"/>
        <v>62142.857142857145</v>
      </c>
      <c r="M29" s="4"/>
      <c r="N29" s="4"/>
    </row>
    <row r="30" spans="1:14" ht="15.75" x14ac:dyDescent="0.25">
      <c r="A30" s="101"/>
      <c r="B30" s="66" t="s">
        <v>27</v>
      </c>
      <c r="C30" s="17" t="s">
        <v>6</v>
      </c>
      <c r="D30" s="9">
        <v>25000</v>
      </c>
      <c r="E30" s="9" t="s">
        <v>99</v>
      </c>
      <c r="F30" s="10" t="s">
        <v>99</v>
      </c>
      <c r="G30" s="8">
        <v>25000</v>
      </c>
      <c r="H30" s="9">
        <v>23000</v>
      </c>
      <c r="I30" s="9" t="s">
        <v>99</v>
      </c>
      <c r="J30" s="79">
        <v>26000</v>
      </c>
      <c r="K30" s="67">
        <f t="shared" si="0"/>
        <v>24750</v>
      </c>
      <c r="M30" s="4"/>
      <c r="N30" s="4"/>
    </row>
    <row r="31" spans="1:14" ht="15.75" x14ac:dyDescent="0.25">
      <c r="A31" s="101"/>
      <c r="B31" s="66" t="s">
        <v>28</v>
      </c>
      <c r="C31" s="17" t="s">
        <v>6</v>
      </c>
      <c r="D31" s="9">
        <v>32000</v>
      </c>
      <c r="E31" s="9">
        <v>36000</v>
      </c>
      <c r="F31" s="9">
        <v>40000</v>
      </c>
      <c r="G31" s="9">
        <v>40000</v>
      </c>
      <c r="H31" s="9">
        <v>28000</v>
      </c>
      <c r="I31" s="9">
        <v>30000</v>
      </c>
      <c r="J31" s="72">
        <v>35000</v>
      </c>
      <c r="K31" s="67">
        <f t="shared" si="0"/>
        <v>34428.571428571428</v>
      </c>
      <c r="M31" s="4"/>
      <c r="N31" s="4"/>
    </row>
    <row r="32" spans="1:14" ht="15.75" x14ac:dyDescent="0.25">
      <c r="A32" s="101"/>
      <c r="B32" s="66" t="s">
        <v>29</v>
      </c>
      <c r="C32" s="17" t="s">
        <v>6</v>
      </c>
      <c r="D32" s="9" t="s">
        <v>99</v>
      </c>
      <c r="E32" s="9">
        <v>100000</v>
      </c>
      <c r="F32" s="9">
        <v>100000</v>
      </c>
      <c r="G32" s="9" t="s">
        <v>99</v>
      </c>
      <c r="H32" s="9">
        <v>80000</v>
      </c>
      <c r="I32" s="9">
        <v>100000</v>
      </c>
      <c r="J32" s="79">
        <v>70000</v>
      </c>
      <c r="K32" s="67">
        <f t="shared" si="0"/>
        <v>90000</v>
      </c>
      <c r="M32" s="4"/>
      <c r="N32" s="4"/>
    </row>
    <row r="33" spans="1:14" ht="15.75" x14ac:dyDescent="0.25">
      <c r="A33" s="101">
        <v>7</v>
      </c>
      <c r="B33" s="60" t="s">
        <v>30</v>
      </c>
      <c r="C33" s="73"/>
      <c r="D33" s="74"/>
      <c r="E33" s="17"/>
      <c r="F33" s="76"/>
      <c r="G33" s="76"/>
      <c r="H33" s="15"/>
      <c r="I33" s="15"/>
      <c r="J33" s="75"/>
      <c r="K33" s="71"/>
      <c r="M33" s="4"/>
      <c r="N33" s="4"/>
    </row>
    <row r="34" spans="1:14" ht="15.75" x14ac:dyDescent="0.25">
      <c r="A34" s="101"/>
      <c r="B34" s="66" t="s">
        <v>31</v>
      </c>
      <c r="C34" s="17" t="s">
        <v>6</v>
      </c>
      <c r="D34" s="9">
        <v>30000</v>
      </c>
      <c r="E34" s="9">
        <v>30000</v>
      </c>
      <c r="F34" s="9">
        <v>31000</v>
      </c>
      <c r="G34" s="9">
        <v>30000</v>
      </c>
      <c r="H34" s="9">
        <v>29000</v>
      </c>
      <c r="I34" s="9">
        <v>30000</v>
      </c>
      <c r="J34" s="72">
        <v>30000</v>
      </c>
      <c r="K34" s="67">
        <f t="shared" si="0"/>
        <v>30000</v>
      </c>
      <c r="M34" s="4"/>
      <c r="N34" s="4"/>
    </row>
    <row r="35" spans="1:14" ht="15.75" x14ac:dyDescent="0.25">
      <c r="A35" s="101"/>
      <c r="B35" s="66" t="s">
        <v>32</v>
      </c>
      <c r="C35" s="17" t="s">
        <v>33</v>
      </c>
      <c r="D35" s="9">
        <v>3000</v>
      </c>
      <c r="E35" s="9">
        <v>2500</v>
      </c>
      <c r="F35" s="9">
        <v>2500</v>
      </c>
      <c r="G35" s="9">
        <v>2800</v>
      </c>
      <c r="H35" s="9">
        <v>2800</v>
      </c>
      <c r="I35" s="9">
        <v>3000</v>
      </c>
      <c r="J35" s="72">
        <v>3000</v>
      </c>
      <c r="K35" s="67">
        <f t="shared" si="0"/>
        <v>2800</v>
      </c>
      <c r="M35" s="4"/>
      <c r="N35" s="4"/>
    </row>
    <row r="36" spans="1:14" ht="15.75" x14ac:dyDescent="0.25">
      <c r="A36" s="59">
        <v>8</v>
      </c>
      <c r="B36" s="73" t="s">
        <v>117</v>
      </c>
      <c r="C36" s="80"/>
      <c r="D36" s="9"/>
      <c r="E36" s="9"/>
      <c r="F36" s="9"/>
      <c r="G36" s="9"/>
      <c r="H36" s="9"/>
      <c r="I36" s="9"/>
      <c r="J36" s="72"/>
      <c r="K36" s="81"/>
      <c r="M36" s="4"/>
      <c r="N36" s="4"/>
    </row>
    <row r="37" spans="1:14" ht="15.75" x14ac:dyDescent="0.25">
      <c r="A37" s="59"/>
      <c r="B37" s="66" t="s">
        <v>118</v>
      </c>
      <c r="C37" s="17" t="s">
        <v>6</v>
      </c>
      <c r="D37" s="9">
        <v>10000</v>
      </c>
      <c r="E37" s="9">
        <v>1250</v>
      </c>
      <c r="F37" s="9">
        <v>9000</v>
      </c>
      <c r="G37" s="9">
        <v>9000</v>
      </c>
      <c r="H37" s="9">
        <v>16000</v>
      </c>
      <c r="I37" s="9">
        <v>9000</v>
      </c>
      <c r="J37" s="72">
        <v>3000</v>
      </c>
      <c r="K37" s="67">
        <f t="shared" si="0"/>
        <v>8178.5714285714284</v>
      </c>
      <c r="M37" s="4"/>
      <c r="N37" s="4"/>
    </row>
    <row r="38" spans="1:14" ht="15.75" x14ac:dyDescent="0.25">
      <c r="A38" s="59"/>
      <c r="B38" s="66" t="s">
        <v>119</v>
      </c>
      <c r="C38" s="17" t="s">
        <v>6</v>
      </c>
      <c r="D38" s="9" t="s">
        <v>99</v>
      </c>
      <c r="E38" s="9">
        <v>10000</v>
      </c>
      <c r="F38" s="9">
        <v>12000</v>
      </c>
      <c r="G38" s="9">
        <v>14000</v>
      </c>
      <c r="H38" s="9" t="s">
        <v>99</v>
      </c>
      <c r="I38" s="9">
        <v>12000</v>
      </c>
      <c r="J38" s="72">
        <v>12000</v>
      </c>
      <c r="K38" s="67">
        <f>AVERAGE(D38:J38)</f>
        <v>12000</v>
      </c>
      <c r="M38" s="4"/>
      <c r="N38" s="4"/>
    </row>
    <row r="39" spans="1:14" ht="15.75" x14ac:dyDescent="0.25">
      <c r="A39" s="59">
        <v>9</v>
      </c>
      <c r="B39" s="82" t="s">
        <v>120</v>
      </c>
      <c r="C39" s="83"/>
      <c r="D39" s="9"/>
      <c r="E39" s="9"/>
      <c r="F39" s="9"/>
      <c r="G39" s="9"/>
      <c r="H39" s="9"/>
      <c r="I39" s="9"/>
      <c r="J39" s="72"/>
      <c r="K39" s="81"/>
      <c r="M39" s="4"/>
      <c r="N39" s="4"/>
    </row>
    <row r="40" spans="1:14" ht="15.75" x14ac:dyDescent="0.25">
      <c r="A40" s="59"/>
      <c r="B40" s="66" t="s">
        <v>121</v>
      </c>
      <c r="C40" s="17" t="s">
        <v>6</v>
      </c>
      <c r="D40" s="9" t="s">
        <v>99</v>
      </c>
      <c r="E40" s="9" t="s">
        <v>99</v>
      </c>
      <c r="F40" s="9" t="s">
        <v>99</v>
      </c>
      <c r="G40" s="9">
        <v>16000</v>
      </c>
      <c r="H40" s="9">
        <v>14000</v>
      </c>
      <c r="I40" s="9" t="s">
        <v>99</v>
      </c>
      <c r="J40" s="72">
        <v>15000</v>
      </c>
      <c r="K40" s="67">
        <f t="shared" si="0"/>
        <v>15000</v>
      </c>
      <c r="M40" s="4"/>
      <c r="N40" s="4"/>
    </row>
    <row r="41" spans="1:14" ht="15.75" x14ac:dyDescent="0.25">
      <c r="A41" s="59"/>
      <c r="B41" s="66" t="s">
        <v>122</v>
      </c>
      <c r="C41" s="17" t="s">
        <v>6</v>
      </c>
      <c r="D41" s="9" t="s">
        <v>99</v>
      </c>
      <c r="E41" s="9" t="s">
        <v>99</v>
      </c>
      <c r="F41" s="9">
        <v>6000</v>
      </c>
      <c r="G41" s="9" t="s">
        <v>99</v>
      </c>
      <c r="H41" s="9" t="s">
        <v>99</v>
      </c>
      <c r="I41" s="9">
        <v>6000</v>
      </c>
      <c r="J41" s="72" t="s">
        <v>99</v>
      </c>
      <c r="K41" s="67">
        <f t="shared" si="0"/>
        <v>6000</v>
      </c>
      <c r="M41" s="4"/>
      <c r="N41" s="4"/>
    </row>
    <row r="42" spans="1:14" ht="15.75" x14ac:dyDescent="0.25">
      <c r="A42" s="59"/>
      <c r="B42" s="66" t="s">
        <v>123</v>
      </c>
      <c r="C42" s="17" t="s">
        <v>6</v>
      </c>
      <c r="D42" s="9" t="s">
        <v>99</v>
      </c>
      <c r="E42" s="9">
        <v>2500</v>
      </c>
      <c r="F42" s="9" t="s">
        <v>99</v>
      </c>
      <c r="G42" s="9" t="s">
        <v>99</v>
      </c>
      <c r="H42" s="9" t="s">
        <v>99</v>
      </c>
      <c r="I42" s="9" t="s">
        <v>99</v>
      </c>
      <c r="J42" s="72" t="s">
        <v>99</v>
      </c>
      <c r="K42" s="67">
        <f t="shared" si="0"/>
        <v>2500</v>
      </c>
      <c r="M42" s="4"/>
      <c r="N42" s="4"/>
    </row>
    <row r="43" spans="1:14" ht="15.75" x14ac:dyDescent="0.25">
      <c r="A43" s="101">
        <v>10</v>
      </c>
      <c r="B43" s="60" t="s">
        <v>34</v>
      </c>
      <c r="C43" s="73"/>
      <c r="D43" s="74"/>
      <c r="E43" s="17"/>
      <c r="F43" s="76"/>
      <c r="G43" s="15"/>
      <c r="H43" s="15"/>
      <c r="I43" s="15"/>
      <c r="J43" s="84"/>
      <c r="K43" s="71"/>
      <c r="M43" s="4"/>
      <c r="N43" s="4"/>
    </row>
    <row r="44" spans="1:14" ht="15.75" x14ac:dyDescent="0.25">
      <c r="A44" s="101"/>
      <c r="B44" s="66" t="s">
        <v>35</v>
      </c>
      <c r="C44" s="17" t="s">
        <v>36</v>
      </c>
      <c r="D44" s="9">
        <v>12000</v>
      </c>
      <c r="E44" s="9">
        <v>12000</v>
      </c>
      <c r="F44" s="9">
        <v>12500</v>
      </c>
      <c r="G44" s="9">
        <v>12500</v>
      </c>
      <c r="H44" s="10" t="s">
        <v>99</v>
      </c>
      <c r="I44" s="16">
        <v>12500</v>
      </c>
      <c r="J44" s="72">
        <v>12500</v>
      </c>
      <c r="K44" s="67">
        <f t="shared" si="0"/>
        <v>12333.333333333334</v>
      </c>
      <c r="M44" s="4"/>
      <c r="N44" s="4"/>
    </row>
    <row r="45" spans="1:14" ht="15.75" x14ac:dyDescent="0.25">
      <c r="A45" s="101"/>
      <c r="B45" s="66" t="s">
        <v>124</v>
      </c>
      <c r="C45" s="17" t="s">
        <v>36</v>
      </c>
      <c r="D45" s="9">
        <v>12000</v>
      </c>
      <c r="E45" s="9">
        <v>13000</v>
      </c>
      <c r="F45" s="16">
        <v>12500</v>
      </c>
      <c r="G45" s="9">
        <v>12500</v>
      </c>
      <c r="H45" s="10" t="s">
        <v>99</v>
      </c>
      <c r="I45" s="16">
        <v>12500</v>
      </c>
      <c r="J45" s="79">
        <v>12500</v>
      </c>
      <c r="K45" s="67">
        <f>AVERAGE(D45:J45)</f>
        <v>12500</v>
      </c>
      <c r="M45" s="4"/>
      <c r="N45" s="4"/>
    </row>
    <row r="46" spans="1:14" ht="15.75" x14ac:dyDescent="0.25">
      <c r="A46" s="101">
        <v>11</v>
      </c>
      <c r="B46" s="60" t="s">
        <v>38</v>
      </c>
      <c r="C46" s="73"/>
      <c r="D46" s="74"/>
      <c r="E46" s="17"/>
      <c r="F46" s="15"/>
      <c r="G46" s="76"/>
      <c r="H46" s="15"/>
      <c r="I46" s="15"/>
      <c r="J46" s="75"/>
      <c r="K46" s="71"/>
      <c r="M46" s="4"/>
      <c r="N46" s="4"/>
    </row>
    <row r="47" spans="1:14" ht="15.75" x14ac:dyDescent="0.25">
      <c r="A47" s="101"/>
      <c r="B47" s="66" t="s">
        <v>39</v>
      </c>
      <c r="C47" s="17" t="s">
        <v>40</v>
      </c>
      <c r="D47" s="9" t="s">
        <v>99</v>
      </c>
      <c r="E47" s="9" t="s">
        <v>99</v>
      </c>
      <c r="F47" s="10" t="s">
        <v>99</v>
      </c>
      <c r="G47" s="8" t="s">
        <v>99</v>
      </c>
      <c r="H47" s="9">
        <v>17500</v>
      </c>
      <c r="I47" s="16" t="s">
        <v>99</v>
      </c>
      <c r="J47" s="79" t="s">
        <v>99</v>
      </c>
      <c r="K47" s="67">
        <f t="shared" si="0"/>
        <v>17500</v>
      </c>
      <c r="M47" s="4"/>
      <c r="N47" s="4"/>
    </row>
    <row r="48" spans="1:14" ht="15.75" x14ac:dyDescent="0.25">
      <c r="A48" s="101"/>
      <c r="B48" s="66" t="s">
        <v>41</v>
      </c>
      <c r="C48" s="17" t="s">
        <v>42</v>
      </c>
      <c r="D48" s="9" t="s">
        <v>99</v>
      </c>
      <c r="E48" s="9" t="s">
        <v>99</v>
      </c>
      <c r="F48" s="10" t="s">
        <v>99</v>
      </c>
      <c r="G48" s="8" t="s">
        <v>99</v>
      </c>
      <c r="H48" s="9">
        <v>2000</v>
      </c>
      <c r="I48" s="16" t="s">
        <v>99</v>
      </c>
      <c r="J48" s="79" t="s">
        <v>99</v>
      </c>
      <c r="K48" s="67">
        <f t="shared" si="0"/>
        <v>2000</v>
      </c>
      <c r="M48" s="4"/>
      <c r="N48" s="4"/>
    </row>
    <row r="49" spans="1:14" ht="15.75" x14ac:dyDescent="0.25">
      <c r="A49" s="59">
        <v>12</v>
      </c>
      <c r="B49" s="85" t="s">
        <v>43</v>
      </c>
      <c r="C49" s="80"/>
      <c r="D49" s="19"/>
      <c r="E49" s="10"/>
      <c r="F49" s="10"/>
      <c r="G49" s="22"/>
      <c r="H49" s="10"/>
      <c r="I49" s="10"/>
      <c r="J49" s="77"/>
      <c r="K49" s="71"/>
      <c r="M49" s="4"/>
      <c r="N49" s="4"/>
    </row>
    <row r="50" spans="1:14" ht="15.75" x14ac:dyDescent="0.25">
      <c r="A50" s="59"/>
      <c r="B50" s="66" t="s">
        <v>44</v>
      </c>
      <c r="C50" s="86" t="s">
        <v>6</v>
      </c>
      <c r="D50" s="9">
        <v>10000</v>
      </c>
      <c r="E50" s="9">
        <v>8000</v>
      </c>
      <c r="F50" s="9">
        <v>10000</v>
      </c>
      <c r="G50" s="9">
        <v>10000</v>
      </c>
      <c r="H50" s="9">
        <v>15000</v>
      </c>
      <c r="I50" s="8">
        <v>15000</v>
      </c>
      <c r="J50" s="72">
        <v>15000</v>
      </c>
      <c r="K50" s="67">
        <f t="shared" si="0"/>
        <v>11857.142857142857</v>
      </c>
      <c r="M50" s="4"/>
      <c r="N50" s="4"/>
    </row>
    <row r="51" spans="1:14" ht="15.75" x14ac:dyDescent="0.25">
      <c r="A51" s="59"/>
      <c r="B51" s="66" t="s">
        <v>45</v>
      </c>
      <c r="C51" s="86" t="s">
        <v>6</v>
      </c>
      <c r="D51" s="9" t="s">
        <v>99</v>
      </c>
      <c r="E51" s="9">
        <v>10000</v>
      </c>
      <c r="F51" s="8">
        <v>9000</v>
      </c>
      <c r="G51" s="9">
        <v>10000</v>
      </c>
      <c r="H51" s="9">
        <v>12000</v>
      </c>
      <c r="I51" s="9">
        <v>12000</v>
      </c>
      <c r="J51" s="72">
        <v>10000</v>
      </c>
      <c r="K51" s="67">
        <f t="shared" si="0"/>
        <v>10500</v>
      </c>
      <c r="M51" s="4"/>
      <c r="N51" s="4"/>
    </row>
    <row r="52" spans="1:14" ht="15.75" x14ac:dyDescent="0.25">
      <c r="A52" s="101">
        <v>13</v>
      </c>
      <c r="B52" s="60" t="s">
        <v>46</v>
      </c>
      <c r="C52" s="73"/>
      <c r="D52" s="74"/>
      <c r="E52" s="17"/>
      <c r="F52" s="76"/>
      <c r="G52" s="76"/>
      <c r="H52" s="15"/>
      <c r="I52" s="15"/>
      <c r="J52" s="84"/>
      <c r="K52" s="71"/>
      <c r="M52" s="4"/>
      <c r="N52" s="4"/>
    </row>
    <row r="53" spans="1:14" ht="15.75" x14ac:dyDescent="0.25">
      <c r="A53" s="101"/>
      <c r="B53" s="66" t="s">
        <v>47</v>
      </c>
      <c r="C53" s="17" t="s">
        <v>125</v>
      </c>
      <c r="D53" s="9">
        <v>3000</v>
      </c>
      <c r="E53" s="9">
        <v>4000</v>
      </c>
      <c r="F53" s="9">
        <v>5000</v>
      </c>
      <c r="G53" s="9">
        <v>5000</v>
      </c>
      <c r="H53" s="9">
        <v>2500</v>
      </c>
      <c r="I53" s="16">
        <v>5000</v>
      </c>
      <c r="J53" s="72">
        <v>2500</v>
      </c>
      <c r="K53" s="67">
        <f t="shared" si="0"/>
        <v>3857.1428571428573</v>
      </c>
      <c r="M53" s="4" t="s">
        <v>101</v>
      </c>
      <c r="N53" s="4"/>
    </row>
    <row r="54" spans="1:14" ht="15.75" x14ac:dyDescent="0.25">
      <c r="A54" s="101">
        <v>14</v>
      </c>
      <c r="B54" s="60" t="s">
        <v>49</v>
      </c>
      <c r="C54" s="80"/>
      <c r="D54" s="62"/>
      <c r="E54" s="17"/>
      <c r="F54" s="20"/>
      <c r="G54" s="20"/>
      <c r="H54" s="17"/>
      <c r="I54" s="17"/>
      <c r="J54" s="87"/>
      <c r="K54" s="71"/>
      <c r="M54" s="4"/>
      <c r="N54" s="23"/>
    </row>
    <row r="55" spans="1:14" ht="15.75" x14ac:dyDescent="0.25">
      <c r="A55" s="101"/>
      <c r="B55" s="88" t="s">
        <v>50</v>
      </c>
      <c r="C55" s="86" t="s">
        <v>6</v>
      </c>
      <c r="D55" s="9">
        <v>10000</v>
      </c>
      <c r="E55" s="9">
        <v>10500</v>
      </c>
      <c r="F55" s="9">
        <v>10000</v>
      </c>
      <c r="G55" s="9">
        <v>11000</v>
      </c>
      <c r="H55" s="9">
        <v>12000</v>
      </c>
      <c r="I55" s="9">
        <v>10000</v>
      </c>
      <c r="J55" s="72">
        <v>10000</v>
      </c>
      <c r="K55" s="67">
        <f t="shared" si="0"/>
        <v>10500</v>
      </c>
      <c r="M55" s="4"/>
      <c r="N55" s="4"/>
    </row>
    <row r="56" spans="1:14" ht="15.75" x14ac:dyDescent="0.25">
      <c r="A56" s="101">
        <v>15</v>
      </c>
      <c r="B56" s="60" t="s">
        <v>51</v>
      </c>
      <c r="C56" s="73"/>
      <c r="D56" s="74"/>
      <c r="E56" s="17"/>
      <c r="F56" s="76"/>
      <c r="G56" s="15"/>
      <c r="H56" s="15"/>
      <c r="I56" s="15"/>
      <c r="J56" s="84"/>
      <c r="K56" s="71"/>
      <c r="M56" s="4"/>
      <c r="N56" s="4"/>
    </row>
    <row r="57" spans="1:14" ht="15.75" x14ac:dyDescent="0.25">
      <c r="A57" s="101"/>
      <c r="B57" s="66" t="s">
        <v>52</v>
      </c>
      <c r="C57" s="17" t="s">
        <v>6</v>
      </c>
      <c r="D57" s="9">
        <v>16000</v>
      </c>
      <c r="E57" s="9">
        <v>13000</v>
      </c>
      <c r="F57" s="9">
        <v>14000</v>
      </c>
      <c r="G57" s="9">
        <v>14000</v>
      </c>
      <c r="H57" s="9">
        <v>11500</v>
      </c>
      <c r="I57" s="9">
        <v>17000</v>
      </c>
      <c r="J57" s="72" t="s">
        <v>99</v>
      </c>
      <c r="K57" s="67">
        <f t="shared" si="0"/>
        <v>14250</v>
      </c>
      <c r="M57" s="4"/>
      <c r="N57" s="4"/>
    </row>
    <row r="58" spans="1:14" ht="15.75" x14ac:dyDescent="0.25">
      <c r="A58" s="101"/>
      <c r="B58" s="66" t="s">
        <v>53</v>
      </c>
      <c r="C58" s="17" t="s">
        <v>6</v>
      </c>
      <c r="D58" s="9" t="s">
        <v>99</v>
      </c>
      <c r="E58" s="9" t="s">
        <v>99</v>
      </c>
      <c r="F58" s="16">
        <v>15000</v>
      </c>
      <c r="G58" s="22" t="s">
        <v>99</v>
      </c>
      <c r="H58" s="9">
        <v>13000</v>
      </c>
      <c r="I58" s="8">
        <v>15000</v>
      </c>
      <c r="J58" s="72">
        <v>14000</v>
      </c>
      <c r="K58" s="67">
        <f t="shared" si="0"/>
        <v>14250</v>
      </c>
      <c r="M58" s="4"/>
      <c r="N58" s="4"/>
    </row>
    <row r="59" spans="1:14" ht="15.75" x14ac:dyDescent="0.25">
      <c r="A59" s="101"/>
      <c r="B59" s="66" t="s">
        <v>54</v>
      </c>
      <c r="C59" s="17" t="s">
        <v>6</v>
      </c>
      <c r="D59" s="9">
        <v>25000</v>
      </c>
      <c r="E59" s="9">
        <v>23000</v>
      </c>
      <c r="F59" s="9">
        <v>23000</v>
      </c>
      <c r="G59" s="9">
        <v>23000</v>
      </c>
      <c r="H59" s="9">
        <v>20000</v>
      </c>
      <c r="I59" s="9">
        <v>23000</v>
      </c>
      <c r="J59" s="72">
        <v>24000</v>
      </c>
      <c r="K59" s="67">
        <f t="shared" si="0"/>
        <v>23000</v>
      </c>
      <c r="M59" s="4"/>
      <c r="N59" s="4"/>
    </row>
    <row r="60" spans="1:14" ht="15.75" x14ac:dyDescent="0.25">
      <c r="A60" s="101"/>
      <c r="B60" s="66" t="s">
        <v>55</v>
      </c>
      <c r="C60" s="17" t="s">
        <v>6</v>
      </c>
      <c r="D60" s="9">
        <v>31000</v>
      </c>
      <c r="E60" s="9">
        <v>30000</v>
      </c>
      <c r="F60" s="9">
        <v>28000</v>
      </c>
      <c r="G60" s="9">
        <v>30000</v>
      </c>
      <c r="H60" s="9">
        <v>27000</v>
      </c>
      <c r="I60" s="9">
        <v>28000</v>
      </c>
      <c r="J60" s="72">
        <v>28000</v>
      </c>
      <c r="K60" s="67">
        <f t="shared" si="0"/>
        <v>28857.142857142859</v>
      </c>
      <c r="M60" s="4"/>
      <c r="N60" s="4"/>
    </row>
    <row r="61" spans="1:14" ht="15.75" x14ac:dyDescent="0.25">
      <c r="A61" s="17">
        <v>16</v>
      </c>
      <c r="B61" s="60" t="s">
        <v>56</v>
      </c>
      <c r="C61" s="80"/>
      <c r="D61" s="89"/>
      <c r="E61" s="10"/>
      <c r="F61" s="22"/>
      <c r="G61" s="10"/>
      <c r="H61" s="10"/>
      <c r="I61" s="10"/>
      <c r="J61" s="90"/>
      <c r="K61" s="71"/>
      <c r="M61" s="4"/>
      <c r="N61" s="4"/>
    </row>
    <row r="62" spans="1:14" ht="15.75" x14ac:dyDescent="0.25">
      <c r="A62" s="17"/>
      <c r="B62" s="66" t="s">
        <v>57</v>
      </c>
      <c r="C62" s="86" t="s">
        <v>58</v>
      </c>
      <c r="D62" s="9">
        <v>3000</v>
      </c>
      <c r="E62" s="9">
        <v>3200</v>
      </c>
      <c r="F62" s="9">
        <v>3000</v>
      </c>
      <c r="G62" s="9">
        <v>3000</v>
      </c>
      <c r="H62" s="10" t="s">
        <v>99</v>
      </c>
      <c r="I62" s="16">
        <v>3000</v>
      </c>
      <c r="J62" s="72">
        <v>3500</v>
      </c>
      <c r="K62" s="67">
        <f t="shared" si="0"/>
        <v>3116.6666666666665</v>
      </c>
      <c r="M62" s="4"/>
      <c r="N62" s="4"/>
    </row>
    <row r="63" spans="1:14" ht="15.75" x14ac:dyDescent="0.25">
      <c r="A63" s="101">
        <v>17</v>
      </c>
      <c r="B63" s="60" t="s">
        <v>59</v>
      </c>
      <c r="C63" s="73"/>
      <c r="D63" s="74"/>
      <c r="E63" s="17"/>
      <c r="F63" s="76"/>
      <c r="G63" s="76"/>
      <c r="H63" s="15"/>
      <c r="I63" s="15"/>
      <c r="J63" s="84"/>
      <c r="K63" s="71"/>
      <c r="M63" s="4"/>
      <c r="N63" s="4"/>
    </row>
    <row r="64" spans="1:14" ht="15.75" x14ac:dyDescent="0.25">
      <c r="A64" s="101"/>
      <c r="B64" s="66" t="s">
        <v>60</v>
      </c>
      <c r="C64" s="17" t="s">
        <v>6</v>
      </c>
      <c r="D64" s="9">
        <v>70000</v>
      </c>
      <c r="E64" s="9">
        <v>70000</v>
      </c>
      <c r="F64" s="9">
        <v>67000</v>
      </c>
      <c r="G64" s="9">
        <v>70000</v>
      </c>
      <c r="H64" s="9">
        <v>60000</v>
      </c>
      <c r="I64" s="9">
        <v>90000</v>
      </c>
      <c r="J64" s="72">
        <v>70000</v>
      </c>
      <c r="K64" s="67">
        <f t="shared" si="0"/>
        <v>71000</v>
      </c>
      <c r="M64" s="4"/>
      <c r="N64" s="4"/>
    </row>
    <row r="65" spans="1:14" ht="15.75" x14ac:dyDescent="0.25">
      <c r="A65" s="101"/>
      <c r="B65" s="66" t="s">
        <v>61</v>
      </c>
      <c r="C65" s="17" t="s">
        <v>6</v>
      </c>
      <c r="D65" s="9">
        <v>80000</v>
      </c>
      <c r="E65" s="9">
        <v>70000</v>
      </c>
      <c r="F65" s="9">
        <v>57000</v>
      </c>
      <c r="G65" s="9">
        <v>60000</v>
      </c>
      <c r="H65" s="9">
        <v>60000</v>
      </c>
      <c r="I65" s="8">
        <v>65000</v>
      </c>
      <c r="J65" s="72">
        <v>80000</v>
      </c>
      <c r="K65" s="67">
        <f t="shared" si="0"/>
        <v>67428.571428571435</v>
      </c>
      <c r="M65" s="4"/>
      <c r="N65" s="4"/>
    </row>
    <row r="66" spans="1:14" ht="15.75" x14ac:dyDescent="0.25">
      <c r="A66" s="101"/>
      <c r="B66" s="66" t="s">
        <v>62</v>
      </c>
      <c r="C66" s="17" t="s">
        <v>6</v>
      </c>
      <c r="D66" s="9">
        <v>40000</v>
      </c>
      <c r="E66" s="9">
        <v>60000</v>
      </c>
      <c r="F66" s="9">
        <v>60000</v>
      </c>
      <c r="G66" s="9">
        <v>40000</v>
      </c>
      <c r="H66" s="9">
        <v>55000</v>
      </c>
      <c r="I66" s="9">
        <v>80000</v>
      </c>
      <c r="J66" s="72">
        <v>45000</v>
      </c>
      <c r="K66" s="67">
        <f t="shared" si="0"/>
        <v>54285.714285714283</v>
      </c>
      <c r="M66" s="4"/>
      <c r="N66" s="4"/>
    </row>
    <row r="67" spans="1:14" ht="15.75" x14ac:dyDescent="0.25">
      <c r="A67" s="17">
        <v>18</v>
      </c>
      <c r="B67" s="60" t="s">
        <v>63</v>
      </c>
      <c r="C67" s="80"/>
      <c r="D67" s="24"/>
      <c r="E67" s="10"/>
      <c r="F67" s="22"/>
      <c r="G67" s="10"/>
      <c r="H67" s="10" t="s">
        <v>1</v>
      </c>
      <c r="I67" s="10"/>
      <c r="J67" s="77"/>
      <c r="K67" s="71"/>
      <c r="M67" s="4"/>
      <c r="N67" s="4"/>
    </row>
    <row r="68" spans="1:14" ht="15.75" x14ac:dyDescent="0.25">
      <c r="A68" s="17"/>
      <c r="B68" s="66" t="s">
        <v>64</v>
      </c>
      <c r="C68" s="17" t="s">
        <v>65</v>
      </c>
      <c r="D68" s="9">
        <v>20000</v>
      </c>
      <c r="E68" s="9">
        <v>18000</v>
      </c>
      <c r="F68" s="9">
        <v>18000</v>
      </c>
      <c r="G68" s="9">
        <v>18000</v>
      </c>
      <c r="H68" s="10" t="s">
        <v>99</v>
      </c>
      <c r="I68" s="9">
        <v>18000</v>
      </c>
      <c r="J68" s="79">
        <v>18000</v>
      </c>
      <c r="K68" s="67">
        <f t="shared" si="0"/>
        <v>18333.333333333332</v>
      </c>
      <c r="M68" s="4"/>
      <c r="N68" s="4"/>
    </row>
    <row r="69" spans="1:14" ht="15.75" x14ac:dyDescent="0.25">
      <c r="A69" s="101">
        <v>19</v>
      </c>
      <c r="B69" s="60" t="s">
        <v>66</v>
      </c>
      <c r="C69" s="60"/>
      <c r="D69" s="74"/>
      <c r="E69" s="17"/>
      <c r="F69" s="15"/>
      <c r="G69" s="15"/>
      <c r="H69" s="15"/>
      <c r="I69" s="15"/>
      <c r="J69" s="75"/>
      <c r="K69" s="71"/>
      <c r="M69" s="4"/>
      <c r="N69" s="4"/>
    </row>
    <row r="70" spans="1:14" ht="15.75" x14ac:dyDescent="0.25">
      <c r="A70" s="101"/>
      <c r="B70" s="66" t="s">
        <v>67</v>
      </c>
      <c r="C70" s="17" t="s">
        <v>6</v>
      </c>
      <c r="D70" s="9">
        <v>38000</v>
      </c>
      <c r="E70" s="9">
        <v>35000</v>
      </c>
      <c r="F70" s="9">
        <v>36000</v>
      </c>
      <c r="G70" s="9">
        <v>36000</v>
      </c>
      <c r="H70" s="9">
        <v>37000</v>
      </c>
      <c r="I70" s="9">
        <v>40000</v>
      </c>
      <c r="J70" s="72">
        <v>38000</v>
      </c>
      <c r="K70" s="67">
        <f t="shared" si="0"/>
        <v>37142.857142857145</v>
      </c>
      <c r="M70" s="4"/>
      <c r="N70" s="4"/>
    </row>
    <row r="71" spans="1:14" ht="15.75" x14ac:dyDescent="0.25">
      <c r="A71" s="101"/>
      <c r="B71" s="66" t="s">
        <v>68</v>
      </c>
      <c r="C71" s="17" t="s">
        <v>6</v>
      </c>
      <c r="D71" s="9">
        <v>34000</v>
      </c>
      <c r="E71" s="9">
        <v>32000</v>
      </c>
      <c r="F71" s="9">
        <v>33000</v>
      </c>
      <c r="G71" s="9">
        <v>32000</v>
      </c>
      <c r="H71" s="9">
        <v>34000</v>
      </c>
      <c r="I71" s="9">
        <v>32000</v>
      </c>
      <c r="J71" s="72">
        <v>32000</v>
      </c>
      <c r="K71" s="67">
        <f t="shared" si="0"/>
        <v>32714.285714285714</v>
      </c>
      <c r="M71" s="4"/>
      <c r="N71" s="4"/>
    </row>
    <row r="72" spans="1:14" ht="15.75" x14ac:dyDescent="0.25">
      <c r="A72" s="101"/>
      <c r="B72" s="66" t="s">
        <v>69</v>
      </c>
      <c r="C72" s="17" t="s">
        <v>6</v>
      </c>
      <c r="D72" s="9">
        <v>28000</v>
      </c>
      <c r="E72" s="9">
        <v>28000</v>
      </c>
      <c r="F72" s="9">
        <v>24000</v>
      </c>
      <c r="G72" s="9">
        <v>28000</v>
      </c>
      <c r="H72" s="9">
        <v>20000</v>
      </c>
      <c r="I72" s="9">
        <v>28000</v>
      </c>
      <c r="J72" s="72">
        <v>20000</v>
      </c>
      <c r="K72" s="67">
        <f t="shared" si="0"/>
        <v>25142.857142857141</v>
      </c>
      <c r="M72" s="4"/>
      <c r="N72" s="4"/>
    </row>
    <row r="73" spans="1:14" ht="15.75" x14ac:dyDescent="0.25">
      <c r="A73" s="101"/>
      <c r="B73" s="66" t="s">
        <v>70</v>
      </c>
      <c r="C73" s="17" t="s">
        <v>6</v>
      </c>
      <c r="D73" s="9">
        <v>28000</v>
      </c>
      <c r="E73" s="9">
        <v>25000</v>
      </c>
      <c r="F73" s="16">
        <v>28000</v>
      </c>
      <c r="G73" s="8">
        <v>30000</v>
      </c>
      <c r="H73" s="9">
        <v>25000</v>
      </c>
      <c r="I73" s="9">
        <v>35000</v>
      </c>
      <c r="J73" s="72">
        <v>28000</v>
      </c>
      <c r="K73" s="67">
        <f t="shared" si="0"/>
        <v>28428.571428571428</v>
      </c>
      <c r="M73" s="4"/>
      <c r="N73" s="4"/>
    </row>
    <row r="74" spans="1:14" ht="15.75" x14ac:dyDescent="0.25">
      <c r="A74" s="17">
        <v>20</v>
      </c>
      <c r="B74" s="60" t="s">
        <v>71</v>
      </c>
      <c r="C74" s="91"/>
      <c r="D74" s="24"/>
      <c r="E74" s="10"/>
      <c r="F74" s="10"/>
      <c r="G74" s="89"/>
      <c r="H74" s="10"/>
      <c r="I74" s="10"/>
      <c r="J74" s="90"/>
      <c r="K74" s="71"/>
      <c r="M74" s="4"/>
      <c r="N74" s="4"/>
    </row>
    <row r="75" spans="1:14" ht="15.75" x14ac:dyDescent="0.25">
      <c r="A75" s="17"/>
      <c r="B75" s="66" t="s">
        <v>72</v>
      </c>
      <c r="C75" s="86" t="s">
        <v>6</v>
      </c>
      <c r="D75" s="9">
        <v>7000</v>
      </c>
      <c r="E75" s="9">
        <v>7000</v>
      </c>
      <c r="F75" s="9">
        <v>5000</v>
      </c>
      <c r="G75" s="9">
        <v>6000</v>
      </c>
      <c r="H75" s="9">
        <v>5000</v>
      </c>
      <c r="I75" s="9">
        <v>5000</v>
      </c>
      <c r="J75" s="72">
        <v>5000</v>
      </c>
      <c r="K75" s="67">
        <f t="shared" si="0"/>
        <v>5714.2857142857147</v>
      </c>
      <c r="M75" s="4"/>
      <c r="N75" s="4"/>
    </row>
    <row r="76" spans="1:14" ht="15.75" x14ac:dyDescent="0.25">
      <c r="A76" s="17"/>
      <c r="B76" s="66" t="s">
        <v>73</v>
      </c>
      <c r="C76" s="86" t="s">
        <v>6</v>
      </c>
      <c r="D76" s="9">
        <v>7000</v>
      </c>
      <c r="E76" s="9">
        <v>6000</v>
      </c>
      <c r="F76" s="16">
        <v>6000</v>
      </c>
      <c r="G76" s="8">
        <v>6000</v>
      </c>
      <c r="H76" s="9">
        <v>5000</v>
      </c>
      <c r="I76" s="9">
        <v>6000</v>
      </c>
      <c r="J76" s="79">
        <v>6000</v>
      </c>
      <c r="K76" s="67">
        <f t="shared" si="0"/>
        <v>6000</v>
      </c>
      <c r="M76" s="4"/>
      <c r="N76" s="4"/>
    </row>
    <row r="77" spans="1:14" ht="15.75" x14ac:dyDescent="0.25">
      <c r="A77" s="17">
        <v>21</v>
      </c>
      <c r="B77" s="60" t="s">
        <v>74</v>
      </c>
      <c r="C77" s="91"/>
      <c r="D77" s="19"/>
      <c r="E77" s="10"/>
      <c r="F77" s="10"/>
      <c r="G77" s="22"/>
      <c r="H77" s="10"/>
      <c r="I77" s="10"/>
      <c r="J77" s="77"/>
      <c r="K77" s="71"/>
      <c r="M77" s="4"/>
      <c r="N77" s="4"/>
    </row>
    <row r="78" spans="1:14" ht="15.75" x14ac:dyDescent="0.25">
      <c r="A78" s="17"/>
      <c r="B78" s="66" t="s">
        <v>75</v>
      </c>
      <c r="C78" s="86" t="s">
        <v>6</v>
      </c>
      <c r="D78" s="9">
        <v>7000</v>
      </c>
      <c r="E78" s="9">
        <v>8000</v>
      </c>
      <c r="F78" s="9">
        <v>10000</v>
      </c>
      <c r="G78" s="9">
        <v>8000</v>
      </c>
      <c r="H78" s="9">
        <v>6000</v>
      </c>
      <c r="I78" s="16">
        <v>9000</v>
      </c>
      <c r="J78" s="72" t="s">
        <v>99</v>
      </c>
      <c r="K78" s="67">
        <f t="shared" si="0"/>
        <v>8000</v>
      </c>
      <c r="M78" s="4"/>
      <c r="N78" s="4"/>
    </row>
    <row r="79" spans="1:14" ht="15.75" x14ac:dyDescent="0.25">
      <c r="A79" s="17"/>
      <c r="B79" s="66" t="s">
        <v>76</v>
      </c>
      <c r="C79" s="86" t="s">
        <v>6</v>
      </c>
      <c r="D79" s="9">
        <v>14000</v>
      </c>
      <c r="E79" s="9">
        <v>10000</v>
      </c>
      <c r="F79" s="9">
        <v>20000</v>
      </c>
      <c r="G79" s="9">
        <v>10000</v>
      </c>
      <c r="H79" s="9">
        <v>6000</v>
      </c>
      <c r="I79" s="16">
        <v>15000</v>
      </c>
      <c r="J79" s="72">
        <v>15000</v>
      </c>
      <c r="K79" s="67">
        <f t="shared" si="0"/>
        <v>12857.142857142857</v>
      </c>
      <c r="M79" s="4"/>
      <c r="N79" s="4"/>
    </row>
    <row r="80" spans="1:14" ht="15.75" x14ac:dyDescent="0.25">
      <c r="A80" s="17"/>
      <c r="B80" s="66" t="s">
        <v>77</v>
      </c>
      <c r="C80" s="86" t="s">
        <v>6</v>
      </c>
      <c r="D80" s="9">
        <v>16000</v>
      </c>
      <c r="E80" s="9">
        <v>16000</v>
      </c>
      <c r="F80" s="9">
        <v>17000</v>
      </c>
      <c r="G80" s="9">
        <v>14000</v>
      </c>
      <c r="H80" s="9">
        <v>15000</v>
      </c>
      <c r="I80" s="9">
        <v>18000</v>
      </c>
      <c r="J80" s="72">
        <v>15000</v>
      </c>
      <c r="K80" s="67">
        <f t="shared" si="0"/>
        <v>15857.142857142857</v>
      </c>
      <c r="M80" s="4"/>
      <c r="N80" s="4"/>
    </row>
    <row r="81" spans="1:14" ht="15.75" x14ac:dyDescent="0.25">
      <c r="A81" s="17"/>
      <c r="B81" s="66" t="s">
        <v>78</v>
      </c>
      <c r="C81" s="86" t="s">
        <v>6</v>
      </c>
      <c r="D81" s="9">
        <v>15000</v>
      </c>
      <c r="E81" s="9">
        <v>15000</v>
      </c>
      <c r="F81" s="9">
        <v>10000</v>
      </c>
      <c r="G81" s="9">
        <v>12000</v>
      </c>
      <c r="H81" s="9">
        <v>10000</v>
      </c>
      <c r="I81" s="8">
        <v>20000</v>
      </c>
      <c r="J81" s="72">
        <v>20000</v>
      </c>
      <c r="K81" s="67">
        <f t="shared" ref="K81:K88" si="1">AVERAGE(D81:J81)</f>
        <v>14571.428571428571</v>
      </c>
      <c r="M81" s="4"/>
      <c r="N81" s="4"/>
    </row>
    <row r="82" spans="1:14" ht="15.75" x14ac:dyDescent="0.25">
      <c r="A82" s="17"/>
      <c r="B82" s="66" t="s">
        <v>79</v>
      </c>
      <c r="C82" s="86" t="s">
        <v>6</v>
      </c>
      <c r="D82" s="9">
        <v>14000</v>
      </c>
      <c r="E82" s="9">
        <v>12000</v>
      </c>
      <c r="F82" s="9">
        <v>14000</v>
      </c>
      <c r="G82" s="9">
        <v>12000</v>
      </c>
      <c r="H82" s="9">
        <v>10000</v>
      </c>
      <c r="I82" s="9">
        <v>16000</v>
      </c>
      <c r="J82" s="72">
        <v>10000</v>
      </c>
      <c r="K82" s="67">
        <f t="shared" si="1"/>
        <v>12571.428571428571</v>
      </c>
      <c r="M82" s="4"/>
      <c r="N82" s="4"/>
    </row>
    <row r="83" spans="1:14" ht="15.75" x14ac:dyDescent="0.25">
      <c r="A83" s="17"/>
      <c r="B83" s="66" t="s">
        <v>80</v>
      </c>
      <c r="C83" s="86" t="s">
        <v>6</v>
      </c>
      <c r="D83" s="9">
        <v>8000</v>
      </c>
      <c r="E83" s="9">
        <v>8000</v>
      </c>
      <c r="F83" s="16">
        <v>9000</v>
      </c>
      <c r="G83" s="8">
        <v>8000</v>
      </c>
      <c r="H83" s="9">
        <v>7000</v>
      </c>
      <c r="I83" s="16">
        <v>9000</v>
      </c>
      <c r="J83" s="72">
        <v>8000</v>
      </c>
      <c r="K83" s="67">
        <f t="shared" si="1"/>
        <v>8142.8571428571431</v>
      </c>
      <c r="M83" s="4"/>
      <c r="N83" s="4"/>
    </row>
    <row r="84" spans="1:14" ht="15.75" x14ac:dyDescent="0.25">
      <c r="A84" s="17"/>
      <c r="B84" s="66" t="s">
        <v>81</v>
      </c>
      <c r="C84" s="86" t="s">
        <v>82</v>
      </c>
      <c r="D84" s="9">
        <v>2000</v>
      </c>
      <c r="E84" s="9">
        <v>1500</v>
      </c>
      <c r="F84" s="9">
        <v>2000</v>
      </c>
      <c r="G84" s="8">
        <v>2000</v>
      </c>
      <c r="H84" s="9">
        <v>1500</v>
      </c>
      <c r="I84" s="9">
        <v>2000</v>
      </c>
      <c r="J84" s="79">
        <v>1500</v>
      </c>
      <c r="K84" s="67">
        <f t="shared" si="1"/>
        <v>1785.7142857142858</v>
      </c>
      <c r="M84" s="4"/>
      <c r="N84" s="4"/>
    </row>
    <row r="85" spans="1:14" ht="15.75" x14ac:dyDescent="0.25">
      <c r="A85" s="17"/>
      <c r="B85" s="66" t="s">
        <v>83</v>
      </c>
      <c r="C85" s="86" t="s">
        <v>82</v>
      </c>
      <c r="D85" s="9">
        <v>1500</v>
      </c>
      <c r="E85" s="9">
        <v>1500</v>
      </c>
      <c r="F85" s="9">
        <v>1500</v>
      </c>
      <c r="G85" s="8">
        <v>2000</v>
      </c>
      <c r="H85" s="9">
        <v>1500</v>
      </c>
      <c r="I85" s="9">
        <v>1500</v>
      </c>
      <c r="J85" s="79">
        <v>1000</v>
      </c>
      <c r="K85" s="67">
        <f t="shared" si="1"/>
        <v>1500</v>
      </c>
      <c r="M85" s="4"/>
      <c r="N85" s="4"/>
    </row>
    <row r="86" spans="1:14" ht="15.75" x14ac:dyDescent="0.25">
      <c r="A86" s="17"/>
      <c r="B86" s="66" t="s">
        <v>84</v>
      </c>
      <c r="C86" s="86" t="s">
        <v>82</v>
      </c>
      <c r="D86" s="9" t="s">
        <v>99</v>
      </c>
      <c r="E86" s="9">
        <v>2000</v>
      </c>
      <c r="F86" s="9" t="s">
        <v>99</v>
      </c>
      <c r="G86" s="8" t="s">
        <v>99</v>
      </c>
      <c r="H86" s="9">
        <v>2500</v>
      </c>
      <c r="I86" s="9" t="s">
        <v>99</v>
      </c>
      <c r="J86" s="79">
        <v>2000</v>
      </c>
      <c r="K86" s="67">
        <f t="shared" si="1"/>
        <v>2166.6666666666665</v>
      </c>
      <c r="M86" s="4"/>
      <c r="N86" s="4"/>
    </row>
    <row r="87" spans="1:14" ht="15.75" x14ac:dyDescent="0.25">
      <c r="A87" s="17">
        <v>22</v>
      </c>
      <c r="B87" s="60" t="s">
        <v>85</v>
      </c>
      <c r="C87" s="91"/>
      <c r="D87" s="22"/>
      <c r="E87" s="10"/>
      <c r="F87" s="10" t="s">
        <v>102</v>
      </c>
      <c r="G87" s="22"/>
      <c r="H87" s="10"/>
      <c r="I87" s="10"/>
      <c r="J87" s="77"/>
      <c r="K87" s="71"/>
      <c r="L87" s="4"/>
      <c r="M87" s="4"/>
      <c r="N87" s="4"/>
    </row>
    <row r="88" spans="1:14" x14ac:dyDescent="0.25">
      <c r="A88" s="17"/>
      <c r="B88" s="66" t="s">
        <v>86</v>
      </c>
      <c r="C88" s="86" t="s">
        <v>87</v>
      </c>
      <c r="D88" s="9" t="s">
        <v>99</v>
      </c>
      <c r="E88" s="9" t="s">
        <v>99</v>
      </c>
      <c r="F88" s="9">
        <v>18000</v>
      </c>
      <c r="G88" s="8">
        <v>17000</v>
      </c>
      <c r="H88" s="10" t="s">
        <v>99</v>
      </c>
      <c r="I88" s="16">
        <v>18000</v>
      </c>
      <c r="J88" s="79">
        <v>18000</v>
      </c>
      <c r="K88" s="67">
        <f t="shared" si="1"/>
        <v>17750</v>
      </c>
    </row>
  </sheetData>
  <mergeCells count="28">
    <mergeCell ref="A46:A48"/>
    <mergeCell ref="A52:A53"/>
    <mergeCell ref="A54:A55"/>
    <mergeCell ref="A56:A60"/>
    <mergeCell ref="A63:A66"/>
    <mergeCell ref="A69:A73"/>
    <mergeCell ref="A16:A17"/>
    <mergeCell ref="A19:A20"/>
    <mergeCell ref="A21:A25"/>
    <mergeCell ref="A26:A32"/>
    <mergeCell ref="A33:A35"/>
    <mergeCell ref="A43:A45"/>
    <mergeCell ref="H4:H6"/>
    <mergeCell ref="I4:I6"/>
    <mergeCell ref="J4:J6"/>
    <mergeCell ref="K4:K6"/>
    <mergeCell ref="A7:A12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REKAPITULASI</vt:lpstr>
      <vt:lpstr>GRAFIK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HAPU</cp:lastModifiedBy>
  <cp:lastPrinted>2023-01-31T09:02:16Z</cp:lastPrinted>
  <dcterms:created xsi:type="dcterms:W3CDTF">2022-08-09T08:09:18Z</dcterms:created>
  <dcterms:modified xsi:type="dcterms:W3CDTF">2024-02-29T08:02:31Z</dcterms:modified>
</cp:coreProperties>
</file>